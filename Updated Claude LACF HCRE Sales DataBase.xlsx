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9.xml" ContentType="application/vnd.openxmlformats-officedocument.drawing+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0.xml" ContentType="application/vnd.openxmlformats-officedocument.drawing+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mc:AlternateContent xmlns:mc="http://schemas.openxmlformats.org/markup-compatibility/2006">
    <mc:Choice Requires="x15">
      <x15ac:absPath xmlns:x15ac="http://schemas.microsoft.com/office/spreadsheetml/2010/11/ac" url="/Users/nicobanez/Lee &amp; Associates Dropbox/Nico Banez/1. PROJECTS/Matt &amp; Jason/Jason/Active/"/>
    </mc:Choice>
  </mc:AlternateContent>
  <xr:revisionPtr revIDLastSave="0" documentId="13_ncr:1_{1ACFF3B2-6E13-434E-AC4A-4EF649EA7FFC}" xr6:coauthVersionLast="47" xr6:coauthVersionMax="47" xr10:uidLastSave="{00000000-0000-0000-0000-000000000000}"/>
  <bookViews>
    <workbookView xWindow="0" yWindow="640" windowWidth="30240" windowHeight="18060" activeTab="1" xr2:uid="{C5C75CD9-746B-4343-94DF-60005848105D}"/>
  </bookViews>
  <sheets>
    <sheet name="Dashboard" sheetId="19" r:id="rId1"/>
    <sheet name="Market Trends" sheetId="22" r:id="rId2"/>
    <sheet name="Copy Dashboard" sheetId="21" r:id="rId3"/>
    <sheet name="Master" sheetId="1" r:id="rId4"/>
    <sheet name="Medical Sales" sheetId="2" r:id="rId5"/>
    <sheet name="Outliers" sheetId="13" r:id="rId6"/>
    <sheet name="2020" sheetId="4" r:id="rId7"/>
    <sheet name="2021" sheetId="5" r:id="rId8"/>
    <sheet name="2022" sheetId="6" r:id="rId9"/>
    <sheet name="2023" sheetId="8" r:id="rId10"/>
    <sheet name="2024" sheetId="9" r:id="rId11"/>
    <sheet name="2025" sheetId="10" r:id="rId12"/>
    <sheet name="Market Overview" sheetId="14" r:id="rId13"/>
    <sheet name="6 Year (Incomplete)" sheetId="11" r:id="rId14"/>
  </sheets>
  <definedNames>
    <definedName name="_xlnm._FilterDatabase" localSheetId="6" hidden="1">'2020'!$A$100:$M$100</definedName>
    <definedName name="_xlnm._FilterDatabase" localSheetId="7" hidden="1">'2021'!$A$95:$M$95</definedName>
    <definedName name="_xlnm._FilterDatabase" localSheetId="8" hidden="1">'2022'!$A$96:$M$96</definedName>
    <definedName name="_xlnm._FilterDatabase" localSheetId="9" hidden="1">'2023'!$A$96:$M$96</definedName>
    <definedName name="_xlnm._FilterDatabase" localSheetId="10" hidden="1">'2024'!$A$93:$M$93</definedName>
    <definedName name="_xlnm._FilterDatabase" localSheetId="11" hidden="1">'2025'!$A$93:$M$93</definedName>
    <definedName name="_xlnm._FilterDatabase" localSheetId="4" hidden="1">'Medical Sales'!$A$2:$T$196</definedName>
    <definedName name="_xlnm.Print_Area" localSheetId="1">'Market Trends'!$A$1:$G$43</definedName>
    <definedName name="Slicer_Building_Age">#N/A</definedName>
    <definedName name="Slicer_Building_Age1">#N/A</definedName>
    <definedName name="Slicer_Outlier">#N/A</definedName>
    <definedName name="Slicer_Outlier1">#N/A</definedName>
    <definedName name="Slicer_Size_Bracket">#N/A</definedName>
    <definedName name="Slicer_Size_Bracket1">#N/A</definedName>
    <definedName name="Slicer_Verdict">#N/A</definedName>
    <definedName name="Slicer_Verdict1">#N/A</definedName>
    <definedName name="Slicer_Year">#N/A</definedName>
    <definedName name="Slicer_Year1">#N/A</definedName>
  </definedNames>
  <calcPr calcId="191029"/>
  <pivotCaches>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22" l="1"/>
  <c r="B83" i="22"/>
  <c r="B84" i="22"/>
  <c r="B85" i="22"/>
  <c r="B86" i="22"/>
  <c r="B87" i="22"/>
  <c r="B88" i="22"/>
  <c r="B89" i="22"/>
  <c r="G79" i="22"/>
  <c r="G78" i="22"/>
  <c r="G77" i="22"/>
  <c r="G76" i="22"/>
  <c r="G75" i="22"/>
  <c r="G74" i="22"/>
  <c r="G73" i="22"/>
  <c r="G72" i="22"/>
  <c r="B67" i="22"/>
  <c r="C67" i="22"/>
  <c r="D67" i="22"/>
  <c r="E67" i="22"/>
  <c r="F67" i="22"/>
  <c r="G67" i="22"/>
  <c r="B66" i="22"/>
  <c r="C66" i="22"/>
  <c r="D66" i="22"/>
  <c r="E66" i="22"/>
  <c r="F66" i="22"/>
  <c r="G66" i="22"/>
  <c r="B65" i="22"/>
  <c r="C65" i="22"/>
  <c r="D65" i="22"/>
  <c r="E65" i="22"/>
  <c r="F65" i="22"/>
  <c r="G65" i="22"/>
  <c r="B64" i="22"/>
  <c r="C64" i="22"/>
  <c r="D64" i="22"/>
  <c r="E64" i="22"/>
  <c r="F64" i="22"/>
  <c r="G64" i="22"/>
  <c r="B63" i="22"/>
  <c r="C63" i="22"/>
  <c r="D63" i="22"/>
  <c r="E63" i="22"/>
  <c r="F63" i="22"/>
  <c r="G63" i="22"/>
  <c r="B62" i="22"/>
  <c r="C62" i="22"/>
  <c r="D62" i="22"/>
  <c r="E62" i="22"/>
  <c r="F62" i="22"/>
  <c r="G62" i="22"/>
  <c r="B60" i="22"/>
  <c r="C60" i="22"/>
  <c r="D60" i="22"/>
  <c r="E60" i="22"/>
  <c r="F60" i="22"/>
  <c r="B59" i="22"/>
  <c r="C59" i="22"/>
  <c r="D59" i="22"/>
  <c r="E59" i="22"/>
  <c r="F59" i="22"/>
  <c r="B58" i="22"/>
  <c r="C58" i="22"/>
  <c r="D58" i="22"/>
  <c r="E58" i="22"/>
  <c r="F58" i="22"/>
  <c r="B57" i="22"/>
  <c r="C57" i="22"/>
  <c r="D57" i="22"/>
  <c r="E57" i="22"/>
  <c r="F57" i="22"/>
  <c r="B56" i="22"/>
  <c r="C56" i="22"/>
  <c r="D56" i="22"/>
  <c r="E56" i="22"/>
  <c r="F56" i="22"/>
  <c r="G22" i="22"/>
  <c r="F22" i="22"/>
  <c r="E22" i="22"/>
  <c r="D22" i="22"/>
  <c r="C22" i="22"/>
  <c r="G21" i="22"/>
  <c r="F21" i="22"/>
  <c r="E21" i="22"/>
  <c r="D21" i="22"/>
  <c r="C21" i="22"/>
  <c r="G20" i="22"/>
  <c r="F20" i="22"/>
  <c r="E20" i="22"/>
  <c r="D20" i="22"/>
  <c r="C20" i="22"/>
  <c r="G19" i="22"/>
  <c r="F19" i="22"/>
  <c r="E19" i="22"/>
  <c r="D19" i="22"/>
  <c r="C19" i="22"/>
  <c r="G17" i="22"/>
  <c r="F17" i="22"/>
  <c r="E17" i="22"/>
  <c r="D17" i="22"/>
  <c r="C17" i="22"/>
  <c r="B17" i="22"/>
  <c r="T30" i="21"/>
  <c r="S30" i="21"/>
  <c r="R30" i="21"/>
  <c r="P30" i="21"/>
  <c r="V30" i="21" s="1"/>
  <c r="T29" i="21"/>
  <c r="S29" i="21"/>
  <c r="R29" i="21"/>
  <c r="P29" i="21"/>
  <c r="U29" i="21" s="1"/>
  <c r="T28" i="21"/>
  <c r="S28" i="21"/>
  <c r="R28" i="21"/>
  <c r="P28" i="21"/>
  <c r="V28" i="21" s="1"/>
  <c r="T27" i="21"/>
  <c r="S27" i="21"/>
  <c r="R27" i="21"/>
  <c r="P27" i="21"/>
  <c r="Q27" i="21" s="1"/>
  <c r="N8" i="21"/>
  <c r="L8" i="21"/>
  <c r="P28" i="19"/>
  <c r="V28" i="19" s="1"/>
  <c r="T30" i="19"/>
  <c r="S30" i="19"/>
  <c r="R30" i="19"/>
  <c r="P30" i="19"/>
  <c r="V30" i="19" s="1"/>
  <c r="T29" i="19"/>
  <c r="S29" i="19"/>
  <c r="R29" i="19"/>
  <c r="P29" i="19"/>
  <c r="U29" i="19" s="1"/>
  <c r="T28" i="19"/>
  <c r="S28" i="19"/>
  <c r="R28" i="19"/>
  <c r="T27" i="19"/>
  <c r="S27" i="19"/>
  <c r="R27" i="19"/>
  <c r="P27" i="19"/>
  <c r="Q27" i="19" s="1"/>
  <c r="N27" i="5"/>
  <c r="N26" i="5"/>
  <c r="N25" i="5"/>
  <c r="N24" i="5"/>
  <c r="N23" i="5"/>
  <c r="B44" i="14" a="1"/>
  <c r="B44" i="14" s="1"/>
  <c r="B43" i="14" a="1"/>
  <c r="B43" i="14" s="1"/>
  <c r="B42" i="14" a="1"/>
  <c r="B42" i="14" s="1"/>
  <c r="J39" i="14" a="1"/>
  <c r="J39" i="14" s="1"/>
  <c r="I39" i="14" a="1"/>
  <c r="I39" i="14" s="1"/>
  <c r="H39" i="14" a="1"/>
  <c r="H39" i="14" s="1"/>
  <c r="G39" i="14" a="1"/>
  <c r="G39" i="14" s="1"/>
  <c r="M26" i="14" s="1"/>
  <c r="F39" i="14" a="1"/>
  <c r="F39" i="14" s="1"/>
  <c r="E39" i="14" a="1"/>
  <c r="E39" i="14" s="1"/>
  <c r="C39" i="14" a="1"/>
  <c r="C39" i="14" s="1"/>
  <c r="D39" i="14" s="1"/>
  <c r="J38" i="14" a="1"/>
  <c r="J38" i="14" s="1"/>
  <c r="I38" i="14" a="1"/>
  <c r="I38" i="14" s="1"/>
  <c r="H38" i="14" a="1"/>
  <c r="H38" i="14" s="1"/>
  <c r="G38" i="14" a="1"/>
  <c r="G38" i="14" s="1"/>
  <c r="M25" i="14" s="1"/>
  <c r="F38" i="14" a="1"/>
  <c r="F38" i="14" s="1"/>
  <c r="E38" i="14" a="1"/>
  <c r="E38" i="14" s="1"/>
  <c r="C38" i="14" a="1"/>
  <c r="C38" i="14" s="1"/>
  <c r="J37" i="14" a="1"/>
  <c r="J37" i="14" s="1"/>
  <c r="I37" i="14" a="1"/>
  <c r="I37" i="14" s="1"/>
  <c r="H37" i="14" a="1"/>
  <c r="H37" i="14" s="1"/>
  <c r="G37" i="14" a="1"/>
  <c r="G37" i="14" s="1"/>
  <c r="M24" i="14" s="1"/>
  <c r="F37" i="14" a="1"/>
  <c r="F37" i="14" s="1"/>
  <c r="E37" i="14" a="1"/>
  <c r="E37" i="14" s="1"/>
  <c r="C37" i="14" a="1"/>
  <c r="C37" i="14" s="1"/>
  <c r="D37" i="14" s="1"/>
  <c r="J36" i="14" a="1"/>
  <c r="J36" i="14" s="1"/>
  <c r="I36" i="14" a="1"/>
  <c r="I36" i="14" s="1"/>
  <c r="H36" i="14" a="1"/>
  <c r="H36" i="14" s="1"/>
  <c r="G36" i="14" a="1"/>
  <c r="G36" i="14" s="1"/>
  <c r="M23" i="14" s="1"/>
  <c r="F36" i="14" a="1"/>
  <c r="F36" i="14" s="1"/>
  <c r="E36" i="14" a="1"/>
  <c r="E36" i="14" s="1"/>
  <c r="C36" i="14" a="1"/>
  <c r="C36" i="14" s="1"/>
  <c r="J35" i="14" a="1"/>
  <c r="J35" i="14" s="1"/>
  <c r="I35" i="14" a="1"/>
  <c r="I35" i="14" s="1"/>
  <c r="H35" i="14" a="1"/>
  <c r="H35" i="14" s="1"/>
  <c r="G35" i="14" a="1"/>
  <c r="G35" i="14" s="1"/>
  <c r="M22" i="14" s="1"/>
  <c r="F35" i="14" a="1"/>
  <c r="F35" i="14" s="1"/>
  <c r="E35" i="14" a="1"/>
  <c r="E35" i="14" s="1"/>
  <c r="C35" i="14" a="1"/>
  <c r="C35" i="14" s="1"/>
  <c r="J31" i="14" a="1"/>
  <c r="J31" i="14" s="1"/>
  <c r="I31" i="14" a="1"/>
  <c r="I31" i="14" s="1"/>
  <c r="H31" i="14" a="1"/>
  <c r="H31" i="14" s="1"/>
  <c r="G31" i="14" a="1"/>
  <c r="G31" i="14" s="1"/>
  <c r="M31" i="14" s="1"/>
  <c r="F31" i="14" a="1"/>
  <c r="F31" i="14" s="1"/>
  <c r="E31" i="14" a="1"/>
  <c r="E31" i="14" s="1"/>
  <c r="C31" i="14" a="1"/>
  <c r="C31" i="14" s="1"/>
  <c r="J30" i="14" a="1"/>
  <c r="J30" i="14" s="1"/>
  <c r="I30" i="14" a="1"/>
  <c r="I30" i="14" s="1"/>
  <c r="H30" i="14" a="1"/>
  <c r="H30" i="14" s="1"/>
  <c r="G30" i="14" a="1"/>
  <c r="G30" i="14" s="1"/>
  <c r="M30" i="14" s="1"/>
  <c r="F30" i="14" a="1"/>
  <c r="F30" i="14" s="1"/>
  <c r="E30" i="14" a="1"/>
  <c r="E30" i="14" s="1"/>
  <c r="C30" i="14" a="1"/>
  <c r="C30" i="14" s="1"/>
  <c r="J29" i="14" a="1"/>
  <c r="J29" i="14" s="1"/>
  <c r="I29" i="14" a="1"/>
  <c r="I29" i="14" s="1"/>
  <c r="H29" i="14" a="1"/>
  <c r="H29" i="14" s="1"/>
  <c r="G29" i="14" a="1"/>
  <c r="G29" i="14" s="1"/>
  <c r="M29" i="14" s="1"/>
  <c r="F29" i="14" a="1"/>
  <c r="F29" i="14" s="1"/>
  <c r="E29" i="14" a="1"/>
  <c r="E29" i="14" s="1"/>
  <c r="C29" i="14" a="1"/>
  <c r="C29" i="14" s="1"/>
  <c r="J25" i="14" a="1"/>
  <c r="J25" i="14" s="1"/>
  <c r="I25" i="14" a="1"/>
  <c r="I25" i="14" s="1"/>
  <c r="H25" i="14" a="1"/>
  <c r="H25" i="14" s="1"/>
  <c r="G25" i="14" a="1"/>
  <c r="G25" i="14" s="1"/>
  <c r="M14" i="14" s="1"/>
  <c r="F25" i="14" a="1"/>
  <c r="F25" i="14" s="1"/>
  <c r="E25" i="14" a="1"/>
  <c r="E25" i="14" s="1"/>
  <c r="C25" i="14" a="1"/>
  <c r="C25" i="14" s="1"/>
  <c r="J24" i="14" a="1"/>
  <c r="J24" i="14" s="1"/>
  <c r="I24" i="14" a="1"/>
  <c r="I24" i="14" s="1"/>
  <c r="H24" i="14" a="1"/>
  <c r="H24" i="14" s="1"/>
  <c r="G24" i="14" a="1"/>
  <c r="G24" i="14" s="1"/>
  <c r="M13" i="14" s="1"/>
  <c r="F24" i="14" a="1"/>
  <c r="F24" i="14" s="1"/>
  <c r="E24" i="14" a="1"/>
  <c r="E24" i="14" s="1"/>
  <c r="C24" i="14" a="1"/>
  <c r="C24" i="14" s="1"/>
  <c r="J23" i="14" a="1"/>
  <c r="J23" i="14" s="1"/>
  <c r="I23" i="14" a="1"/>
  <c r="I23" i="14" s="1"/>
  <c r="H23" i="14" a="1"/>
  <c r="H23" i="14" s="1"/>
  <c r="G23" i="14" a="1"/>
  <c r="G23" i="14" s="1"/>
  <c r="M12" i="14" s="1"/>
  <c r="F23" i="14" a="1"/>
  <c r="F23" i="14" s="1"/>
  <c r="E23" i="14" a="1"/>
  <c r="E23" i="14" s="1"/>
  <c r="C23" i="14" a="1"/>
  <c r="C23" i="14" s="1"/>
  <c r="J22" i="14" a="1"/>
  <c r="J22" i="14" s="1"/>
  <c r="I22" i="14" a="1"/>
  <c r="I22" i="14" s="1"/>
  <c r="H22" i="14" a="1"/>
  <c r="H22" i="14" s="1"/>
  <c r="G22" i="14" a="1"/>
  <c r="G22" i="14" s="1"/>
  <c r="F22" i="14" a="1"/>
  <c r="F22" i="14" s="1"/>
  <c r="E22" i="14" a="1"/>
  <c r="E22" i="14" s="1"/>
  <c r="C22" i="14" a="1"/>
  <c r="C22" i="14" s="1"/>
  <c r="J18" i="14" a="1"/>
  <c r="J18" i="14" s="1"/>
  <c r="I18" i="14" a="1"/>
  <c r="I18" i="14" s="1"/>
  <c r="H18" i="14" a="1"/>
  <c r="H18" i="14" s="1"/>
  <c r="G18" i="14" a="1"/>
  <c r="G18" i="14" s="1"/>
  <c r="M8" i="14" s="1"/>
  <c r="F18" i="14" a="1"/>
  <c r="F18" i="14" s="1"/>
  <c r="E18" i="14" a="1"/>
  <c r="E18" i="14" s="1"/>
  <c r="C18" i="14" a="1"/>
  <c r="C18" i="14" s="1"/>
  <c r="B18" i="14" a="1"/>
  <c r="B18" i="14" s="1"/>
  <c r="J17" i="14" a="1"/>
  <c r="J17" i="14" s="1"/>
  <c r="I17" i="14" a="1"/>
  <c r="I17" i="14" s="1"/>
  <c r="H17" i="14" a="1"/>
  <c r="H17" i="14" s="1"/>
  <c r="G17" i="14" a="1"/>
  <c r="G17" i="14" s="1"/>
  <c r="M7" i="14" s="1"/>
  <c r="F17" i="14" a="1"/>
  <c r="F17" i="14" s="1"/>
  <c r="E17" i="14" a="1"/>
  <c r="E17" i="14" s="1"/>
  <c r="C17" i="14" a="1"/>
  <c r="C17" i="14" s="1"/>
  <c r="B17" i="14" a="1"/>
  <c r="B17" i="14" s="1"/>
  <c r="J16" i="14" a="1"/>
  <c r="J16" i="14" s="1"/>
  <c r="I16" i="14" a="1"/>
  <c r="I16" i="14" s="1"/>
  <c r="H16" i="14" a="1"/>
  <c r="H16" i="14" s="1"/>
  <c r="G16" i="14" a="1"/>
  <c r="G16" i="14" s="1"/>
  <c r="M6" i="14" s="1"/>
  <c r="F16" i="14" a="1"/>
  <c r="F16" i="14" s="1"/>
  <c r="E16" i="14" a="1"/>
  <c r="E16" i="14" s="1"/>
  <c r="C16" i="14" a="1"/>
  <c r="C16" i="14" s="1"/>
  <c r="B16" i="14" a="1"/>
  <c r="B16" i="14" s="1"/>
  <c r="J15" i="14" a="1"/>
  <c r="J15" i="14" s="1"/>
  <c r="I15" i="14" a="1"/>
  <c r="I15" i="14" s="1"/>
  <c r="H15" i="14" a="1"/>
  <c r="H15" i="14" s="1"/>
  <c r="G15" i="14" a="1"/>
  <c r="G15" i="14" s="1"/>
  <c r="M5" i="14" s="1"/>
  <c r="F15" i="14" a="1"/>
  <c r="F15" i="14" s="1"/>
  <c r="E15" i="14" a="1"/>
  <c r="E15" i="14" s="1"/>
  <c r="C15" i="14" a="1"/>
  <c r="C15" i="14" s="1"/>
  <c r="B15" i="14" a="1"/>
  <c r="B15" i="14" s="1"/>
  <c r="J14" i="14" a="1"/>
  <c r="J14" i="14" s="1"/>
  <c r="I14" i="14" a="1"/>
  <c r="I14" i="14" s="1"/>
  <c r="H14" i="14" a="1"/>
  <c r="H14" i="14" s="1"/>
  <c r="G14" i="14" a="1"/>
  <c r="G14" i="14" s="1"/>
  <c r="M4" i="14" s="1"/>
  <c r="F14" i="14" a="1"/>
  <c r="F14" i="14" s="1"/>
  <c r="E14" i="14" a="1"/>
  <c r="E14" i="14" s="1"/>
  <c r="C14" i="14" a="1"/>
  <c r="C14" i="14" s="1"/>
  <c r="B14" i="14" a="1"/>
  <c r="B14" i="14" s="1"/>
  <c r="J13" i="14" a="1"/>
  <c r="J13" i="14" s="1"/>
  <c r="I13" i="14" a="1"/>
  <c r="I13" i="14" s="1"/>
  <c r="H13" i="14" a="1"/>
  <c r="H13" i="14" s="1"/>
  <c r="G13" i="14" a="1"/>
  <c r="G13" i="14" s="1"/>
  <c r="M3" i="14" s="1"/>
  <c r="F13" i="14" a="1"/>
  <c r="F13" i="14" s="1"/>
  <c r="E13" i="14" a="1"/>
  <c r="E13" i="14" s="1"/>
  <c r="C13" i="14" a="1"/>
  <c r="C13" i="14" s="1"/>
  <c r="B13" i="14" a="1"/>
  <c r="B13" i="14" s="1"/>
  <c r="J9" i="14" a="1"/>
  <c r="J9" i="14" s="1"/>
  <c r="I9" i="14" a="1"/>
  <c r="I9" i="14" s="1"/>
  <c r="H9" i="14" a="1"/>
  <c r="H9" i="14" s="1"/>
  <c r="G9" i="14" a="1"/>
  <c r="G9" i="14" s="1"/>
  <c r="F9" i="14" a="1"/>
  <c r="F9" i="14" s="1"/>
  <c r="E9" i="14" a="1"/>
  <c r="E9" i="14" s="1"/>
  <c r="J8" i="14" a="1"/>
  <c r="J8" i="14" s="1"/>
  <c r="I8" i="14" a="1"/>
  <c r="I8" i="14" s="1"/>
  <c r="H8" i="14" a="1"/>
  <c r="H8" i="14" s="1"/>
  <c r="G8" i="14" a="1"/>
  <c r="G8" i="14" s="1"/>
  <c r="F8" i="14" a="1"/>
  <c r="F8" i="14" s="1"/>
  <c r="E8" i="14" a="1"/>
  <c r="E8" i="14" s="1"/>
  <c r="C8" i="14" a="1"/>
  <c r="C8" i="14" s="1"/>
  <c r="J7" i="14" a="1"/>
  <c r="J7" i="14" s="1"/>
  <c r="I7" i="14" a="1"/>
  <c r="I7" i="14" s="1"/>
  <c r="H7" i="14" a="1"/>
  <c r="H7" i="14"/>
  <c r="G7" i="14" a="1"/>
  <c r="G7" i="14" s="1"/>
  <c r="F7" i="14" a="1"/>
  <c r="F7" i="14" s="1"/>
  <c r="E7" i="14" a="1"/>
  <c r="E7" i="14" s="1"/>
  <c r="C7" i="14" a="1"/>
  <c r="C7" i="14" s="1"/>
  <c r="J6" i="14" a="1"/>
  <c r="J6" i="14" s="1"/>
  <c r="I6" i="14" a="1"/>
  <c r="I6" i="14" s="1"/>
  <c r="H6" i="14" a="1"/>
  <c r="H6" i="14" s="1"/>
  <c r="G6" i="14" a="1"/>
  <c r="G6" i="14" s="1"/>
  <c r="F6" i="14" a="1"/>
  <c r="F6" i="14" s="1"/>
  <c r="E6" i="14" a="1"/>
  <c r="E6" i="14" s="1"/>
  <c r="C6" i="14" a="1"/>
  <c r="C6" i="14" s="1"/>
  <c r="B39" i="14"/>
  <c r="B38" i="14"/>
  <c r="B37" i="14"/>
  <c r="B36" i="14"/>
  <c r="B35" i="14"/>
  <c r="B31" i="14"/>
  <c r="B30" i="14"/>
  <c r="B29" i="14"/>
  <c r="B25" i="14"/>
  <c r="B24" i="14"/>
  <c r="B23" i="14"/>
  <c r="N12" i="14" s="1"/>
  <c r="B22" i="14"/>
  <c r="B8" i="14"/>
  <c r="B7" i="14"/>
  <c r="M18" i="14" s="1"/>
  <c r="B6" i="14"/>
  <c r="M17" i="14" s="1"/>
  <c r="N8" i="19"/>
  <c r="L8" i="19"/>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3" i="2"/>
  <c r="B35" i="13"/>
  <c r="G7" i="11"/>
  <c r="F7" i="11"/>
  <c r="E7" i="11"/>
  <c r="D7" i="11"/>
  <c r="C7" i="11"/>
  <c r="B7" i="11"/>
  <c r="G80" i="4" a="1"/>
  <c r="G80" i="4" s="1"/>
  <c r="F80" i="4" a="1"/>
  <c r="F80" i="4" s="1"/>
  <c r="C80" i="4" a="1"/>
  <c r="C80" i="4" s="1"/>
  <c r="B80" i="4"/>
  <c r="E80" i="4" s="1" a="1"/>
  <c r="E80" i="4" s="1"/>
  <c r="T187" i="2"/>
  <c r="T174" i="2"/>
  <c r="T164" i="2"/>
  <c r="T169" i="2"/>
  <c r="T171" i="2"/>
  <c r="T181" i="2"/>
  <c r="T189" i="2"/>
  <c r="T190" i="2"/>
  <c r="T191" i="2"/>
  <c r="T193" i="2"/>
  <c r="T165" i="2"/>
  <c r="T178" i="2"/>
  <c r="T175" i="2"/>
  <c r="T162" i="2"/>
  <c r="T98" i="2"/>
  <c r="T47" i="2"/>
  <c r="T132" i="2"/>
  <c r="T43" i="2"/>
  <c r="T94" i="2"/>
  <c r="T64" i="2"/>
  <c r="T121" i="2"/>
  <c r="T50" i="2"/>
  <c r="T78" i="2"/>
  <c r="T52" i="2"/>
  <c r="T29" i="2"/>
  <c r="T48" i="2"/>
  <c r="T81" i="2"/>
  <c r="T45" i="2"/>
  <c r="T55" i="2"/>
  <c r="T28" i="2"/>
  <c r="T106" i="2"/>
  <c r="T137" i="2"/>
  <c r="T136" i="2"/>
  <c r="T10" i="2"/>
  <c r="T159" i="2"/>
  <c r="T141" i="2"/>
  <c r="T147" i="2"/>
  <c r="T161" i="2"/>
  <c r="T42" i="2"/>
  <c r="T46" i="2"/>
  <c r="T74" i="2"/>
  <c r="T108" i="2"/>
  <c r="T31" i="2"/>
  <c r="T71" i="2"/>
  <c r="T112" i="2"/>
  <c r="T53" i="2"/>
  <c r="T125" i="2"/>
  <c r="T124" i="2"/>
  <c r="T92" i="2"/>
  <c r="T20" i="2"/>
  <c r="T11" i="2"/>
  <c r="T119" i="2"/>
  <c r="T21" i="2"/>
  <c r="T111" i="2"/>
  <c r="T80" i="2"/>
  <c r="T115" i="2"/>
  <c r="T116" i="2"/>
  <c r="T24" i="2"/>
  <c r="T7" i="2"/>
  <c r="T69" i="2"/>
  <c r="T57" i="2"/>
  <c r="T96" i="2"/>
  <c r="T4" i="2"/>
  <c r="T93" i="2"/>
  <c r="T87" i="2"/>
  <c r="T154" i="2"/>
  <c r="T33" i="2"/>
  <c r="T127" i="2"/>
  <c r="T26" i="2"/>
  <c r="T184" i="2"/>
  <c r="T37" i="2"/>
  <c r="T90" i="2"/>
  <c r="T63" i="2"/>
  <c r="T134" i="2"/>
  <c r="T107" i="2"/>
  <c r="T105" i="2"/>
  <c r="T88" i="2"/>
  <c r="T100" i="2"/>
  <c r="T13" i="2"/>
  <c r="T73" i="2"/>
  <c r="T103" i="2"/>
  <c r="T102" i="2"/>
  <c r="T101" i="2"/>
  <c r="T9" i="2"/>
  <c r="T153" i="2"/>
  <c r="T146" i="2"/>
  <c r="T138" i="2"/>
  <c r="T156" i="2"/>
  <c r="T157" i="2"/>
  <c r="T152" i="2"/>
  <c r="T32" i="2"/>
  <c r="T36" i="2"/>
  <c r="T38" i="2"/>
  <c r="T40" i="2"/>
  <c r="T113" i="2"/>
  <c r="T16" i="2"/>
  <c r="T70" i="2"/>
  <c r="T61" i="2"/>
  <c r="T41" i="2"/>
  <c r="T14" i="2"/>
  <c r="T142" i="2"/>
  <c r="T148" i="2"/>
  <c r="T126" i="2"/>
  <c r="T144" i="2"/>
  <c r="T145" i="2"/>
  <c r="T35" i="2"/>
  <c r="T151" i="2"/>
  <c r="T150" i="2"/>
  <c r="T140" i="2"/>
  <c r="T130" i="2"/>
  <c r="T129" i="2"/>
  <c r="T120" i="2"/>
  <c r="T131" i="2"/>
  <c r="T19" i="2"/>
  <c r="T15" i="2"/>
  <c r="T149" i="2"/>
  <c r="T18" i="2"/>
  <c r="T60" i="2"/>
  <c r="T51" i="2"/>
  <c r="T86" i="2"/>
  <c r="T72" i="2"/>
  <c r="T8" i="2"/>
  <c r="T109" i="2"/>
  <c r="T173" i="2"/>
  <c r="T5" i="2"/>
  <c r="T66" i="2"/>
  <c r="T172" i="2"/>
  <c r="T176" i="2"/>
  <c r="T34" i="2"/>
  <c r="T30" i="2"/>
  <c r="T122" i="2"/>
  <c r="T128" i="2"/>
  <c r="T25" i="2"/>
  <c r="T170" i="2"/>
  <c r="T84" i="2"/>
  <c r="T89" i="2"/>
  <c r="T6" i="2"/>
  <c r="T82" i="2"/>
  <c r="T85" i="2"/>
  <c r="T195" i="2"/>
  <c r="T39" i="2"/>
  <c r="T3" i="2"/>
  <c r="T95" i="2"/>
  <c r="T65" i="2"/>
  <c r="T77" i="2"/>
  <c r="T97" i="2"/>
  <c r="T114" i="2"/>
  <c r="T180" i="2"/>
  <c r="T56" i="2"/>
  <c r="T12" i="2"/>
  <c r="T182" i="2"/>
  <c r="T68" i="2"/>
  <c r="T160" i="2"/>
  <c r="T143" i="2"/>
  <c r="T186" i="2"/>
  <c r="T179" i="2"/>
  <c r="T123" i="2"/>
  <c r="T83" i="2"/>
  <c r="T133" i="2"/>
  <c r="T196" i="2"/>
  <c r="T192" i="2"/>
  <c r="T23" i="2"/>
  <c r="T75" i="2"/>
  <c r="T177" i="2"/>
  <c r="T104" i="2"/>
  <c r="T22" i="2"/>
  <c r="T62" i="2"/>
  <c r="T110" i="2"/>
  <c r="T27" i="2"/>
  <c r="T118" i="2"/>
  <c r="T49" i="2"/>
  <c r="T167" i="2"/>
  <c r="T168" i="2"/>
  <c r="T158" i="2"/>
  <c r="T135" i="2"/>
  <c r="T44" i="2"/>
  <c r="T185" i="2"/>
  <c r="T91" i="2"/>
  <c r="T76" i="2"/>
  <c r="T194" i="2"/>
  <c r="T54" i="2"/>
  <c r="T59" i="2"/>
  <c r="T17" i="2"/>
  <c r="T67" i="2"/>
  <c r="T155" i="2"/>
  <c r="T188" i="2"/>
  <c r="T183" i="2"/>
  <c r="T79" i="2"/>
  <c r="T99" i="2"/>
  <c r="T58" i="2"/>
  <c r="T117" i="2"/>
  <c r="T166" i="2"/>
  <c r="T139" i="2"/>
  <c r="T163" i="2"/>
  <c r="F94" i="2"/>
  <c r="F183" i="2"/>
  <c r="F188" i="2"/>
  <c r="F155" i="2"/>
  <c r="F67" i="2"/>
  <c r="F17" i="2"/>
  <c r="F59" i="2"/>
  <c r="F54" i="2"/>
  <c r="F194" i="2"/>
  <c r="F76" i="2"/>
  <c r="F91" i="2"/>
  <c r="F185" i="2"/>
  <c r="F44" i="2"/>
  <c r="F135" i="2"/>
  <c r="F158" i="2"/>
  <c r="F168" i="2"/>
  <c r="F167" i="2"/>
  <c r="F49" i="2"/>
  <c r="F118" i="2"/>
  <c r="F27" i="2"/>
  <c r="F110" i="2"/>
  <c r="F62" i="2"/>
  <c r="F22" i="2"/>
  <c r="F104" i="2"/>
  <c r="F177" i="2"/>
  <c r="F75" i="2"/>
  <c r="F23" i="2"/>
  <c r="F192" i="2"/>
  <c r="F196" i="2"/>
  <c r="F133" i="2"/>
  <c r="F83" i="2"/>
  <c r="F123" i="2"/>
  <c r="F179" i="2"/>
  <c r="F186" i="2"/>
  <c r="F143" i="2"/>
  <c r="F160" i="2"/>
  <c r="F68" i="2"/>
  <c r="F182" i="2"/>
  <c r="F12" i="2"/>
  <c r="F56" i="2"/>
  <c r="F180" i="2"/>
  <c r="F114" i="2"/>
  <c r="F97" i="2"/>
  <c r="F77" i="2"/>
  <c r="F65" i="2"/>
  <c r="F95" i="2"/>
  <c r="F3" i="2"/>
  <c r="F39" i="2"/>
  <c r="F195" i="2"/>
  <c r="F85" i="2"/>
  <c r="F82" i="2"/>
  <c r="F6" i="2"/>
  <c r="F89" i="2"/>
  <c r="F84" i="2"/>
  <c r="F170" i="2"/>
  <c r="F25" i="2"/>
  <c r="F128" i="2"/>
  <c r="F122" i="2"/>
  <c r="F30" i="2"/>
  <c r="F34" i="2"/>
  <c r="F176" i="2"/>
  <c r="F172" i="2"/>
  <c r="F66" i="2"/>
  <c r="F5" i="2"/>
  <c r="F173" i="2"/>
  <c r="F109" i="2"/>
  <c r="F8" i="2"/>
  <c r="F72" i="2"/>
  <c r="F86" i="2"/>
  <c r="F51" i="2"/>
  <c r="F60" i="2"/>
  <c r="F18" i="2"/>
  <c r="F149" i="2"/>
  <c r="F15" i="2"/>
  <c r="F19" i="2"/>
  <c r="F131" i="2"/>
  <c r="F120" i="2"/>
  <c r="F129" i="2"/>
  <c r="F130" i="2"/>
  <c r="F140" i="2"/>
  <c r="F150" i="2"/>
  <c r="F151" i="2"/>
  <c r="F35" i="2"/>
  <c r="F145" i="2"/>
  <c r="F144" i="2"/>
  <c r="F126" i="2"/>
  <c r="F148" i="2"/>
  <c r="F142" i="2"/>
  <c r="F14" i="2"/>
  <c r="F41" i="2"/>
  <c r="F61" i="2"/>
  <c r="F70" i="2"/>
  <c r="F16" i="2"/>
  <c r="F113" i="2"/>
  <c r="F40" i="2"/>
  <c r="F38" i="2"/>
  <c r="F36" i="2"/>
  <c r="F32" i="2"/>
  <c r="F152" i="2"/>
  <c r="F157" i="2"/>
  <c r="F156" i="2"/>
  <c r="F138" i="2"/>
  <c r="F146" i="2"/>
  <c r="F153" i="2"/>
  <c r="F9" i="2"/>
  <c r="F101" i="2"/>
  <c r="F102" i="2"/>
  <c r="F103" i="2"/>
  <c r="F73" i="2"/>
  <c r="F13" i="2"/>
  <c r="F100" i="2"/>
  <c r="F88" i="2"/>
  <c r="F105" i="2"/>
  <c r="F107" i="2"/>
  <c r="F134" i="2"/>
  <c r="F63" i="2"/>
  <c r="F90" i="2"/>
  <c r="F37" i="2"/>
  <c r="F184" i="2"/>
  <c r="F26" i="2"/>
  <c r="F127" i="2"/>
  <c r="F33" i="2"/>
  <c r="F154" i="2"/>
  <c r="F87" i="2"/>
  <c r="F93" i="2"/>
  <c r="F4" i="2"/>
  <c r="F96" i="2"/>
  <c r="F57" i="2"/>
  <c r="F69" i="2"/>
  <c r="F7" i="2"/>
  <c r="F24" i="2"/>
  <c r="F116" i="2"/>
  <c r="F115" i="2"/>
  <c r="F80" i="2"/>
  <c r="F111" i="2"/>
  <c r="F21" i="2"/>
  <c r="F119" i="2"/>
  <c r="F11" i="2"/>
  <c r="F20" i="2"/>
  <c r="F92" i="2"/>
  <c r="F124" i="2"/>
  <c r="F125" i="2"/>
  <c r="F53" i="2"/>
  <c r="F112" i="2"/>
  <c r="F71" i="2"/>
  <c r="F31" i="2"/>
  <c r="F108" i="2"/>
  <c r="F74" i="2"/>
  <c r="F46" i="2"/>
  <c r="F42" i="2"/>
  <c r="F161" i="2"/>
  <c r="F147" i="2"/>
  <c r="F141" i="2"/>
  <c r="F159" i="2"/>
  <c r="F10" i="2"/>
  <c r="F136" i="2"/>
  <c r="F137" i="2"/>
  <c r="F106" i="2"/>
  <c r="F28" i="2"/>
  <c r="F55" i="2"/>
  <c r="F45" i="2"/>
  <c r="F81" i="2"/>
  <c r="F48" i="2"/>
  <c r="F29" i="2"/>
  <c r="F52" i="2"/>
  <c r="F78" i="2"/>
  <c r="F50" i="2"/>
  <c r="F121" i="2"/>
  <c r="F64" i="2"/>
  <c r="F43" i="2"/>
  <c r="F132" i="2"/>
  <c r="F47" i="2"/>
  <c r="F98" i="2"/>
  <c r="F162" i="2"/>
  <c r="F175" i="2"/>
  <c r="F178" i="2"/>
  <c r="F165" i="2"/>
  <c r="F193" i="2"/>
  <c r="F191" i="2"/>
  <c r="F190" i="2"/>
  <c r="F189" i="2"/>
  <c r="F181" i="2"/>
  <c r="F171" i="2"/>
  <c r="F169" i="2"/>
  <c r="F164" i="2"/>
  <c r="F174" i="2"/>
  <c r="F187" i="2"/>
  <c r="F166" i="2"/>
  <c r="F117" i="2"/>
  <c r="F58" i="2"/>
  <c r="F99" i="2"/>
  <c r="F79" i="2"/>
  <c r="F139" i="2"/>
  <c r="F163" i="2"/>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235"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34" i="1"/>
  <c r="F233"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R19" i="21"/>
  <c r="V17" i="21"/>
  <c r="V11" i="21"/>
  <c r="T10" i="21"/>
  <c r="R9" i="21"/>
  <c r="Q19" i="21"/>
  <c r="U17" i="21"/>
  <c r="U11" i="21"/>
  <c r="S10" i="21"/>
  <c r="Q9" i="21"/>
  <c r="V18" i="21"/>
  <c r="T17" i="21"/>
  <c r="T11" i="21"/>
  <c r="R10" i="21"/>
  <c r="V8" i="21"/>
  <c r="N6" i="21"/>
  <c r="U18" i="21"/>
  <c r="S17" i="21"/>
  <c r="S11" i="21"/>
  <c r="Q10" i="21"/>
  <c r="U8" i="21"/>
  <c r="L6" i="21"/>
  <c r="V19" i="21"/>
  <c r="T18" i="21"/>
  <c r="R17" i="21"/>
  <c r="R11" i="21"/>
  <c r="V9" i="21"/>
  <c r="T8" i="21"/>
  <c r="J6" i="21"/>
  <c r="S18" i="21"/>
  <c r="Q17" i="21"/>
  <c r="Q11" i="21"/>
  <c r="U9" i="21"/>
  <c r="S8" i="21"/>
  <c r="H6" i="21"/>
  <c r="T19" i="21"/>
  <c r="R18" i="21"/>
  <c r="J17" i="21"/>
  <c r="V10" i="21"/>
  <c r="T9" i="21"/>
  <c r="R8" i="21"/>
  <c r="S19" i="21"/>
  <c r="Q18" i="21"/>
  <c r="H17" i="21"/>
  <c r="U10" i="21"/>
  <c r="S9" i="21"/>
  <c r="Q8" i="21"/>
  <c r="U19" i="21"/>
  <c r="Q18" i="19"/>
  <c r="U18" i="19"/>
  <c r="S10" i="19"/>
  <c r="Q17" i="19"/>
  <c r="T18" i="19"/>
  <c r="V19" i="19"/>
  <c r="S18" i="19"/>
  <c r="U11" i="19"/>
  <c r="U9" i="19"/>
  <c r="R10" i="19"/>
  <c r="J6" i="19"/>
  <c r="J17" i="19"/>
  <c r="V18" i="19"/>
  <c r="T10" i="19"/>
  <c r="Q9" i="19"/>
  <c r="R17" i="19"/>
  <c r="V9" i="19"/>
  <c r="U19" i="19"/>
  <c r="R18" i="19"/>
  <c r="T11" i="19"/>
  <c r="T9" i="19"/>
  <c r="R9" i="19"/>
  <c r="H6" i="19"/>
  <c r="T19" i="19"/>
  <c r="V17" i="19"/>
  <c r="S11" i="19"/>
  <c r="S9" i="19"/>
  <c r="R8" i="19"/>
  <c r="T8" i="19"/>
  <c r="V11" i="19"/>
  <c r="H17" i="19"/>
  <c r="S19" i="19"/>
  <c r="U17" i="19"/>
  <c r="V10" i="19"/>
  <c r="V8" i="19"/>
  <c r="Q11" i="19"/>
  <c r="L6" i="19"/>
  <c r="R19" i="19"/>
  <c r="T17" i="19"/>
  <c r="U10" i="19"/>
  <c r="U8" i="19"/>
  <c r="Q10" i="19"/>
  <c r="N6" i="19"/>
  <c r="Q19" i="19"/>
  <c r="S17" i="19"/>
  <c r="S8" i="19"/>
  <c r="Q8" i="19"/>
  <c r="R11" i="19"/>
  <c r="U27" i="21" l="1"/>
  <c r="U28" i="21"/>
  <c r="V29" i="21"/>
  <c r="Q30" i="21"/>
  <c r="Q29" i="21"/>
  <c r="Q28" i="21"/>
  <c r="V27" i="21"/>
  <c r="U30" i="21"/>
  <c r="U27" i="19"/>
  <c r="Q30" i="19"/>
  <c r="V27" i="19"/>
  <c r="U28" i="19"/>
  <c r="V29" i="19"/>
  <c r="Q28" i="19"/>
  <c r="U30" i="19"/>
  <c r="Q29" i="19"/>
  <c r="D31" i="14"/>
  <c r="D15" i="14"/>
  <c r="D38" i="14"/>
  <c r="D36" i="14"/>
  <c r="D35" i="14"/>
  <c r="B46" i="14"/>
  <c r="D13" i="14"/>
  <c r="B47" i="14"/>
  <c r="D8" i="14"/>
  <c r="C9" i="14"/>
  <c r="M11" i="14"/>
  <c r="B48" i="14"/>
  <c r="B49" i="14"/>
  <c r="D17" i="14"/>
  <c r="D16" i="14"/>
  <c r="D14" i="14"/>
  <c r="D18" i="14"/>
  <c r="D7" i="14"/>
  <c r="D30" i="14"/>
  <c r="D29" i="14"/>
  <c r="N14" i="14"/>
  <c r="N11" i="14"/>
  <c r="B9" i="14"/>
  <c r="D6" i="14"/>
  <c r="M19" i="14"/>
  <c r="D25" i="14"/>
  <c r="D24" i="14"/>
  <c r="N13" i="14"/>
  <c r="D23" i="14"/>
  <c r="D22" i="14"/>
  <c r="G38" i="5" a="1"/>
  <c r="G38" i="5" s="1"/>
  <c r="C59" i="5" a="1"/>
  <c r="C59" i="5" s="1"/>
  <c r="I16" i="5" a="1"/>
  <c r="I16" i="5" s="1"/>
  <c r="O25" i="5" a="1"/>
  <c r="O25" i="5" s="1"/>
  <c r="E13" i="5" a="1"/>
  <c r="E13" i="5" s="1"/>
  <c r="E80" i="10" a="1"/>
  <c r="E80" i="10" s="1"/>
  <c r="B78" i="5" a="1"/>
  <c r="B78" i="5" s="1"/>
  <c r="D78" i="5" s="1" a="1"/>
  <c r="D78" i="5" s="1"/>
  <c r="G39" i="6" a="1"/>
  <c r="G39" i="6" s="1"/>
  <c r="B27" i="5" a="1"/>
  <c r="B27" i="5" s="1"/>
  <c r="O24" i="5" a="1"/>
  <c r="O24" i="5" s="1"/>
  <c r="J7" i="5" a="1"/>
  <c r="J7" i="5" s="1"/>
  <c r="C79" i="5" a="1"/>
  <c r="C79" i="5" s="1"/>
  <c r="E8" i="5" a="1"/>
  <c r="E8" i="5" s="1"/>
  <c r="B7" i="5" a="1"/>
  <c r="B7" i="5" s="1"/>
  <c r="H7" i="5" s="1" a="1"/>
  <c r="H7" i="5" s="1"/>
  <c r="B39" i="5" a="1"/>
  <c r="B39" i="5" s="1"/>
  <c r="E39" i="5" s="1" a="1"/>
  <c r="E39" i="5" s="1"/>
  <c r="B8" i="5" a="1"/>
  <c r="B8" i="5" s="1"/>
  <c r="N7" i="5" s="1"/>
  <c r="I14" i="5" a="1"/>
  <c r="I14" i="5" s="1"/>
  <c r="E21" i="5" a="1"/>
  <c r="E21" i="5" s="1"/>
  <c r="G85" i="5" a="1"/>
  <c r="G85" i="5" s="1"/>
  <c r="B53" i="6" a="1"/>
  <c r="B53" i="6" s="1"/>
  <c r="G58" i="6" a="1"/>
  <c r="G58" i="6" s="1"/>
  <c r="B66" i="5" a="1"/>
  <c r="B66" i="5" s="1"/>
  <c r="E14" i="5" a="1"/>
  <c r="E14" i="5" s="1"/>
  <c r="B15" i="5" a="1"/>
  <c r="B15" i="5" s="1"/>
  <c r="B41" i="5" a="1"/>
  <c r="B41" i="5" s="1"/>
  <c r="E41" i="5" s="1" a="1"/>
  <c r="E41" i="5" s="1"/>
  <c r="B6" i="5" a="1"/>
  <c r="B6" i="5" s="1"/>
  <c r="H6" i="5" s="1" a="1"/>
  <c r="H6" i="5" s="1"/>
  <c r="E9" i="5" a="1"/>
  <c r="E9" i="5" s="1"/>
  <c r="C10" i="11" s="1"/>
  <c r="I15" i="5" a="1"/>
  <c r="I15" i="5" s="1"/>
  <c r="B38" i="5" a="1"/>
  <c r="B38" i="5" s="1"/>
  <c r="E38" i="5" s="1" a="1"/>
  <c r="E38" i="5" s="1"/>
  <c r="B58" i="5" a="1"/>
  <c r="B58" i="5" s="1"/>
  <c r="E58" i="5" s="1" a="1"/>
  <c r="E58" i="5" s="1"/>
  <c r="J9" i="6" a="1"/>
  <c r="J9" i="6" s="1"/>
  <c r="B26" i="5" a="1"/>
  <c r="B26" i="5" s="1"/>
  <c r="I8" i="5" a="1"/>
  <c r="I8" i="5" s="1"/>
  <c r="C15" i="5" a="1"/>
  <c r="C15" i="5" s="1"/>
  <c r="B28" i="5" a="1"/>
  <c r="B28" i="5" s="1"/>
  <c r="B46" i="5" a="1"/>
  <c r="B46" i="5" s="1"/>
  <c r="I6" i="5" a="1"/>
  <c r="I6" i="5" s="1"/>
  <c r="B13" i="5" a="1"/>
  <c r="B13" i="5" s="1"/>
  <c r="H13" i="5" s="1" a="1"/>
  <c r="H13" i="5" s="1"/>
  <c r="C16" i="5" a="1"/>
  <c r="C16" i="5" s="1"/>
  <c r="F38" i="5" a="1"/>
  <c r="F38" i="5" s="1"/>
  <c r="B59" i="5" a="1"/>
  <c r="B59" i="5" s="1"/>
  <c r="E59" i="5" s="1" a="1"/>
  <c r="E59" i="5" s="1"/>
  <c r="E21" i="6" a="1"/>
  <c r="E21" i="6" s="1"/>
  <c r="B40" i="5" a="1"/>
  <c r="B40" i="5" s="1"/>
  <c r="E40" i="5" s="1" a="1"/>
  <c r="E40" i="5" s="1"/>
  <c r="B52" i="5" a="1"/>
  <c r="B52" i="5" s="1"/>
  <c r="O23" i="5" a="1"/>
  <c r="O23" i="5" s="1"/>
  <c r="B72" i="5" a="1"/>
  <c r="B72" i="5" s="1"/>
  <c r="E20" i="6" a="1"/>
  <c r="E20" i="6" s="1"/>
  <c r="E13" i="6" a="1"/>
  <c r="E13" i="6" s="1"/>
  <c r="I8" i="6" a="1"/>
  <c r="I8" i="6" s="1"/>
  <c r="F38" i="6" a="1"/>
  <c r="F38" i="6" s="1"/>
  <c r="I13" i="5" a="1"/>
  <c r="I13" i="5" s="1"/>
  <c r="C39" i="5" a="1"/>
  <c r="C39" i="5" s="1"/>
  <c r="C7" i="5" a="1"/>
  <c r="C7" i="5" s="1"/>
  <c r="O6" i="5" s="1"/>
  <c r="J16" i="5" a="1"/>
  <c r="J16" i="5" s="1"/>
  <c r="I7" i="5" a="1"/>
  <c r="I7" i="5" s="1"/>
  <c r="B14" i="5" a="1"/>
  <c r="B14" i="5" s="1"/>
  <c r="N12" i="5" s="1"/>
  <c r="B21" i="5" a="1"/>
  <c r="B21" i="5" s="1"/>
  <c r="F21" i="5" s="1" a="1"/>
  <c r="F21" i="5" s="1"/>
  <c r="F40" i="5" a="1"/>
  <c r="F40" i="5" s="1"/>
  <c r="J8" i="8" a="1"/>
  <c r="J8" i="8" s="1"/>
  <c r="C13" i="6" a="1"/>
  <c r="C13" i="6" s="1"/>
  <c r="C85" i="5" a="1"/>
  <c r="C85" i="5" s="1"/>
  <c r="J6" i="5" a="1"/>
  <c r="J6" i="5" s="1"/>
  <c r="C8" i="5" a="1"/>
  <c r="C8" i="5" s="1"/>
  <c r="O7" i="5" s="1"/>
  <c r="C13" i="5" a="1"/>
  <c r="C13" i="5" s="1"/>
  <c r="J14" i="5" a="1"/>
  <c r="J14" i="5" s="1"/>
  <c r="E16" i="5" a="1"/>
  <c r="E16" i="5" s="1"/>
  <c r="C21" i="5" a="1"/>
  <c r="C21" i="5" s="1"/>
  <c r="C38" i="5" a="1"/>
  <c r="C38" i="5" s="1"/>
  <c r="G40" i="5" a="1"/>
  <c r="G40" i="5" s="1"/>
  <c r="C58" i="5" a="1"/>
  <c r="C58" i="5" s="1"/>
  <c r="B79" i="5" a="1"/>
  <c r="B79" i="5" s="1"/>
  <c r="F79" i="5" s="1" a="1"/>
  <c r="F79" i="5" s="1"/>
  <c r="G40" i="6" a="1"/>
  <c r="G40" i="6" s="1"/>
  <c r="B15" i="6" a="1"/>
  <c r="B15" i="6" s="1"/>
  <c r="N13" i="6" s="1"/>
  <c r="B57" i="6" a="1"/>
  <c r="B57" i="6" s="1"/>
  <c r="E57" i="6" s="1" a="1"/>
  <c r="E57" i="6" s="1"/>
  <c r="B16" i="6" a="1"/>
  <c r="B16" i="6" s="1"/>
  <c r="I16" i="6" s="1" a="1"/>
  <c r="I16" i="6" s="1"/>
  <c r="B60" i="6" a="1"/>
  <c r="B60" i="6" s="1"/>
  <c r="E60" i="6" s="1" a="1"/>
  <c r="E60" i="6" s="1"/>
  <c r="B83" i="5" a="1"/>
  <c r="B83" i="5" s="1"/>
  <c r="F83" i="5" s="1" a="1"/>
  <c r="F83" i="5" s="1"/>
  <c r="E7" i="5" a="1"/>
  <c r="E7" i="5" s="1"/>
  <c r="J8" i="5" a="1"/>
  <c r="J8" i="5" s="1"/>
  <c r="J13" i="5" a="1"/>
  <c r="J13" i="5" s="1"/>
  <c r="E15" i="5" a="1"/>
  <c r="E15" i="5" s="1"/>
  <c r="B20" i="5" a="1"/>
  <c r="B20" i="5" s="1"/>
  <c r="F20" i="5" s="1" a="1"/>
  <c r="F20" i="5" s="1"/>
  <c r="B45" i="5" a="1"/>
  <c r="B45" i="5" s="1"/>
  <c r="C30" i="11" s="1"/>
  <c r="B65" i="5" a="1"/>
  <c r="B65" i="5" s="1"/>
  <c r="B84" i="5" a="1"/>
  <c r="B84" i="5" s="1"/>
  <c r="F84" i="5" s="1" a="1"/>
  <c r="F84" i="5" s="1"/>
  <c r="E6" i="6" a="1"/>
  <c r="E6" i="6" s="1"/>
  <c r="C84" i="6" a="1"/>
  <c r="C84" i="6" s="1"/>
  <c r="F40" i="8" a="1"/>
  <c r="F40" i="8" s="1"/>
  <c r="E14" i="6" a="1"/>
  <c r="E14" i="6" s="1"/>
  <c r="C21" i="6" a="1"/>
  <c r="C21" i="6" s="1"/>
  <c r="B38" i="6" a="1"/>
  <c r="B38" i="6" s="1"/>
  <c r="E38" i="6" s="1" a="1"/>
  <c r="E38" i="6" s="1"/>
  <c r="C38" i="6" a="1"/>
  <c r="C38" i="6" s="1"/>
  <c r="C39" i="6" a="1"/>
  <c r="C39" i="6" s="1"/>
  <c r="B40" i="6" a="1"/>
  <c r="B40" i="6" s="1"/>
  <c r="E40" i="6" s="1" a="1"/>
  <c r="E40" i="6" s="1"/>
  <c r="F39" i="6" a="1"/>
  <c r="F39" i="6" s="1"/>
  <c r="F40" i="6" a="1"/>
  <c r="F40" i="6" s="1"/>
  <c r="B33" i="8" a="1"/>
  <c r="B33" i="8" s="1"/>
  <c r="C6" i="5" a="1"/>
  <c r="C6" i="5" s="1"/>
  <c r="O5" i="5" s="1"/>
  <c r="I9" i="5" a="1"/>
  <c r="I9" i="5" s="1"/>
  <c r="C14" i="5" a="1"/>
  <c r="C14" i="5" s="1"/>
  <c r="J15" i="5" a="1"/>
  <c r="J15" i="5" s="1"/>
  <c r="C20" i="5" a="1"/>
  <c r="C20" i="5" s="1"/>
  <c r="B33" i="5" a="1"/>
  <c r="B33" i="5" s="1"/>
  <c r="B47" i="5" a="1"/>
  <c r="B47" i="5" s="1"/>
  <c r="C24" i="11" s="1"/>
  <c r="B71" i="5" a="1"/>
  <c r="B71" i="5" s="1"/>
  <c r="D84" i="5" a="1"/>
  <c r="D84" i="5" s="1"/>
  <c r="B8" i="6" a="1"/>
  <c r="B8" i="6" s="1"/>
  <c r="F8" i="6" s="1" a="1"/>
  <c r="F8" i="6" s="1"/>
  <c r="B34" i="6" a="1"/>
  <c r="B34" i="6" s="1"/>
  <c r="C84" i="5" a="1"/>
  <c r="C84" i="5" s="1"/>
  <c r="B7" i="6" a="1"/>
  <c r="B7" i="6" s="1"/>
  <c r="H7" i="6" s="1" a="1"/>
  <c r="H7" i="6" s="1"/>
  <c r="E6" i="5" a="1"/>
  <c r="E6" i="5" s="1"/>
  <c r="J9" i="5" a="1"/>
  <c r="J9" i="5" s="1"/>
  <c r="B16" i="5" a="1"/>
  <c r="B16" i="5" s="1"/>
  <c r="E20" i="5" a="1"/>
  <c r="E20" i="5" s="1"/>
  <c r="B34" i="5" a="1"/>
  <c r="B34" i="5" s="1"/>
  <c r="C40" i="5" a="1"/>
  <c r="C40" i="5" s="1"/>
  <c r="G84" i="5" a="1"/>
  <c r="G84" i="5" s="1"/>
  <c r="C59" i="6" a="1"/>
  <c r="C59" i="6" s="1"/>
  <c r="B77" i="6" a="1"/>
  <c r="B77" i="6" s="1"/>
  <c r="F77" i="6" s="1" a="1"/>
  <c r="F77" i="6" s="1"/>
  <c r="C39" i="8" a="1"/>
  <c r="C39" i="8" s="1"/>
  <c r="I8" i="10" a="1"/>
  <c r="I8" i="10" s="1"/>
  <c r="C61" i="8" a="1"/>
  <c r="C61" i="8" s="1"/>
  <c r="B53" i="5" a="1"/>
  <c r="B53" i="5" s="1"/>
  <c r="B60" i="5" a="1"/>
  <c r="B60" i="5" s="1"/>
  <c r="E60" i="5" s="1" a="1"/>
  <c r="E60" i="5" s="1"/>
  <c r="B76" i="5" a="1"/>
  <c r="B76" i="5" s="1"/>
  <c r="F76" i="5" s="1" a="1"/>
  <c r="F76" i="5" s="1"/>
  <c r="B85" i="5" a="1"/>
  <c r="B85" i="5" s="1"/>
  <c r="F85" i="5" s="1" a="1"/>
  <c r="F85" i="5" s="1"/>
  <c r="O26" i="5" a="1"/>
  <c r="O26" i="5" s="1"/>
  <c r="C7" i="6" a="1"/>
  <c r="C7" i="6" s="1"/>
  <c r="J8" i="6" a="1"/>
  <c r="J8" i="6" s="1"/>
  <c r="B14" i="6" a="1"/>
  <c r="B14" i="6" s="1"/>
  <c r="J14" i="6" s="1" a="1"/>
  <c r="J14" i="6" s="1"/>
  <c r="C16" i="6" a="1"/>
  <c r="C16" i="6" s="1"/>
  <c r="D16" i="6" s="1"/>
  <c r="B26" i="6" a="1"/>
  <c r="B26" i="6" s="1"/>
  <c r="B31" i="6" s="1" a="1"/>
  <c r="B31" i="6" s="1"/>
  <c r="G38" i="6" a="1"/>
  <c r="G38" i="6" s="1"/>
  <c r="B41" i="6" a="1"/>
  <c r="B41" i="6" s="1"/>
  <c r="E41" i="6" s="1" a="1"/>
  <c r="E41" i="6" s="1"/>
  <c r="C57" i="6" a="1"/>
  <c r="C57" i="6" s="1"/>
  <c r="F60" i="6" a="1"/>
  <c r="F60" i="6" s="1"/>
  <c r="C85" i="6" a="1"/>
  <c r="C85" i="6" s="1"/>
  <c r="B58" i="8" a="1"/>
  <c r="B58" i="8" s="1"/>
  <c r="E58" i="8" s="1" a="1"/>
  <c r="E58" i="8" s="1"/>
  <c r="F39" i="5" a="1"/>
  <c r="F39" i="5" s="1"/>
  <c r="C41" i="5" a="1"/>
  <c r="C41" i="5" s="1"/>
  <c r="B57" i="5" a="1"/>
  <c r="B57" i="5" s="1"/>
  <c r="E57" i="5" s="1" a="1"/>
  <c r="E57" i="5" s="1"/>
  <c r="C76" i="5" a="1"/>
  <c r="C76" i="5" s="1"/>
  <c r="C83" i="5" a="1"/>
  <c r="C83" i="5" s="1"/>
  <c r="O27" i="5" a="1"/>
  <c r="O27" i="5" s="1"/>
  <c r="E7" i="6" a="1"/>
  <c r="E7" i="6" s="1"/>
  <c r="E9" i="6" a="1"/>
  <c r="E9" i="6" s="1"/>
  <c r="D10" i="11" s="1"/>
  <c r="C14" i="6" a="1"/>
  <c r="C14" i="6" s="1"/>
  <c r="E16" i="6" a="1"/>
  <c r="E16" i="6" s="1"/>
  <c r="B27" i="6" a="1"/>
  <c r="B27" i="6" s="1"/>
  <c r="B39" i="6" a="1"/>
  <c r="B39" i="6" s="1"/>
  <c r="E39" i="6" s="1" a="1"/>
  <c r="E39" i="6" s="1"/>
  <c r="C41" i="6" a="1"/>
  <c r="C41" i="6" s="1"/>
  <c r="F57" i="6" a="1"/>
  <c r="F57" i="6" s="1"/>
  <c r="G60" i="6" a="1"/>
  <c r="G60" i="6" s="1"/>
  <c r="N25" i="6" a="1"/>
  <c r="N25" i="6" s="1"/>
  <c r="G59" i="8" a="1"/>
  <c r="G59" i="8" s="1"/>
  <c r="G39" i="5" a="1"/>
  <c r="G39" i="5" s="1"/>
  <c r="F41" i="5" a="1"/>
  <c r="F41" i="5" s="1"/>
  <c r="C60" i="5" a="1"/>
  <c r="C60" i="5" s="1"/>
  <c r="B77" i="5" a="1"/>
  <c r="B77" i="5" s="1"/>
  <c r="F77" i="5" s="1" a="1"/>
  <c r="F77" i="5" s="1"/>
  <c r="D83" i="5" a="1"/>
  <c r="D83" i="5" s="1"/>
  <c r="B6" i="6" a="1"/>
  <c r="B6" i="6" s="1"/>
  <c r="N5" i="6" s="1"/>
  <c r="I7" i="6" a="1"/>
  <c r="I7" i="6" s="1"/>
  <c r="B20" i="6" a="1"/>
  <c r="B20" i="6" s="1"/>
  <c r="F20" i="6" s="1" a="1"/>
  <c r="F20" i="6" s="1"/>
  <c r="B28" i="6" a="1"/>
  <c r="B28" i="6" s="1"/>
  <c r="F41" i="6" a="1"/>
  <c r="F41" i="6" s="1"/>
  <c r="G57" i="6" a="1"/>
  <c r="G57" i="6" s="1"/>
  <c r="B65" i="6" a="1"/>
  <c r="B65" i="6" s="1"/>
  <c r="B6" i="8" a="1"/>
  <c r="B6" i="8" s="1"/>
  <c r="F6" i="8" s="1" a="1"/>
  <c r="F6" i="8" s="1"/>
  <c r="B64" i="8" a="1"/>
  <c r="B64" i="8" s="1"/>
  <c r="B69" i="8" s="1" a="1"/>
  <c r="B69" i="8" s="1"/>
  <c r="G41" i="5" a="1"/>
  <c r="G41" i="5" s="1"/>
  <c r="C57" i="5" a="1"/>
  <c r="C57" i="5" s="1"/>
  <c r="B64" i="5" a="1"/>
  <c r="B64" i="5" s="1"/>
  <c r="C77" i="5" a="1"/>
  <c r="C77" i="5" s="1"/>
  <c r="G83" i="5" a="1"/>
  <c r="G83" i="5" s="1"/>
  <c r="D85" i="5" a="1"/>
  <c r="D85" i="5" s="1"/>
  <c r="C6" i="6" a="1"/>
  <c r="C6" i="6" s="1"/>
  <c r="J7" i="6" a="1"/>
  <c r="J7" i="6" s="1"/>
  <c r="I9" i="6" a="1"/>
  <c r="I9" i="6" s="1"/>
  <c r="C20" i="6" a="1"/>
  <c r="C20" i="6" s="1"/>
  <c r="B33" i="6" a="1"/>
  <c r="B33" i="6" s="1"/>
  <c r="G41" i="6" a="1"/>
  <c r="G41" i="6" s="1"/>
  <c r="C58" i="6" a="1"/>
  <c r="C58" i="6" s="1"/>
  <c r="B66" i="6" a="1"/>
  <c r="B66" i="6" s="1"/>
  <c r="B7" i="8" a="1"/>
  <c r="B7" i="8" s="1"/>
  <c r="F7" i="8" s="1" a="1"/>
  <c r="F7" i="8" s="1"/>
  <c r="I7" i="9" a="1"/>
  <c r="I7" i="9" s="1"/>
  <c r="B45" i="6" a="1"/>
  <c r="B45" i="6" s="1"/>
  <c r="B51" i="6" s="1" a="1"/>
  <c r="B51" i="6" s="1"/>
  <c r="B72" i="6" a="1"/>
  <c r="B72" i="6" s="1"/>
  <c r="C79" i="9" a="1"/>
  <c r="C79" i="9" s="1"/>
  <c r="I6" i="6" a="1"/>
  <c r="I6" i="6" s="1"/>
  <c r="C8" i="6" a="1"/>
  <c r="C8" i="6" s="1"/>
  <c r="B13" i="6" a="1"/>
  <c r="B13" i="6" s="1"/>
  <c r="N11" i="6" s="1"/>
  <c r="C15" i="6" a="1"/>
  <c r="C15" i="6" s="1"/>
  <c r="B21" i="6" a="1"/>
  <c r="B21" i="6" s="1"/>
  <c r="F21" i="6" s="1" a="1"/>
  <c r="F21" i="6" s="1"/>
  <c r="B47" i="6" a="1"/>
  <c r="B47" i="6" s="1"/>
  <c r="D24" i="11" s="1"/>
  <c r="B59" i="6" a="1"/>
  <c r="B59" i="6" s="1"/>
  <c r="E59" i="6" s="1" a="1"/>
  <c r="E59" i="6" s="1"/>
  <c r="B83" i="6" a="1"/>
  <c r="B83" i="6" s="1"/>
  <c r="D83" i="6" s="1" a="1"/>
  <c r="D83" i="6" s="1"/>
  <c r="C16" i="8" a="1"/>
  <c r="C16" i="8" s="1"/>
  <c r="B47" i="9" a="1"/>
  <c r="B47" i="9" s="1"/>
  <c r="J6" i="6" a="1"/>
  <c r="J6" i="6" s="1"/>
  <c r="E8" i="6" a="1"/>
  <c r="E8" i="6" s="1"/>
  <c r="E15" i="6" a="1"/>
  <c r="E15" i="6" s="1"/>
  <c r="B52" i="6" a="1"/>
  <c r="B52" i="6" s="1"/>
  <c r="F59" i="6" a="1"/>
  <c r="F59" i="6" s="1"/>
  <c r="C83" i="6" a="1"/>
  <c r="C83" i="6" s="1"/>
  <c r="B79" i="6" a="1"/>
  <c r="B79" i="6" s="1"/>
  <c r="G79" i="6" s="1" a="1"/>
  <c r="G79" i="6" s="1"/>
  <c r="N23" i="6" a="1"/>
  <c r="N23" i="6" s="1"/>
  <c r="J6" i="8" a="1"/>
  <c r="J6" i="8" s="1"/>
  <c r="C8" i="8" a="1"/>
  <c r="C8" i="8" s="1"/>
  <c r="E20" i="8" a="1"/>
  <c r="E20" i="8" s="1"/>
  <c r="C42" i="8" a="1"/>
  <c r="C42" i="8" s="1"/>
  <c r="B83" i="8" a="1"/>
  <c r="B83" i="8" s="1"/>
  <c r="F83" i="8" s="1" a="1"/>
  <c r="F83" i="8" s="1"/>
  <c r="G80" i="8" a="1"/>
  <c r="G80" i="8" s="1"/>
  <c r="B78" i="8" a="1"/>
  <c r="B78" i="8" s="1"/>
  <c r="E78" i="8" s="1" a="1"/>
  <c r="E78" i="8" s="1"/>
  <c r="C7" i="9" a="1"/>
  <c r="C7" i="9" s="1"/>
  <c r="G77" i="9" a="1"/>
  <c r="G77" i="9" s="1"/>
  <c r="B47" i="10" a="1"/>
  <c r="B47" i="10" s="1"/>
  <c r="B13" i="8" a="1"/>
  <c r="B13" i="8" s="1"/>
  <c r="I13" i="8" s="1" a="1"/>
  <c r="I13" i="8" s="1"/>
  <c r="C41" i="8" a="1"/>
  <c r="C41" i="8" s="1"/>
  <c r="B77" i="8" a="1"/>
  <c r="B77" i="8" s="1"/>
  <c r="E77" i="8" s="1" a="1"/>
  <c r="E77" i="8" s="1"/>
  <c r="E9" i="9" a="1"/>
  <c r="E9" i="9" s="1"/>
  <c r="F10" i="11" s="1"/>
  <c r="B85" i="8" a="1"/>
  <c r="B85" i="8" s="1"/>
  <c r="G85" i="8" s="1" a="1"/>
  <c r="G85" i="8" s="1"/>
  <c r="B14" i="8" a="1"/>
  <c r="B14" i="8" s="1"/>
  <c r="N12" i="8" s="1"/>
  <c r="F42" i="8" a="1"/>
  <c r="F42" i="8" s="1"/>
  <c r="G77" i="8" a="1"/>
  <c r="G77" i="8" s="1"/>
  <c r="C14" i="9" a="1"/>
  <c r="C14" i="9" s="1"/>
  <c r="I6" i="10" a="1"/>
  <c r="I6" i="10" s="1"/>
  <c r="C15" i="8" a="1"/>
  <c r="C15" i="8" s="1"/>
  <c r="B46" i="8" a="1"/>
  <c r="B46" i="8" s="1"/>
  <c r="B79" i="8" a="1"/>
  <c r="B79" i="8" s="1"/>
  <c r="E79" i="8" s="1" a="1"/>
  <c r="E79" i="8" s="1"/>
  <c r="C16" i="9" a="1"/>
  <c r="C16" i="9" s="1"/>
  <c r="G79" i="8" a="1"/>
  <c r="G79" i="8" s="1"/>
  <c r="B33" i="9" a="1"/>
  <c r="B33" i="9" s="1"/>
  <c r="C39" i="10" a="1"/>
  <c r="C39" i="10" s="1"/>
  <c r="B21" i="8" a="1"/>
  <c r="B21" i="8" s="1"/>
  <c r="F21" i="8" s="1" a="1"/>
  <c r="F21" i="8" s="1"/>
  <c r="G58" i="8" a="1"/>
  <c r="G58" i="8" s="1"/>
  <c r="C83" i="8" a="1"/>
  <c r="C83" i="8" s="1"/>
  <c r="C39" i="9" a="1"/>
  <c r="C39" i="9" s="1"/>
  <c r="B58" i="10" a="1"/>
  <c r="B58" i="10" s="1"/>
  <c r="E58" i="10" s="1" a="1"/>
  <c r="E58" i="10" s="1"/>
  <c r="N26" i="8" a="1"/>
  <c r="N26" i="8" s="1"/>
  <c r="F40" i="9" a="1"/>
  <c r="F40" i="9" s="1"/>
  <c r="E8" i="8" a="1"/>
  <c r="E8" i="8" s="1"/>
  <c r="E6" i="9" a="1"/>
  <c r="E6" i="9" s="1"/>
  <c r="B14" i="9" a="1"/>
  <c r="B14" i="9" s="1"/>
  <c r="N12" i="9" s="1"/>
  <c r="B13" i="9" a="1"/>
  <c r="B13" i="9" s="1"/>
  <c r="N11" i="9" s="1"/>
  <c r="J8" i="10" a="1"/>
  <c r="J8" i="10" s="1"/>
  <c r="B27" i="10" a="1"/>
  <c r="B27" i="10" s="1"/>
  <c r="B21" i="9" a="1"/>
  <c r="B21" i="9" s="1"/>
  <c r="B26" i="9" a="1"/>
  <c r="B26" i="9" s="1"/>
  <c r="J9" i="10" a="1"/>
  <c r="J9" i="10" s="1"/>
  <c r="F39" i="9" a="1"/>
  <c r="F39" i="9" s="1"/>
  <c r="C57" i="10" a="1"/>
  <c r="C57" i="10" s="1"/>
  <c r="C14" i="10" a="1"/>
  <c r="C14" i="10" s="1"/>
  <c r="B81" i="10" a="1"/>
  <c r="B81" i="10" s="1"/>
  <c r="F81" i="10" s="1" a="1"/>
  <c r="F81" i="10" s="1"/>
  <c r="N26" i="6" a="1"/>
  <c r="N26" i="6" s="1"/>
  <c r="C7" i="8" a="1"/>
  <c r="C7" i="8" s="1"/>
  <c r="C13" i="8" a="1"/>
  <c r="C13" i="8" s="1"/>
  <c r="E15" i="8" a="1"/>
  <c r="E15" i="8" s="1"/>
  <c r="C21" i="8" a="1"/>
  <c r="C21" i="8" s="1"/>
  <c r="B34" i="8" a="1"/>
  <c r="B34" i="8" s="1"/>
  <c r="G40" i="8" a="1"/>
  <c r="G40" i="8" s="1"/>
  <c r="G42" i="8" a="1"/>
  <c r="G42" i="8" s="1"/>
  <c r="C58" i="8" a="1"/>
  <c r="C58" i="8" s="1"/>
  <c r="F61" i="8" a="1"/>
  <c r="F61" i="8" s="1"/>
  <c r="C77" i="8" a="1"/>
  <c r="C77" i="8" s="1"/>
  <c r="C79" i="8" a="1"/>
  <c r="C79" i="8" s="1"/>
  <c r="B84" i="8" a="1"/>
  <c r="B84" i="8" s="1"/>
  <c r="E84" i="8" s="1" a="1"/>
  <c r="E84" i="8" s="1"/>
  <c r="N27" i="8" a="1"/>
  <c r="N27" i="8" s="1"/>
  <c r="E7" i="9" a="1"/>
  <c r="E7" i="9" s="1"/>
  <c r="I9" i="9" a="1"/>
  <c r="I9" i="9" s="1"/>
  <c r="E20" i="9" a="1"/>
  <c r="E20" i="9" s="1"/>
  <c r="G39" i="9" a="1"/>
  <c r="G39" i="9" s="1"/>
  <c r="B71" i="9" a="1"/>
  <c r="B71" i="9" s="1"/>
  <c r="D79" i="9" a="1"/>
  <c r="D79" i="9" s="1"/>
  <c r="B15" i="9" a="1"/>
  <c r="B15" i="9" s="1"/>
  <c r="N13" i="9" s="1"/>
  <c r="J6" i="10" a="1"/>
  <c r="J6" i="10" s="1"/>
  <c r="I9" i="10" a="1"/>
  <c r="I9" i="10" s="1"/>
  <c r="C20" i="10" a="1"/>
  <c r="C20" i="10" s="1"/>
  <c r="G58" i="10" a="1"/>
  <c r="G58" i="10" s="1"/>
  <c r="C40" i="6" a="1"/>
  <c r="C40" i="6" s="1"/>
  <c r="B46" i="6" a="1"/>
  <c r="B46" i="6" s="1"/>
  <c r="B58" i="6" a="1"/>
  <c r="B58" i="6" s="1"/>
  <c r="E58" i="6" s="1" a="1"/>
  <c r="E58" i="6" s="1"/>
  <c r="G59" i="6" a="1"/>
  <c r="G59" i="6" s="1"/>
  <c r="B71" i="6" a="1"/>
  <c r="B71" i="6" s="1"/>
  <c r="B84" i="6" a="1"/>
  <c r="B84" i="6" s="1"/>
  <c r="E84" i="6" s="1" a="1"/>
  <c r="E84" i="6" s="1"/>
  <c r="N27" i="6" a="1"/>
  <c r="N27" i="6" s="1"/>
  <c r="E7" i="8" a="1"/>
  <c r="E7" i="8" s="1"/>
  <c r="I8" i="8" a="1"/>
  <c r="I8" i="8" s="1"/>
  <c r="E13" i="8" a="1"/>
  <c r="E13" i="8" s="1"/>
  <c r="B16" i="8" a="1"/>
  <c r="B16" i="8" s="1"/>
  <c r="J16" i="8" s="1" a="1"/>
  <c r="J16" i="8" s="1"/>
  <c r="E21" i="8" a="1"/>
  <c r="E21" i="8" s="1"/>
  <c r="B39" i="8" a="1"/>
  <c r="B39" i="8" s="1"/>
  <c r="E39" i="8" s="1" a="1"/>
  <c r="E39" i="8" s="1"/>
  <c r="B41" i="8" a="1"/>
  <c r="B41" i="8" s="1"/>
  <c r="E41" i="8" s="1" a="1"/>
  <c r="E41" i="8" s="1"/>
  <c r="B45" i="8" a="1"/>
  <c r="B45" i="8" s="1"/>
  <c r="F58" i="8" a="1"/>
  <c r="F58" i="8" s="1"/>
  <c r="B60" i="8" a="1"/>
  <c r="B60" i="8" s="1"/>
  <c r="E60" i="8" s="1" a="1"/>
  <c r="E60" i="8" s="1"/>
  <c r="G61" i="8" a="1"/>
  <c r="G61" i="8" s="1"/>
  <c r="F77" i="8" a="1"/>
  <c r="F77" i="8" s="1"/>
  <c r="F79" i="8" a="1"/>
  <c r="F79" i="8" s="1"/>
  <c r="C84" i="8" a="1"/>
  <c r="C84" i="8" s="1"/>
  <c r="C6" i="9" a="1"/>
  <c r="C6" i="9" s="1"/>
  <c r="E13" i="9" a="1"/>
  <c r="E13" i="9" s="1"/>
  <c r="C21" i="9" a="1"/>
  <c r="C21" i="9" s="1"/>
  <c r="B40" i="9" a="1"/>
  <c r="B40" i="9" s="1"/>
  <c r="E40" i="9" s="1" a="1"/>
  <c r="E40" i="9" s="1"/>
  <c r="B72" i="9" a="1"/>
  <c r="B72" i="9" s="1"/>
  <c r="G79" i="9" a="1"/>
  <c r="G79" i="9" s="1"/>
  <c r="B52" i="9" a="1"/>
  <c r="B52" i="9" s="1"/>
  <c r="B21" i="10" a="1"/>
  <c r="B21" i="10" s="1"/>
  <c r="F21" i="10" s="1" a="1"/>
  <c r="F21" i="10" s="1"/>
  <c r="G39" i="10" a="1"/>
  <c r="G39" i="10" s="1"/>
  <c r="F59" i="10" a="1"/>
  <c r="F59" i="10" s="1"/>
  <c r="C76" i="9" a="1"/>
  <c r="C76" i="9" s="1"/>
  <c r="B80" i="9" a="1"/>
  <c r="B80" i="9" s="1"/>
  <c r="F80" i="9" s="1" a="1"/>
  <c r="F80" i="9" s="1"/>
  <c r="B27" i="9" a="1"/>
  <c r="B27" i="9" s="1"/>
  <c r="C7" i="10" a="1"/>
  <c r="C7" i="10" s="1"/>
  <c r="C13" i="10" a="1"/>
  <c r="C13" i="10" s="1"/>
  <c r="C21" i="10" a="1"/>
  <c r="C21" i="10" s="1"/>
  <c r="F40" i="10" a="1"/>
  <c r="F40" i="10" s="1"/>
  <c r="B65" i="10" a="1"/>
  <c r="B65" i="10" s="1"/>
  <c r="F58" i="6" a="1"/>
  <c r="F58" i="6" s="1"/>
  <c r="C60" i="6" a="1"/>
  <c r="C60" i="6" s="1"/>
  <c r="B76" i="6" a="1"/>
  <c r="B76" i="6" s="1"/>
  <c r="G76" i="6" s="1" a="1"/>
  <c r="G76" i="6" s="1"/>
  <c r="B85" i="6" a="1"/>
  <c r="B85" i="6" s="1"/>
  <c r="F85" i="6" s="1" a="1"/>
  <c r="F85" i="6" s="1"/>
  <c r="C6" i="8" a="1"/>
  <c r="C6" i="8" s="1"/>
  <c r="I7" i="8" a="1"/>
  <c r="I7" i="8" s="1"/>
  <c r="E9" i="8" a="1"/>
  <c r="E9" i="8" s="1"/>
  <c r="E10" i="11" s="1"/>
  <c r="C14" i="8" a="1"/>
  <c r="C14" i="8" s="1"/>
  <c r="E16" i="8" a="1"/>
  <c r="E16" i="8" s="1"/>
  <c r="B26" i="8" a="1"/>
  <c r="B26" i="8" s="1"/>
  <c r="F39" i="8" a="1"/>
  <c r="F39" i="8" s="1"/>
  <c r="F41" i="8" a="1"/>
  <c r="F41" i="8" s="1"/>
  <c r="B59" i="8" a="1"/>
  <c r="B59" i="8" s="1"/>
  <c r="E59" i="8" s="1" a="1"/>
  <c r="E59" i="8" s="1"/>
  <c r="C60" i="8" a="1"/>
  <c r="C60" i="8" s="1"/>
  <c r="B65" i="8" a="1"/>
  <c r="B65" i="8" s="1"/>
  <c r="B80" i="8" a="1"/>
  <c r="B80" i="8" s="1"/>
  <c r="E80" i="8" s="1" a="1"/>
  <c r="E80" i="8" s="1"/>
  <c r="C85" i="8" a="1"/>
  <c r="C85" i="8" s="1"/>
  <c r="I6" i="9" a="1"/>
  <c r="I6" i="9" s="1"/>
  <c r="B8" i="9" a="1"/>
  <c r="B8" i="9" s="1"/>
  <c r="N7" i="9" s="1"/>
  <c r="B34" i="9" a="1"/>
  <c r="B34" i="9" s="1"/>
  <c r="B41" i="9" a="1"/>
  <c r="B41" i="9" s="1"/>
  <c r="E41" i="9" s="1" a="1"/>
  <c r="E41" i="9" s="1"/>
  <c r="G76" i="9" a="1"/>
  <c r="G76" i="9" s="1"/>
  <c r="C81" i="9" a="1"/>
  <c r="C81" i="9" s="1"/>
  <c r="N25" i="9" a="1"/>
  <c r="N25" i="9" s="1"/>
  <c r="B14" i="10" a="1"/>
  <c r="B14" i="10" s="1"/>
  <c r="I14" i="10" s="1" a="1"/>
  <c r="I14" i="10" s="1"/>
  <c r="E21" i="10" a="1"/>
  <c r="E21" i="10" s="1"/>
  <c r="B77" i="10" a="1"/>
  <c r="B77" i="10" s="1"/>
  <c r="E77" i="10" s="1" a="1"/>
  <c r="E77" i="10" s="1"/>
  <c r="E6" i="8" a="1"/>
  <c r="E6" i="8" s="1"/>
  <c r="J7" i="8" a="1"/>
  <c r="J7" i="8" s="1"/>
  <c r="I9" i="8" a="1"/>
  <c r="I9" i="8" s="1"/>
  <c r="B20" i="8" a="1"/>
  <c r="B20" i="8" s="1"/>
  <c r="F20" i="8" s="1" a="1"/>
  <c r="F20" i="8" s="1"/>
  <c r="G39" i="8" a="1"/>
  <c r="G39" i="8" s="1"/>
  <c r="G41" i="8" a="1"/>
  <c r="G41" i="8" s="1"/>
  <c r="B47" i="8" a="1"/>
  <c r="B47" i="8" s="1"/>
  <c r="E24" i="11" s="1"/>
  <c r="C59" i="8" a="1"/>
  <c r="C59" i="8" s="1"/>
  <c r="F60" i="8" a="1"/>
  <c r="F60" i="8" s="1"/>
  <c r="B66" i="8" a="1"/>
  <c r="B66" i="8" s="1"/>
  <c r="C78" i="8" a="1"/>
  <c r="C78" i="8" s="1"/>
  <c r="F80" i="8" a="1"/>
  <c r="F80" i="8" s="1"/>
  <c r="N23" i="8" a="1"/>
  <c r="N23" i="8" s="1"/>
  <c r="J6" i="9" a="1"/>
  <c r="J6" i="9" s="1"/>
  <c r="E8" i="9" a="1"/>
  <c r="E8" i="9" s="1"/>
  <c r="C15" i="9" a="1"/>
  <c r="C15" i="9" s="1"/>
  <c r="B38" i="9" a="1"/>
  <c r="B38" i="9" s="1"/>
  <c r="E38" i="9" s="1" a="1"/>
  <c r="E38" i="9" s="1"/>
  <c r="C41" i="9" a="1"/>
  <c r="C41" i="9" s="1"/>
  <c r="B77" i="9" a="1"/>
  <c r="B77" i="9" s="1"/>
  <c r="E77" i="9" s="1" a="1"/>
  <c r="E77" i="9" s="1"/>
  <c r="D81" i="9" a="1"/>
  <c r="D81" i="9" s="1"/>
  <c r="B6" i="10" a="1"/>
  <c r="B6" i="10" s="1"/>
  <c r="H6" i="10" s="1" a="1"/>
  <c r="H6" i="10" s="1"/>
  <c r="J7" i="10" a="1"/>
  <c r="J7" i="10" s="1"/>
  <c r="B15" i="10" a="1"/>
  <c r="B15" i="10" s="1"/>
  <c r="I15" i="10" s="1" a="1"/>
  <c r="I15" i="10" s="1"/>
  <c r="B28" i="10" a="1"/>
  <c r="B28" i="10" s="1"/>
  <c r="G23" i="11" s="1"/>
  <c r="C41" i="10" a="1"/>
  <c r="C41" i="10" s="1"/>
  <c r="C81" i="10" a="1"/>
  <c r="C81" i="10" s="1"/>
  <c r="B78" i="6" a="1"/>
  <c r="B78" i="6" s="1"/>
  <c r="C78" i="6" s="1" a="1"/>
  <c r="C78" i="6" s="1"/>
  <c r="I6" i="8" a="1"/>
  <c r="I6" i="8" s="1"/>
  <c r="B8" i="8" a="1"/>
  <c r="B8" i="8" s="1"/>
  <c r="H8" i="8" s="1" a="1"/>
  <c r="H8" i="8" s="1"/>
  <c r="E14" i="8" a="1"/>
  <c r="E14" i="8" s="1"/>
  <c r="C20" i="8" a="1"/>
  <c r="C20" i="8" s="1"/>
  <c r="B27" i="8" a="1"/>
  <c r="B27" i="8" s="1"/>
  <c r="B40" i="8" a="1"/>
  <c r="B40" i="8" s="1"/>
  <c r="E40" i="8" s="1" a="1"/>
  <c r="E40" i="8" s="1"/>
  <c r="B42" i="8" a="1"/>
  <c r="B42" i="8" s="1"/>
  <c r="E42" i="8" s="1" a="1"/>
  <c r="E42" i="8" s="1"/>
  <c r="B52" i="8" a="1"/>
  <c r="B52" i="8" s="1"/>
  <c r="F59" i="8" a="1"/>
  <c r="F59" i="8" s="1"/>
  <c r="G60" i="8" a="1"/>
  <c r="G60" i="8" s="1"/>
  <c r="B71" i="8" a="1"/>
  <c r="B71" i="8" s="1"/>
  <c r="F78" i="8" a="1"/>
  <c r="F78" i="8" s="1"/>
  <c r="N24" i="8" a="1"/>
  <c r="N24" i="8" s="1"/>
  <c r="B7" i="9" a="1"/>
  <c r="B7" i="9" s="1"/>
  <c r="H7" i="9" s="1" a="1"/>
  <c r="H7" i="9" s="1"/>
  <c r="I8" i="9" a="1"/>
  <c r="I8" i="9" s="1"/>
  <c r="E15" i="9" a="1"/>
  <c r="E15" i="9" s="1"/>
  <c r="F38" i="9" a="1"/>
  <c r="F38" i="9" s="1"/>
  <c r="F41" i="9" a="1"/>
  <c r="F41" i="9" s="1"/>
  <c r="C77" i="9" a="1"/>
  <c r="C77" i="9" s="1"/>
  <c r="C8" i="9" a="1"/>
  <c r="C8" i="9" s="1"/>
  <c r="C8" i="10" a="1"/>
  <c r="C8" i="10" s="1"/>
  <c r="B16" i="10" a="1"/>
  <c r="B16" i="10" s="1"/>
  <c r="N14" i="10" s="1"/>
  <c r="B33" i="10" a="1"/>
  <c r="B33" i="10" s="1"/>
  <c r="G41" i="10" a="1"/>
  <c r="G41" i="10" s="1"/>
  <c r="B64" i="6" a="1"/>
  <c r="B64" i="6" s="1"/>
  <c r="N24" i="6" a="1"/>
  <c r="N24" i="6" s="1"/>
  <c r="J9" i="8" a="1"/>
  <c r="J9" i="8" s="1"/>
  <c r="B15" i="8" a="1"/>
  <c r="B15" i="8" s="1"/>
  <c r="N13" i="8" s="1"/>
  <c r="B28" i="8" a="1"/>
  <c r="B28" i="8" s="1"/>
  <c r="C40" i="8" a="1"/>
  <c r="C40" i="8" s="1"/>
  <c r="B53" i="8" a="1"/>
  <c r="B53" i="8" s="1"/>
  <c r="B61" i="8" a="1"/>
  <c r="B61" i="8" s="1"/>
  <c r="E61" i="8" s="1" a="1"/>
  <c r="E61" i="8" s="1"/>
  <c r="B72" i="8" a="1"/>
  <c r="B72" i="8" s="1"/>
  <c r="G78" i="8" a="1"/>
  <c r="G78" i="8" s="1"/>
  <c r="N25" i="8" a="1"/>
  <c r="N25" i="8" s="1"/>
  <c r="J8" i="9" a="1"/>
  <c r="J8" i="9" s="1"/>
  <c r="B16" i="9" a="1"/>
  <c r="B16" i="9" s="1"/>
  <c r="I16" i="9" s="1" a="1"/>
  <c r="I16" i="9" s="1"/>
  <c r="B39" i="9" a="1"/>
  <c r="B39" i="9" s="1"/>
  <c r="E39" i="9" s="1" a="1"/>
  <c r="E39" i="9" s="1"/>
  <c r="G41" i="9" a="1"/>
  <c r="G41" i="9" s="1"/>
  <c r="C13" i="9" a="1"/>
  <c r="C13" i="9" s="1"/>
  <c r="C6" i="10" a="1"/>
  <c r="C6" i="10" s="1"/>
  <c r="E8" i="10" a="1"/>
  <c r="E8" i="10" s="1"/>
  <c r="C16" i="10" a="1"/>
  <c r="C16" i="10" s="1"/>
  <c r="C38" i="10" a="1"/>
  <c r="C38" i="10" s="1"/>
  <c r="I90" i="5" a="1"/>
  <c r="I90" i="5" s="1"/>
  <c r="G7" i="10" a="1"/>
  <c r="G7" i="10" s="1"/>
  <c r="G15" i="10" a="1"/>
  <c r="G15" i="10" s="1"/>
  <c r="O13" i="10" s="1"/>
  <c r="G16" i="10" a="1"/>
  <c r="G16" i="10" s="1"/>
  <c r="O14" i="10" s="1"/>
  <c r="E79" i="10" a="1"/>
  <c r="E79" i="10" s="1"/>
  <c r="C88" i="10" a="1"/>
  <c r="C88" i="10" s="1"/>
  <c r="G9" i="10" a="1"/>
  <c r="G9" i="10" s="1"/>
  <c r="G12" i="11" s="1"/>
  <c r="G14" i="10" a="1"/>
  <c r="G14" i="10" s="1"/>
  <c r="O12" i="10" s="1"/>
  <c r="B34" i="10" a="1"/>
  <c r="B34" i="10" s="1"/>
  <c r="D39" i="10" a="1"/>
  <c r="D39" i="10" s="1"/>
  <c r="G40" i="10" a="1"/>
  <c r="G40" i="10" s="1"/>
  <c r="B45" i="10" a="1"/>
  <c r="B45" i="10" s="1"/>
  <c r="G30" i="11" s="1"/>
  <c r="B53" i="10" a="1"/>
  <c r="B53" i="10" s="1"/>
  <c r="G57" i="10" a="1"/>
  <c r="G57" i="10" s="1"/>
  <c r="F58" i="10" a="1"/>
  <c r="F58" i="10" s="1"/>
  <c r="D59" i="10" a="1"/>
  <c r="D59" i="10" s="1"/>
  <c r="C60" i="10" a="1"/>
  <c r="C60" i="10" s="1"/>
  <c r="B64" i="10" a="1"/>
  <c r="B64" i="10" s="1"/>
  <c r="G31" i="11" s="1"/>
  <c r="B71" i="10" a="1"/>
  <c r="B71" i="10" s="1"/>
  <c r="C77" i="10" a="1"/>
  <c r="C77" i="10" s="1"/>
  <c r="G79" i="10" a="1"/>
  <c r="G79" i="10" s="1"/>
  <c r="D81" i="10" a="1"/>
  <c r="D81" i="10" s="1"/>
  <c r="D88" i="10" a="1"/>
  <c r="D88" i="10" s="1"/>
  <c r="C38" i="9" a="1"/>
  <c r="C38" i="9" s="1"/>
  <c r="B7" i="10" a="1"/>
  <c r="B7" i="10" s="1"/>
  <c r="N6" i="10" s="1"/>
  <c r="I7" i="10" a="1"/>
  <c r="I7" i="10" s="1"/>
  <c r="E13" i="10" a="1"/>
  <c r="E13" i="10" s="1"/>
  <c r="B20" i="10" a="1"/>
  <c r="B20" i="10" s="1"/>
  <c r="B38" i="10" a="1"/>
  <c r="B38" i="10" s="1"/>
  <c r="E38" i="10" s="1" a="1"/>
  <c r="E38" i="10" s="1"/>
  <c r="F39" i="10" a="1"/>
  <c r="F39" i="10" s="1"/>
  <c r="B41" i="10" a="1"/>
  <c r="B41" i="10" s="1"/>
  <c r="E41" i="10" s="1" a="1"/>
  <c r="E41" i="10" s="1"/>
  <c r="B46" i="10" a="1"/>
  <c r="B46" i="10" s="1"/>
  <c r="B57" i="10" a="1"/>
  <c r="B57" i="10" s="1"/>
  <c r="E57" i="10" s="1" a="1"/>
  <c r="E57" i="10" s="1"/>
  <c r="B72" i="10" a="1"/>
  <c r="B72" i="10" s="1"/>
  <c r="D77" i="10" a="1"/>
  <c r="D77" i="10" s="1"/>
  <c r="B80" i="10" a="1"/>
  <c r="B80" i="10" s="1"/>
  <c r="F80" i="10" s="1" a="1"/>
  <c r="F80" i="10" s="1"/>
  <c r="E81" i="10" a="1"/>
  <c r="E81" i="10" s="1"/>
  <c r="B89" i="10" a="1"/>
  <c r="B89" i="10" s="1"/>
  <c r="E89" i="10" s="1" a="1"/>
  <c r="E89" i="10" s="1"/>
  <c r="C89" i="10" a="1"/>
  <c r="C89" i="10" s="1"/>
  <c r="D89" i="10" a="1"/>
  <c r="D89" i="10" s="1"/>
  <c r="N25" i="10" a="1"/>
  <c r="N25" i="10" s="1"/>
  <c r="G8" i="10" a="1"/>
  <c r="G8" i="10" s="1"/>
  <c r="G13" i="10" a="1"/>
  <c r="G13" i="10" s="1"/>
  <c r="O11" i="10" s="1"/>
  <c r="D60" i="10" a="1"/>
  <c r="D60" i="10" s="1"/>
  <c r="B76" i="10" a="1"/>
  <c r="B76" i="10" s="1"/>
  <c r="E76" i="10" s="1" a="1"/>
  <c r="E76" i="10" s="1"/>
  <c r="F77" i="10" a="1"/>
  <c r="F77" i="10" s="1"/>
  <c r="C80" i="10" a="1"/>
  <c r="C80" i="10" s="1"/>
  <c r="G81" i="10" a="1"/>
  <c r="G81" i="10" s="1"/>
  <c r="N24" i="10" a="1"/>
  <c r="N24" i="10" s="1"/>
  <c r="B88" i="10" a="1"/>
  <c r="B88" i="10" s="1"/>
  <c r="F88" i="10" s="1" a="1"/>
  <c r="F88" i="10" s="1"/>
  <c r="D38" i="10" a="1"/>
  <c r="D38" i="10" s="1"/>
  <c r="C76" i="10" a="1"/>
  <c r="C76" i="10" s="1"/>
  <c r="G77" i="10" a="1"/>
  <c r="G77" i="10" s="1"/>
  <c r="D80" i="10" a="1"/>
  <c r="D80" i="10" s="1"/>
  <c r="N26" i="10" a="1"/>
  <c r="N26" i="10" s="1"/>
  <c r="E90" i="5" a="1"/>
  <c r="E90" i="5" s="1"/>
  <c r="C15" i="10" a="1"/>
  <c r="C15" i="10" s="1"/>
  <c r="G21" i="10" a="1"/>
  <c r="G21" i="10" s="1"/>
  <c r="B30" i="10" a="1"/>
  <c r="B30" i="10" s="1"/>
  <c r="F38" i="10" a="1"/>
  <c r="F38" i="10" s="1"/>
  <c r="B40" i="10" a="1"/>
  <c r="B40" i="10" s="1"/>
  <c r="E40" i="10" s="1" a="1"/>
  <c r="E40" i="10" s="1"/>
  <c r="D41" i="10" a="1"/>
  <c r="D41" i="10" s="1"/>
  <c r="B49" i="10" a="1"/>
  <c r="B49" i="10" s="1"/>
  <c r="C58" i="10" a="1"/>
  <c r="C58" i="10" s="1"/>
  <c r="B59" i="10" a="1"/>
  <c r="B59" i="10" s="1"/>
  <c r="E59" i="10" s="1" a="1"/>
  <c r="E59" i="10" s="1"/>
  <c r="G59" i="10" a="1"/>
  <c r="G59" i="10" s="1"/>
  <c r="F60" i="10" a="1"/>
  <c r="F60" i="10" s="1"/>
  <c r="B66" i="10" a="1"/>
  <c r="B66" i="10" s="1"/>
  <c r="D76" i="10" a="1"/>
  <c r="D76" i="10" s="1"/>
  <c r="B79" i="10" a="1"/>
  <c r="B79" i="10" s="1"/>
  <c r="F79" i="10" s="1" a="1"/>
  <c r="F79" i="10" s="1"/>
  <c r="B87" i="10" a="1"/>
  <c r="B87" i="10" s="1"/>
  <c r="N27" i="10" a="1"/>
  <c r="N27" i="10" s="1"/>
  <c r="G14" i="6" a="1"/>
  <c r="G14" i="6" s="1"/>
  <c r="O12" i="6" s="1"/>
  <c r="B45" i="9" a="1"/>
  <c r="B45" i="9" s="1"/>
  <c r="F77" i="9" a="1"/>
  <c r="F77" i="9" s="1"/>
  <c r="G81" i="9" a="1"/>
  <c r="G81" i="9" s="1"/>
  <c r="G38" i="9" a="1"/>
  <c r="G38" i="9" s="1"/>
  <c r="E6" i="10" a="1"/>
  <c r="E6" i="10" s="1"/>
  <c r="E7" i="10" a="1"/>
  <c r="E7" i="10" s="1"/>
  <c r="B8" i="10" a="1"/>
  <c r="B8" i="10" s="1"/>
  <c r="N7" i="10" s="1"/>
  <c r="E16" i="10" a="1"/>
  <c r="E16" i="10" s="1"/>
  <c r="E20" i="10" a="1"/>
  <c r="E20" i="10" s="1"/>
  <c r="G38" i="10" a="1"/>
  <c r="G38" i="10" s="1"/>
  <c r="C40" i="10" a="1"/>
  <c r="C40" i="10" s="1"/>
  <c r="F41" i="10" a="1"/>
  <c r="F41" i="10" s="1"/>
  <c r="D57" i="10" a="1"/>
  <c r="D57" i="10" s="1"/>
  <c r="B68" i="10" a="1"/>
  <c r="B68" i="10" s="1"/>
  <c r="F76" i="10" a="1"/>
  <c r="F76" i="10" s="1"/>
  <c r="C79" i="10" a="1"/>
  <c r="C79" i="10" s="1"/>
  <c r="G80" i="10" a="1"/>
  <c r="G80" i="10" s="1"/>
  <c r="D87" i="10" a="1"/>
  <c r="D87" i="10" s="1"/>
  <c r="G6" i="10" a="1"/>
  <c r="G6" i="10" s="1"/>
  <c r="E9" i="10" a="1"/>
  <c r="E9" i="10" s="1"/>
  <c r="G10" i="11" s="1"/>
  <c r="B13" i="10" a="1"/>
  <c r="B13" i="10" s="1"/>
  <c r="N11" i="10" s="1"/>
  <c r="E14" i="10" a="1"/>
  <c r="E14" i="10" s="1"/>
  <c r="E15" i="10" a="1"/>
  <c r="E15" i="10" s="1"/>
  <c r="G20" i="10" a="1"/>
  <c r="G20" i="10" s="1"/>
  <c r="B26" i="10" a="1"/>
  <c r="B26" i="10" s="1"/>
  <c r="G29" i="11" s="1"/>
  <c r="B39" i="10" a="1"/>
  <c r="B39" i="10" s="1"/>
  <c r="E39" i="10" s="1" a="1"/>
  <c r="E39" i="10" s="1"/>
  <c r="D40" i="10" a="1"/>
  <c r="D40" i="10" s="1"/>
  <c r="B52" i="10" a="1"/>
  <c r="B52" i="10" s="1"/>
  <c r="F57" i="10" a="1"/>
  <c r="F57" i="10" s="1"/>
  <c r="D58" i="10" a="1"/>
  <c r="D58" i="10" s="1"/>
  <c r="C59" i="10" a="1"/>
  <c r="C59" i="10" s="1"/>
  <c r="B60" i="10" a="1"/>
  <c r="B60" i="10" s="1"/>
  <c r="E60" i="10" s="1" a="1"/>
  <c r="E60" i="10" s="1"/>
  <c r="G60" i="10" a="1"/>
  <c r="G60" i="10" s="1"/>
  <c r="G76" i="10" a="1"/>
  <c r="G76" i="10" s="1"/>
  <c r="D79" i="10" a="1"/>
  <c r="D79" i="10" s="1"/>
  <c r="C87" i="10" a="1"/>
  <c r="C87" i="10" s="1"/>
  <c r="N28" i="10" a="1"/>
  <c r="N28" i="10" s="1"/>
  <c r="G7" i="6" a="1"/>
  <c r="G7" i="6" s="1"/>
  <c r="D59" i="6" a="1"/>
  <c r="D59" i="6" s="1"/>
  <c r="G14" i="8" a="1"/>
  <c r="G14" i="8" s="1"/>
  <c r="O12" i="8" s="1"/>
  <c r="G6" i="9" a="1"/>
  <c r="G6" i="9" s="1"/>
  <c r="D39" i="8" a="1"/>
  <c r="D39" i="8" s="1"/>
  <c r="D59" i="8" a="1"/>
  <c r="D59" i="8" s="1"/>
  <c r="D60" i="8" a="1"/>
  <c r="D60" i="8" s="1"/>
  <c r="E91" i="5" a="1"/>
  <c r="E91" i="5" s="1"/>
  <c r="G16" i="5" a="1"/>
  <c r="G16" i="5" s="1"/>
  <c r="O14" i="5" s="1"/>
  <c r="C78" i="5" a="1"/>
  <c r="C78" i="5" s="1"/>
  <c r="E78" i="5" a="1"/>
  <c r="E78" i="5" s="1"/>
  <c r="I89" i="5" a="1"/>
  <c r="I89" i="5" s="1"/>
  <c r="G90" i="5" a="1"/>
  <c r="G90" i="5" s="1"/>
  <c r="B49" i="9" a="1"/>
  <c r="B49" i="9" s="1"/>
  <c r="G14" i="9" a="1"/>
  <c r="G14" i="9" s="1"/>
  <c r="O12" i="9" s="1"/>
  <c r="D79" i="8" a="1"/>
  <c r="D79" i="8" s="1"/>
  <c r="B68" i="8" a="1"/>
  <c r="B68" i="8" s="1"/>
  <c r="D40" i="8" a="1"/>
  <c r="D40" i="8" s="1"/>
  <c r="G16" i="8" a="1"/>
  <c r="G16" i="8" s="1"/>
  <c r="O14" i="8" s="1"/>
  <c r="D41" i="6" a="1"/>
  <c r="D41" i="6" s="1"/>
  <c r="D40" i="6" a="1"/>
  <c r="D40" i="6" s="1"/>
  <c r="G8" i="6" a="1"/>
  <c r="G8" i="6" s="1"/>
  <c r="D76" i="9" a="1"/>
  <c r="D76" i="9" s="1"/>
  <c r="B30" i="9" a="1"/>
  <c r="B30" i="9" s="1"/>
  <c r="G13" i="9" a="1"/>
  <c r="G13" i="9" s="1"/>
  <c r="O11" i="9" s="1"/>
  <c r="G8" i="9" a="1"/>
  <c r="G8" i="9" s="1"/>
  <c r="D59" i="9" a="1"/>
  <c r="D59" i="9" s="1"/>
  <c r="D57" i="9" a="1"/>
  <c r="D57" i="9" s="1"/>
  <c r="G21" i="9" a="1"/>
  <c r="G21" i="9" s="1"/>
  <c r="G9" i="9" a="1"/>
  <c r="G9" i="9" s="1"/>
  <c r="F12" i="11" s="1"/>
  <c r="G7" i="9" a="1"/>
  <c r="G7" i="9" s="1"/>
  <c r="D77" i="8" a="1"/>
  <c r="D77" i="8" s="1"/>
  <c r="D61" i="8" a="1"/>
  <c r="D61" i="8" s="1"/>
  <c r="D58" i="8" a="1"/>
  <c r="D58" i="8" s="1"/>
  <c r="B49" i="8" a="1"/>
  <c r="B49" i="8" s="1"/>
  <c r="E18" i="11" s="1"/>
  <c r="D41" i="8" a="1"/>
  <c r="D41" i="8" s="1"/>
  <c r="G20" i="8" a="1"/>
  <c r="G20" i="8" s="1"/>
  <c r="G13" i="8" a="1"/>
  <c r="G13" i="8" s="1"/>
  <c r="O11" i="8" s="1"/>
  <c r="G8" i="8" a="1"/>
  <c r="G8" i="8" s="1"/>
  <c r="D38" i="6" a="1"/>
  <c r="D38" i="6" s="1"/>
  <c r="B30" i="6" a="1"/>
  <c r="B30" i="6" s="1"/>
  <c r="G9" i="6" a="1"/>
  <c r="G9" i="6" s="1"/>
  <c r="D12" i="11" s="1"/>
  <c r="E84" i="5" a="1"/>
  <c r="E84" i="5" s="1"/>
  <c r="E83" i="5" a="1"/>
  <c r="E83" i="5" s="1"/>
  <c r="E80" i="9" a="1"/>
  <c r="E80" i="9" s="1"/>
  <c r="D40" i="9" a="1"/>
  <c r="D40" i="9" s="1"/>
  <c r="D38" i="9" a="1"/>
  <c r="D38" i="9" s="1"/>
  <c r="D42" i="8" a="1"/>
  <c r="D42" i="8" s="1"/>
  <c r="B30" i="8" a="1"/>
  <c r="B30" i="8" s="1"/>
  <c r="G21" i="8" a="1"/>
  <c r="G21" i="8" s="1"/>
  <c r="G9" i="8" a="1"/>
  <c r="G9" i="8" s="1"/>
  <c r="E12" i="11" s="1"/>
  <c r="G7" i="8" a="1"/>
  <c r="G7" i="8" s="1"/>
  <c r="B68" i="6" a="1"/>
  <c r="B68" i="6" s="1"/>
  <c r="D77" i="9" a="1"/>
  <c r="D77" i="9" s="1"/>
  <c r="G20" i="9" a="1"/>
  <c r="G20" i="9" s="1"/>
  <c r="D78" i="8" a="1"/>
  <c r="D78" i="8" s="1"/>
  <c r="G15" i="8" a="1"/>
  <c r="G15" i="8" s="1"/>
  <c r="O13" i="8" s="1"/>
  <c r="D60" i="6" a="1"/>
  <c r="D60" i="6" s="1"/>
  <c r="G16" i="6" a="1"/>
  <c r="G16" i="6" s="1"/>
  <c r="O14" i="6" s="1"/>
  <c r="G6" i="6" a="1"/>
  <c r="G6" i="6" s="1"/>
  <c r="D60" i="9" a="1"/>
  <c r="D60" i="9" s="1"/>
  <c r="D58" i="9" a="1"/>
  <c r="D58" i="9" s="1"/>
  <c r="G16" i="9" a="1"/>
  <c r="G16" i="9" s="1"/>
  <c r="O14" i="9" s="1"/>
  <c r="E81" i="9" a="1"/>
  <c r="E81" i="9" s="1"/>
  <c r="E79" i="9" a="1"/>
  <c r="E79" i="9" s="1"/>
  <c r="B68" i="9" a="1"/>
  <c r="B68" i="9" s="1"/>
  <c r="D41" i="9" a="1"/>
  <c r="D41" i="9" s="1"/>
  <c r="D39" i="9" a="1"/>
  <c r="D39" i="9" s="1"/>
  <c r="G15" i="9" a="1"/>
  <c r="G15" i="9" s="1"/>
  <c r="O13" i="9" s="1"/>
  <c r="C91" i="5" a="1"/>
  <c r="C91" i="5" s="1"/>
  <c r="G9" i="5" a="1"/>
  <c r="G9" i="5" s="1"/>
  <c r="C12" i="11" s="1"/>
  <c r="D77" i="5" a="1"/>
  <c r="D77" i="5" s="1"/>
  <c r="E85" i="5" a="1"/>
  <c r="E85" i="5" s="1"/>
  <c r="G8" i="5" a="1"/>
  <c r="G8" i="5" s="1"/>
  <c r="G21" i="5" a="1"/>
  <c r="G21" i="5" s="1"/>
  <c r="E79" i="5" a="1"/>
  <c r="E79" i="5" s="1"/>
  <c r="G79" i="5" a="1"/>
  <c r="G79" i="5" s="1"/>
  <c r="J89" i="5" a="1"/>
  <c r="J89" i="5" s="1"/>
  <c r="G91" i="5" a="1"/>
  <c r="G91" i="5" s="1"/>
  <c r="D57" i="6" a="1"/>
  <c r="D57" i="6" s="1"/>
  <c r="D58" i="6" a="1"/>
  <c r="D58" i="6" s="1"/>
  <c r="G7" i="5" a="1"/>
  <c r="G7" i="5" s="1"/>
  <c r="G13" i="5" a="1"/>
  <c r="G13" i="5" s="1"/>
  <c r="O11" i="5" s="1"/>
  <c r="B30" i="5" a="1"/>
  <c r="B30" i="5" s="1"/>
  <c r="G20" i="5" a="1"/>
  <c r="G20" i="5" s="1"/>
  <c r="D39" i="5" a="1"/>
  <c r="D39" i="5" s="1"/>
  <c r="D41" i="5" a="1"/>
  <c r="D41" i="5" s="1"/>
  <c r="D58" i="5" a="1"/>
  <c r="D58" i="5" s="1"/>
  <c r="B68" i="5" a="1"/>
  <c r="B68" i="5" s="1"/>
  <c r="B89" i="5" a="1"/>
  <c r="B89" i="5" s="1"/>
  <c r="F89" i="5" s="1" a="1"/>
  <c r="F89" i="5" s="1"/>
  <c r="I91" i="5" a="1"/>
  <c r="I91" i="5" s="1"/>
  <c r="G13" i="6" a="1"/>
  <c r="G13" i="6" s="1"/>
  <c r="O11" i="6" s="1"/>
  <c r="B49" i="6" a="1"/>
  <c r="B49" i="6" s="1"/>
  <c r="D18" i="11" s="1"/>
  <c r="B91" i="6" a="1"/>
  <c r="B91" i="6" s="1"/>
  <c r="E91" i="6" s="1" a="1"/>
  <c r="E91" i="6" s="1"/>
  <c r="G14" i="5" a="1"/>
  <c r="G14" i="5" s="1"/>
  <c r="O12" i="5" s="1"/>
  <c r="D38" i="5" a="1"/>
  <c r="D38" i="5" s="1"/>
  <c r="D40" i="5" a="1"/>
  <c r="D40" i="5" s="1"/>
  <c r="D76" i="5" a="1"/>
  <c r="D76" i="5" s="1"/>
  <c r="C89" i="5" a="1"/>
  <c r="C89" i="5" s="1"/>
  <c r="B90" i="5" a="1"/>
  <c r="B90" i="5" s="1"/>
  <c r="G21" i="6" a="1"/>
  <c r="G21" i="6" s="1"/>
  <c r="G6" i="8" a="1"/>
  <c r="G6" i="8" s="1"/>
  <c r="D59" i="5" a="1"/>
  <c r="D59" i="5" s="1"/>
  <c r="D90" i="8" a="1"/>
  <c r="D90" i="8" s="1"/>
  <c r="D92" i="6" a="1"/>
  <c r="D92" i="6" s="1"/>
  <c r="D89" i="9" a="1"/>
  <c r="D89" i="9" s="1"/>
  <c r="B87" i="9" a="1"/>
  <c r="B87" i="9" s="1"/>
  <c r="B90" i="8" a="1"/>
  <c r="B90" i="8" s="1"/>
  <c r="C90" i="8" s="1" a="1"/>
  <c r="C90" i="8" s="1"/>
  <c r="B92" i="6" a="1"/>
  <c r="B92" i="6" s="1"/>
  <c r="C92" i="6" s="1" a="1"/>
  <c r="C92" i="6" s="1"/>
  <c r="D91" i="6" a="1"/>
  <c r="D91" i="6" s="1"/>
  <c r="J91" i="5" a="1"/>
  <c r="J91" i="5" s="1"/>
  <c r="J90" i="5" a="1"/>
  <c r="J90" i="5" s="1"/>
  <c r="G89" i="5" a="1"/>
  <c r="G89" i="5" s="1"/>
  <c r="C89" i="9" a="1"/>
  <c r="C89" i="9" s="1"/>
  <c r="D88" i="9" a="1"/>
  <c r="D88" i="9" s="1"/>
  <c r="D90" i="6" a="1"/>
  <c r="D90" i="6" s="1"/>
  <c r="B89" i="9" a="1"/>
  <c r="B89" i="9" s="1"/>
  <c r="C88" i="9" a="1"/>
  <c r="C88" i="9" s="1"/>
  <c r="D87" i="9" a="1"/>
  <c r="D87" i="9" s="1"/>
  <c r="B92" i="8" a="1"/>
  <c r="B92" i="8" s="1"/>
  <c r="E92" i="8" s="1" a="1"/>
  <c r="E92" i="8" s="1"/>
  <c r="B90" i="6" a="1"/>
  <c r="B90" i="6" s="1"/>
  <c r="E90" i="6" s="1" a="1"/>
  <c r="E90" i="6" s="1"/>
  <c r="D91" i="8" a="1"/>
  <c r="D91" i="8" s="1"/>
  <c r="B88" i="9" a="1"/>
  <c r="B88" i="9" s="1"/>
  <c r="C87" i="9" a="1"/>
  <c r="C87" i="9" s="1"/>
  <c r="B91" i="8" a="1"/>
  <c r="B91" i="8" s="1"/>
  <c r="E91" i="8" s="1" a="1"/>
  <c r="E91" i="8" s="1"/>
  <c r="G6" i="5" a="1"/>
  <c r="G6" i="5" s="1"/>
  <c r="D60" i="5" a="1"/>
  <c r="D60" i="5" s="1"/>
  <c r="D79" i="5" a="1"/>
  <c r="D79" i="5" s="1"/>
  <c r="D80" i="8" a="1"/>
  <c r="D80" i="8" s="1"/>
  <c r="G15" i="5" a="1"/>
  <c r="G15" i="5" s="1"/>
  <c r="O13" i="5" s="1"/>
  <c r="B49" i="5" a="1"/>
  <c r="B49" i="5" s="1"/>
  <c r="C18" i="11" s="1"/>
  <c r="D57" i="5" a="1"/>
  <c r="D57" i="5" s="1"/>
  <c r="E89" i="5" a="1"/>
  <c r="E89" i="5" s="1"/>
  <c r="C90" i="5" a="1"/>
  <c r="C90" i="5" s="1"/>
  <c r="B91" i="5" a="1"/>
  <c r="B91" i="5" s="1"/>
  <c r="F91" i="5" s="1" a="1"/>
  <c r="F91" i="5" s="1"/>
  <c r="F78" i="5" a="1"/>
  <c r="F78" i="5" s="1"/>
  <c r="G15" i="6" a="1"/>
  <c r="G15" i="6" s="1"/>
  <c r="O13" i="6" s="1"/>
  <c r="G20" i="6" a="1"/>
  <c r="G20" i="6" s="1"/>
  <c r="D39" i="6" a="1"/>
  <c r="D39" i="6" s="1"/>
  <c r="D92" i="8" a="1"/>
  <c r="D92" i="8" s="1"/>
  <c r="C80" i="9" a="1"/>
  <c r="C80" i="9" s="1"/>
  <c r="G80" i="9" a="1"/>
  <c r="G80" i="9" s="1"/>
  <c r="B20" i="9" a="1"/>
  <c r="B20" i="9" s="1"/>
  <c r="E21" i="9" a="1"/>
  <c r="E21" i="9" s="1"/>
  <c r="B57" i="9" a="1"/>
  <c r="B57" i="9" s="1"/>
  <c r="E57" i="9" s="1" a="1"/>
  <c r="E57" i="9" s="1"/>
  <c r="F57" i="9" a="1"/>
  <c r="F57" i="9" s="1"/>
  <c r="B59" i="9" a="1"/>
  <c r="B59" i="9" s="1"/>
  <c r="E59" i="9" s="1" a="1"/>
  <c r="E59" i="9" s="1"/>
  <c r="F59" i="9" a="1"/>
  <c r="F59" i="9" s="1"/>
  <c r="B64" i="9" a="1"/>
  <c r="B64" i="9" s="1"/>
  <c r="F31" i="11" s="1"/>
  <c r="N26" i="9" a="1"/>
  <c r="N26" i="9" s="1"/>
  <c r="C40" i="9" a="1"/>
  <c r="C40" i="9" s="1"/>
  <c r="G40" i="9" a="1"/>
  <c r="G40" i="9" s="1"/>
  <c r="B46" i="9" a="1"/>
  <c r="B46" i="9" s="1"/>
  <c r="B76" i="9" a="1"/>
  <c r="B76" i="9" s="1"/>
  <c r="E76" i="9" s="1" a="1"/>
  <c r="E76" i="9" s="1"/>
  <c r="F76" i="9" a="1"/>
  <c r="F76" i="9" s="1"/>
  <c r="B79" i="9" a="1"/>
  <c r="B79" i="9" s="1"/>
  <c r="F79" i="9" s="1" a="1"/>
  <c r="F79" i="9" s="1"/>
  <c r="D80" i="9" a="1"/>
  <c r="D80" i="9" s="1"/>
  <c r="B81" i="9" a="1"/>
  <c r="B81" i="9" s="1"/>
  <c r="F81" i="9" s="1" a="1"/>
  <c r="F81" i="9" s="1"/>
  <c r="C80" i="8" a="1"/>
  <c r="C80" i="8" s="1"/>
  <c r="B6" i="9" a="1"/>
  <c r="B6" i="9" s="1"/>
  <c r="J7" i="9" a="1"/>
  <c r="J7" i="9" s="1"/>
  <c r="J9" i="9" a="1"/>
  <c r="J9" i="9" s="1"/>
  <c r="E14" i="9" a="1"/>
  <c r="E14" i="9" s="1"/>
  <c r="C20" i="9" a="1"/>
  <c r="C20" i="9" s="1"/>
  <c r="B28" i="9" a="1"/>
  <c r="B28" i="9" s="1"/>
  <c r="C57" i="9" a="1"/>
  <c r="C57" i="9" s="1"/>
  <c r="G57" i="9" a="1"/>
  <c r="G57" i="9" s="1"/>
  <c r="C59" i="9" a="1"/>
  <c r="C59" i="9" s="1"/>
  <c r="G59" i="9" a="1"/>
  <c r="G59" i="9" s="1"/>
  <c r="B65" i="9" a="1"/>
  <c r="B65" i="9" s="1"/>
  <c r="N27" i="9" a="1"/>
  <c r="N27" i="9" s="1"/>
  <c r="E16" i="9" a="1"/>
  <c r="E16" i="9" s="1"/>
  <c r="B58" i="9" a="1"/>
  <c r="B58" i="9" s="1"/>
  <c r="E58" i="9" s="1" a="1"/>
  <c r="E58" i="9" s="1"/>
  <c r="F58" i="9" a="1"/>
  <c r="F58" i="9" s="1"/>
  <c r="B60" i="9" a="1"/>
  <c r="B60" i="9" s="1"/>
  <c r="E60" i="9" s="1" a="1"/>
  <c r="E60" i="9" s="1"/>
  <c r="F60" i="9" a="1"/>
  <c r="F60" i="9" s="1"/>
  <c r="B66" i="9" a="1"/>
  <c r="B66" i="9" s="1"/>
  <c r="N24" i="9" a="1"/>
  <c r="N24" i="9" s="1"/>
  <c r="N28" i="9" a="1"/>
  <c r="N28" i="9" s="1"/>
  <c r="B53" i="9" a="1"/>
  <c r="B53" i="9" s="1"/>
  <c r="C58" i="9" a="1"/>
  <c r="C58" i="9" s="1"/>
  <c r="G58" i="9" a="1"/>
  <c r="G58" i="9" s="1"/>
  <c r="C60" i="9" a="1"/>
  <c r="C60" i="9" s="1"/>
  <c r="G60" i="9" a="1"/>
  <c r="G60" i="9" s="1"/>
  <c r="E77" i="6" a="1"/>
  <c r="E77" i="6" s="1"/>
  <c r="G77" i="6" a="1"/>
  <c r="G77" i="6" s="1"/>
  <c r="C77" i="6" a="1"/>
  <c r="C77" i="6" s="1"/>
  <c r="F13" i="5" a="1"/>
  <c r="F13" i="5" s="1"/>
  <c r="F16" i="5" a="1"/>
  <c r="F16" i="5" s="1"/>
  <c r="N14" i="5"/>
  <c r="H16" i="5" a="1"/>
  <c r="H16" i="5" s="1"/>
  <c r="B50" i="5" a="1"/>
  <c r="B50" i="5" s="1"/>
  <c r="N13" i="5"/>
  <c r="J20" i="4" a="1"/>
  <c r="J20" i="4" s="1"/>
  <c r="B27" i="4" a="1"/>
  <c r="B27" i="4" s="1"/>
  <c r="C59" i="4" a="1"/>
  <c r="C59" i="4" s="1"/>
  <c r="D78" i="4" a="1"/>
  <c r="D78" i="4" s="1"/>
  <c r="B92" i="4" a="1"/>
  <c r="B92" i="4" s="1"/>
  <c r="G92" i="4" s="1" a="1"/>
  <c r="G92" i="4" s="1"/>
  <c r="G8" i="4" a="1"/>
  <c r="G8" i="4" s="1"/>
  <c r="G6" i="4" a="1"/>
  <c r="G6" i="4" s="1"/>
  <c r="N33" i="4" a="1"/>
  <c r="N33" i="4" s="1"/>
  <c r="O33" i="4" s="1" a="1"/>
  <c r="O33" i="4" s="1"/>
  <c r="I8" i="4" a="1"/>
  <c r="I8" i="4" s="1"/>
  <c r="E6" i="4" a="1"/>
  <c r="E6" i="4" s="1"/>
  <c r="I7" i="4" a="1"/>
  <c r="I7" i="4" s="1"/>
  <c r="E9" i="4" a="1"/>
  <c r="E9" i="4" s="1"/>
  <c r="B10" i="11" s="1"/>
  <c r="I13" i="4" a="1"/>
  <c r="I13" i="4" s="1"/>
  <c r="B15" i="4" a="1"/>
  <c r="B15" i="4" s="1"/>
  <c r="N13" i="4" s="1"/>
  <c r="E16" i="4" a="1"/>
  <c r="E16" i="4" s="1"/>
  <c r="I20" i="4" a="1"/>
  <c r="I20" i="4" s="1"/>
  <c r="B26" i="4" a="1"/>
  <c r="B26" i="4" s="1"/>
  <c r="D38" i="4" a="1"/>
  <c r="D38" i="4" s="1"/>
  <c r="B40" i="4" a="1"/>
  <c r="B40" i="4" s="1"/>
  <c r="E40" i="4" s="1" a="1"/>
  <c r="E40" i="4" s="1"/>
  <c r="F41" i="4" a="1"/>
  <c r="F41" i="4" s="1"/>
  <c r="B57" i="4" a="1"/>
  <c r="B57" i="4" s="1"/>
  <c r="E57" i="4" s="1" a="1"/>
  <c r="E57" i="4" s="1"/>
  <c r="D59" i="4" a="1"/>
  <c r="D59" i="4" s="1"/>
  <c r="B72" i="4" a="1"/>
  <c r="B72" i="4" s="1"/>
  <c r="B79" i="4" a="1"/>
  <c r="B79" i="4" s="1"/>
  <c r="G79" i="4" s="1" a="1"/>
  <c r="G79" i="4" s="1"/>
  <c r="D85" i="4" a="1"/>
  <c r="D85" i="4" s="1"/>
  <c r="C90" i="4" a="1"/>
  <c r="C90" i="4" s="1"/>
  <c r="C92" i="4" a="1"/>
  <c r="C92" i="4" s="1"/>
  <c r="C57" i="4" a="1"/>
  <c r="C57" i="4" s="1"/>
  <c r="B60" i="4" a="1"/>
  <c r="B60" i="4" s="1"/>
  <c r="G60" i="4" s="1" a="1"/>
  <c r="G60" i="4" s="1"/>
  <c r="B73" i="4" a="1"/>
  <c r="B73" i="4" s="1"/>
  <c r="C79" i="4" a="1"/>
  <c r="C79" i="4" s="1"/>
  <c r="E85" i="4" a="1"/>
  <c r="E85" i="4" s="1"/>
  <c r="D90" i="4" a="1"/>
  <c r="D90" i="4" s="1"/>
  <c r="D92" i="4" a="1"/>
  <c r="D92" i="4" s="1"/>
  <c r="F38" i="4" a="1"/>
  <c r="F38" i="4" s="1"/>
  <c r="G41" i="4" a="1"/>
  <c r="G41" i="4" s="1"/>
  <c r="I6" i="4" a="1"/>
  <c r="I6" i="4" s="1"/>
  <c r="B8" i="4" a="1"/>
  <c r="B8" i="4" s="1"/>
  <c r="H8" i="4" s="1" a="1"/>
  <c r="H8" i="4" s="1"/>
  <c r="I9" i="4" a="1"/>
  <c r="I9" i="4" s="1"/>
  <c r="B14" i="4" a="1"/>
  <c r="B14" i="4" s="1"/>
  <c r="F14" i="4" s="1" a="1"/>
  <c r="F14" i="4" s="1"/>
  <c r="E15" i="4" a="1"/>
  <c r="E15" i="4" s="1"/>
  <c r="I16" i="4" a="1"/>
  <c r="I16" i="4" s="1"/>
  <c r="B21" i="4" a="1"/>
  <c r="B21" i="4" s="1"/>
  <c r="H21" i="4" s="1" a="1"/>
  <c r="H21" i="4" s="1"/>
  <c r="B28" i="4" a="1"/>
  <c r="B28" i="4" s="1"/>
  <c r="B23" i="11" s="1"/>
  <c r="G38" i="4" a="1"/>
  <c r="G38" i="4" s="1"/>
  <c r="D40" i="4" a="1"/>
  <c r="D40" i="4" s="1"/>
  <c r="B45" i="4" a="1"/>
  <c r="B45" i="4" s="1"/>
  <c r="D57" i="4" a="1"/>
  <c r="D57" i="4" s="1"/>
  <c r="C60" i="4" a="1"/>
  <c r="C60" i="4" s="1"/>
  <c r="B77" i="4" a="1"/>
  <c r="B77" i="4" s="1"/>
  <c r="F77" i="4" s="1" a="1"/>
  <c r="F77" i="4" s="1"/>
  <c r="D79" i="4" a="1"/>
  <c r="D79" i="4" s="1"/>
  <c r="G85" i="4" a="1"/>
  <c r="G85" i="4" s="1"/>
  <c r="E90" i="4" a="1"/>
  <c r="E90" i="4" s="1"/>
  <c r="N89" i="4" s="1"/>
  <c r="E92" i="4" a="1"/>
  <c r="E92" i="4" s="1"/>
  <c r="N91" i="4" s="1"/>
  <c r="J7" i="4" a="1"/>
  <c r="J7" i="4" s="1"/>
  <c r="G16" i="4" a="1"/>
  <c r="G16" i="4" s="1"/>
  <c r="O14" i="4" s="1"/>
  <c r="J6" i="4" a="1"/>
  <c r="J6" i="4" s="1"/>
  <c r="C8" i="4" a="1"/>
  <c r="C8" i="4" s="1"/>
  <c r="O7" i="4" s="1"/>
  <c r="J9" i="4" a="1"/>
  <c r="J9" i="4" s="1"/>
  <c r="C14" i="4" a="1"/>
  <c r="C14" i="4" s="1"/>
  <c r="G15" i="4" a="1"/>
  <c r="G15" i="4" s="1"/>
  <c r="O13" i="4" s="1"/>
  <c r="J16" i="4" a="1"/>
  <c r="J16" i="4" s="1"/>
  <c r="C21" i="4" a="1"/>
  <c r="C21" i="4" s="1"/>
  <c r="B30" i="4" a="1"/>
  <c r="B30" i="4" s="1"/>
  <c r="B39" i="4" a="1"/>
  <c r="B39" i="4" s="1"/>
  <c r="E39" i="4" s="1" a="1"/>
  <c r="E39" i="4" s="1"/>
  <c r="F40" i="4" a="1"/>
  <c r="F40" i="4" s="1"/>
  <c r="B46" i="4" a="1"/>
  <c r="B46" i="4" s="1"/>
  <c r="B58" i="4" a="1"/>
  <c r="B58" i="4" s="1"/>
  <c r="F58" i="4" s="1" a="1"/>
  <c r="F58" i="4" s="1"/>
  <c r="D60" i="4" a="1"/>
  <c r="D60" i="4" s="1"/>
  <c r="C77" i="4" a="1"/>
  <c r="C77" i="4" s="1"/>
  <c r="B84" i="4" a="1"/>
  <c r="B84" i="4" s="1"/>
  <c r="C84" i="4" s="1" a="1"/>
  <c r="C84" i="4" s="1"/>
  <c r="B86" i="4" a="1"/>
  <c r="B86" i="4" s="1"/>
  <c r="C86" i="4" s="1" a="1"/>
  <c r="C86" i="4" s="1"/>
  <c r="B91" i="4" a="1"/>
  <c r="B91" i="4" s="1"/>
  <c r="F91" i="4" s="1" a="1"/>
  <c r="F91" i="4" s="1"/>
  <c r="N29" i="4" a="1"/>
  <c r="N29" i="4" s="1"/>
  <c r="O29" i="4" s="1" a="1"/>
  <c r="O29" i="4" s="1"/>
  <c r="J13" i="4" a="1"/>
  <c r="J13" i="4" s="1"/>
  <c r="B7" i="4" a="1"/>
  <c r="B7" i="4" s="1"/>
  <c r="N6" i="4" s="1"/>
  <c r="E8" i="4" a="1"/>
  <c r="E8" i="4" s="1"/>
  <c r="B13" i="4" a="1"/>
  <c r="B13" i="4" s="1"/>
  <c r="N11" i="4" s="1"/>
  <c r="E14" i="4" a="1"/>
  <c r="E14" i="4" s="1"/>
  <c r="I15" i="4" a="1"/>
  <c r="I15" i="4" s="1"/>
  <c r="B20" i="4" a="1"/>
  <c r="B20" i="4" s="1"/>
  <c r="F20" i="4" s="1" a="1"/>
  <c r="F20" i="4" s="1"/>
  <c r="E21" i="4" a="1"/>
  <c r="E21" i="4" s="1"/>
  <c r="B33" i="4" a="1"/>
  <c r="B33" i="4" s="1"/>
  <c r="C39" i="4" a="1"/>
  <c r="C39" i="4" s="1"/>
  <c r="G40" i="4" a="1"/>
  <c r="G40" i="4" s="1"/>
  <c r="B47" i="4" a="1"/>
  <c r="B47" i="4" s="1"/>
  <c r="B24" i="11" s="1"/>
  <c r="C58" i="4" a="1"/>
  <c r="C58" i="4" s="1"/>
  <c r="B65" i="4" a="1"/>
  <c r="B65" i="4" s="1"/>
  <c r="D77" i="4" a="1"/>
  <c r="D77" i="4" s="1"/>
  <c r="D84" i="4" a="1"/>
  <c r="D84" i="4" s="1"/>
  <c r="D86" i="4" a="1"/>
  <c r="D86" i="4" s="1"/>
  <c r="C91" i="4" a="1"/>
  <c r="C91" i="4" s="1"/>
  <c r="N30" i="4" a="1"/>
  <c r="N30" i="4" s="1"/>
  <c r="O30" i="4" s="1" a="1"/>
  <c r="O30" i="4" s="1"/>
  <c r="G9" i="4" a="1"/>
  <c r="G9" i="4" s="1"/>
  <c r="B12" i="11" s="1"/>
  <c r="C40" i="4" a="1"/>
  <c r="C40" i="4" s="1"/>
  <c r="C7" i="4" a="1"/>
  <c r="C7" i="4" s="1"/>
  <c r="O6" i="4" s="1"/>
  <c r="C13" i="4" a="1"/>
  <c r="C13" i="4" s="1"/>
  <c r="G14" i="4" a="1"/>
  <c r="G14" i="4" s="1"/>
  <c r="O12" i="4" s="1"/>
  <c r="J15" i="4" a="1"/>
  <c r="J15" i="4" s="1"/>
  <c r="C20" i="4" a="1"/>
  <c r="C20" i="4" s="1"/>
  <c r="G21" i="4" a="1"/>
  <c r="G21" i="4" s="1"/>
  <c r="B34" i="4" a="1"/>
  <c r="B34" i="4" s="1"/>
  <c r="D39" i="4" a="1"/>
  <c r="D39" i="4" s="1"/>
  <c r="B41" i="4" a="1"/>
  <c r="B41" i="4" s="1"/>
  <c r="E41" i="4" s="1" a="1"/>
  <c r="E41" i="4" s="1"/>
  <c r="B49" i="4" a="1"/>
  <c r="B49" i="4" s="1"/>
  <c r="D58" i="4" a="1"/>
  <c r="D58" i="4" s="1"/>
  <c r="B66" i="4" a="1"/>
  <c r="B66" i="4" s="1"/>
  <c r="B78" i="4" a="1"/>
  <c r="B78" i="4" s="1"/>
  <c r="E78" i="4" s="1" a="1"/>
  <c r="E78" i="4" s="1"/>
  <c r="E84" i="4" a="1"/>
  <c r="E84" i="4" s="1"/>
  <c r="E86" i="4" a="1"/>
  <c r="E86" i="4" s="1"/>
  <c r="D91" i="4" a="1"/>
  <c r="D91" i="4" s="1"/>
  <c r="N31" i="4" a="1"/>
  <c r="N31" i="4" s="1"/>
  <c r="O31" i="4" s="1" a="1"/>
  <c r="O31" i="4" s="1"/>
  <c r="C15" i="4" a="1"/>
  <c r="C15" i="4" s="1"/>
  <c r="B6" i="4" a="1"/>
  <c r="B6" i="4" s="1"/>
  <c r="N5" i="4" s="1"/>
  <c r="E7" i="4" a="1"/>
  <c r="E7" i="4" s="1"/>
  <c r="E13" i="4" a="1"/>
  <c r="E13" i="4" s="1"/>
  <c r="I14" i="4" a="1"/>
  <c r="I14" i="4" s="1"/>
  <c r="B16" i="4" a="1"/>
  <c r="B16" i="4" s="1"/>
  <c r="N14" i="4" s="1"/>
  <c r="E20" i="4" a="1"/>
  <c r="E20" i="4" s="1"/>
  <c r="I21" i="4" a="1"/>
  <c r="I21" i="4" s="1"/>
  <c r="B38" i="4" a="1"/>
  <c r="B38" i="4" s="1"/>
  <c r="E38" i="4" s="1" a="1"/>
  <c r="E38" i="4" s="1"/>
  <c r="F39" i="4" a="1"/>
  <c r="F39" i="4" s="1"/>
  <c r="C41" i="4" a="1"/>
  <c r="C41" i="4" s="1"/>
  <c r="B52" i="4" a="1"/>
  <c r="B52" i="4" s="1"/>
  <c r="B59" i="4" a="1"/>
  <c r="B59" i="4" s="1"/>
  <c r="G59" i="4" s="1" a="1"/>
  <c r="G59" i="4" s="1"/>
  <c r="B67" i="4" a="1"/>
  <c r="B67" i="4" s="1"/>
  <c r="B25" i="11" s="1"/>
  <c r="C78" i="4" a="1"/>
  <c r="C78" i="4" s="1"/>
  <c r="G84" i="4" a="1"/>
  <c r="G84" i="4" s="1"/>
  <c r="G86" i="4" a="1"/>
  <c r="G86" i="4" s="1"/>
  <c r="E91" i="4" a="1"/>
  <c r="E91" i="4" s="1"/>
  <c r="N90" i="4" s="1"/>
  <c r="N32" i="4" a="1"/>
  <c r="N32" i="4" s="1"/>
  <c r="O32" i="4" s="1" a="1"/>
  <c r="O32" i="4" s="1"/>
  <c r="C6" i="4" a="1"/>
  <c r="C6" i="4" s="1"/>
  <c r="G7" i="4" a="1"/>
  <c r="G7" i="4" s="1"/>
  <c r="J8" i="4" a="1"/>
  <c r="J8" i="4" s="1"/>
  <c r="G13" i="4" a="1"/>
  <c r="G13" i="4" s="1"/>
  <c r="O11" i="4" s="1"/>
  <c r="J14" i="4" a="1"/>
  <c r="J14" i="4" s="1"/>
  <c r="C16" i="4" a="1"/>
  <c r="C16" i="4" s="1"/>
  <c r="G20" i="4" a="1"/>
  <c r="G20" i="4" s="1"/>
  <c r="J21" i="4" a="1"/>
  <c r="J21" i="4" s="1"/>
  <c r="C38" i="4" a="1"/>
  <c r="C38" i="4" s="1"/>
  <c r="G39" i="4" a="1"/>
  <c r="G39" i="4" s="1"/>
  <c r="D41" i="4" a="1"/>
  <c r="D41" i="4" s="1"/>
  <c r="B53" i="4" a="1"/>
  <c r="B53" i="4" s="1"/>
  <c r="B69" i="4" a="1"/>
  <c r="B69" i="4" s="1"/>
  <c r="B85" i="4" a="1"/>
  <c r="B85" i="4" s="1"/>
  <c r="C85" i="4" s="1" a="1"/>
  <c r="C85" i="4" s="1"/>
  <c r="B90" i="4" a="1"/>
  <c r="B90" i="4" s="1"/>
  <c r="F90" i="4" s="1" a="1"/>
  <c r="F90" i="4" s="1"/>
  <c r="D80" i="4" a="1"/>
  <c r="D80" i="4" s="1"/>
  <c r="D9" i="14" l="1"/>
  <c r="N14" i="6"/>
  <c r="N7" i="6"/>
  <c r="H8" i="6" a="1"/>
  <c r="H8" i="6" s="1"/>
  <c r="E83" i="8" a="1"/>
  <c r="E83" i="8" s="1"/>
  <c r="J16" i="6" a="1"/>
  <c r="J16" i="6" s="1"/>
  <c r="G59" i="5" a="1"/>
  <c r="G59" i="5" s="1"/>
  <c r="J15" i="6" a="1"/>
  <c r="J15" i="6" s="1"/>
  <c r="H16" i="6" a="1"/>
  <c r="H16" i="6" s="1"/>
  <c r="D77" i="6" a="1"/>
  <c r="D77" i="6" s="1"/>
  <c r="F14" i="9" a="1"/>
  <c r="F14" i="9" s="1"/>
  <c r="G83" i="8" a="1"/>
  <c r="G83" i="8" s="1"/>
  <c r="G78" i="5" a="1"/>
  <c r="G78" i="5" s="1"/>
  <c r="D16" i="5"/>
  <c r="N6" i="5"/>
  <c r="F7" i="6" a="1"/>
  <c r="F7" i="6" s="1"/>
  <c r="F6" i="6" a="1"/>
  <c r="F6" i="6" s="1"/>
  <c r="J13" i="8" a="1"/>
  <c r="J13" i="8" s="1"/>
  <c r="F59" i="5" a="1"/>
  <c r="F59" i="5" s="1"/>
  <c r="D85" i="6" a="1"/>
  <c r="D85" i="6" s="1"/>
  <c r="H6" i="6" a="1"/>
  <c r="H6" i="6" s="1"/>
  <c r="H15" i="6" a="1"/>
  <c r="H15" i="6" s="1"/>
  <c r="D21" i="5"/>
  <c r="H13" i="8" a="1"/>
  <c r="H13" i="8" s="1"/>
  <c r="F13" i="8" a="1"/>
  <c r="F13" i="8" s="1"/>
  <c r="I15" i="6" a="1"/>
  <c r="I15" i="6" s="1"/>
  <c r="F15" i="6" a="1"/>
  <c r="F15" i="6" s="1"/>
  <c r="E85" i="6" a="1"/>
  <c r="E85" i="6" s="1"/>
  <c r="D15" i="6"/>
  <c r="B51" i="5" a="1"/>
  <c r="B51" i="5" s="1"/>
  <c r="D8" i="6"/>
  <c r="D83" i="8" a="1"/>
  <c r="D83" i="8" s="1"/>
  <c r="D78" i="6" a="1"/>
  <c r="D78" i="6" s="1"/>
  <c r="I14" i="9" a="1"/>
  <c r="I14" i="9" s="1"/>
  <c r="E78" i="6" a="1"/>
  <c r="E78" i="6" s="1"/>
  <c r="F16" i="6" a="1"/>
  <c r="F16" i="6" s="1"/>
  <c r="G78" i="6" a="1"/>
  <c r="G78" i="6" s="1"/>
  <c r="J14" i="9" a="1"/>
  <c r="J14" i="9" s="1"/>
  <c r="B48" i="5"/>
  <c r="G60" i="5" a="1"/>
  <c r="G60" i="5" s="1"/>
  <c r="D14" i="9"/>
  <c r="F16" i="8" a="1"/>
  <c r="F16" i="8" s="1"/>
  <c r="N14" i="8"/>
  <c r="H16" i="8" a="1"/>
  <c r="H16" i="8" s="1"/>
  <c r="N11" i="8"/>
  <c r="B67" i="8"/>
  <c r="B9" i="5"/>
  <c r="C6" i="11" s="1"/>
  <c r="F14" i="6" a="1"/>
  <c r="F14" i="6" s="1"/>
  <c r="N11" i="5"/>
  <c r="F58" i="5" a="1"/>
  <c r="F58" i="5" s="1"/>
  <c r="G58" i="5" a="1"/>
  <c r="G58" i="5" s="1"/>
  <c r="I16" i="8" a="1"/>
  <c r="I16" i="8" s="1"/>
  <c r="B48" i="9"/>
  <c r="G85" i="6" a="1"/>
  <c r="G85" i="6" s="1"/>
  <c r="D13" i="8"/>
  <c r="H14" i="9" a="1"/>
  <c r="H14" i="9" s="1"/>
  <c r="F78" i="6" a="1"/>
  <c r="F78" i="6" s="1"/>
  <c r="D6" i="6"/>
  <c r="D8" i="5"/>
  <c r="H8" i="5" a="1"/>
  <c r="H8" i="5" s="1"/>
  <c r="N5" i="5"/>
  <c r="B29" i="5"/>
  <c r="D14" i="6"/>
  <c r="F60" i="5" a="1"/>
  <c r="F60" i="5" s="1"/>
  <c r="C9" i="5"/>
  <c r="C8" i="11" s="1"/>
  <c r="D7" i="5"/>
  <c r="N12" i="6"/>
  <c r="G83" i="6" a="1"/>
  <c r="G83" i="6" s="1"/>
  <c r="D15" i="5"/>
  <c r="B31" i="5" a="1"/>
  <c r="B31" i="5" s="1"/>
  <c r="F8" i="5" a="1"/>
  <c r="F8" i="5" s="1"/>
  <c r="H14" i="5" a="1"/>
  <c r="H14" i="5" s="1"/>
  <c r="N6" i="6"/>
  <c r="H15" i="5" a="1"/>
  <c r="H15" i="5" s="1"/>
  <c r="F14" i="5" a="1"/>
  <c r="F14" i="5" s="1"/>
  <c r="D14" i="5"/>
  <c r="F15" i="5" a="1"/>
  <c r="F15" i="5" s="1"/>
  <c r="F14" i="8" a="1"/>
  <c r="F14" i="8" s="1"/>
  <c r="D13" i="5"/>
  <c r="B9" i="6"/>
  <c r="D6" i="11" s="1"/>
  <c r="D7" i="6"/>
  <c r="F7" i="5" a="1"/>
  <c r="F7" i="5" s="1"/>
  <c r="D84" i="6" a="1"/>
  <c r="D84" i="6" s="1"/>
  <c r="D16" i="8"/>
  <c r="D21" i="6"/>
  <c r="F6" i="5" a="1"/>
  <c r="F6" i="5" s="1"/>
  <c r="H14" i="6" a="1"/>
  <c r="H14" i="6" s="1"/>
  <c r="F16" i="10" a="1"/>
  <c r="F16" i="10" s="1"/>
  <c r="G32" i="11"/>
  <c r="J16" i="10" a="1"/>
  <c r="J16" i="10" s="1"/>
  <c r="B32" i="5" a="1"/>
  <c r="B32" i="5" s="1"/>
  <c r="C29" i="11"/>
  <c r="O19" i="8"/>
  <c r="E19" i="11"/>
  <c r="N18" i="10"/>
  <c r="N19" i="10"/>
  <c r="G24" i="11"/>
  <c r="B32" i="8" a="1"/>
  <c r="B32" i="8" s="1"/>
  <c r="E29" i="11"/>
  <c r="N19" i="6"/>
  <c r="D25" i="11"/>
  <c r="O20" i="10"/>
  <c r="G19" i="11"/>
  <c r="O19" i="10"/>
  <c r="G18" i="11"/>
  <c r="N19" i="9"/>
  <c r="F24" i="11"/>
  <c r="N19" i="5"/>
  <c r="C25" i="11"/>
  <c r="O18" i="8"/>
  <c r="E17" i="11"/>
  <c r="N18" i="9"/>
  <c r="F23" i="11"/>
  <c r="O19" i="9"/>
  <c r="F18" i="11"/>
  <c r="B51" i="8" a="1"/>
  <c r="B51" i="8" s="1"/>
  <c r="E30" i="11"/>
  <c r="N18" i="8"/>
  <c r="E23" i="11"/>
  <c r="O18" i="9"/>
  <c r="F17" i="11"/>
  <c r="O19" i="6"/>
  <c r="D19" i="11"/>
  <c r="B70" i="6" a="1"/>
  <c r="B70" i="6" s="1"/>
  <c r="D31" i="11"/>
  <c r="B67" i="5"/>
  <c r="C31" i="11"/>
  <c r="N18" i="6"/>
  <c r="D23" i="11"/>
  <c r="B32" i="6" a="1"/>
  <c r="B32" i="6" s="1"/>
  <c r="D29" i="11"/>
  <c r="N20" i="9"/>
  <c r="F25" i="11"/>
  <c r="I15" i="9" a="1"/>
  <c r="I15" i="9" s="1"/>
  <c r="O18" i="5"/>
  <c r="C17" i="11"/>
  <c r="N20" i="10"/>
  <c r="G25" i="11"/>
  <c r="N18" i="5"/>
  <c r="C23" i="11"/>
  <c r="B51" i="4" a="1"/>
  <c r="B51" i="4" s="1"/>
  <c r="B30" i="11"/>
  <c r="O18" i="6"/>
  <c r="D17" i="11"/>
  <c r="B32" i="9" a="1"/>
  <c r="B32" i="9" s="1"/>
  <c r="F29" i="11"/>
  <c r="N25" i="4"/>
  <c r="B18" i="11"/>
  <c r="B31" i="4" a="1"/>
  <c r="B31" i="4" s="1"/>
  <c r="B29" i="11"/>
  <c r="O19" i="5"/>
  <c r="C19" i="11"/>
  <c r="O18" i="10"/>
  <c r="G17" i="11"/>
  <c r="N19" i="8"/>
  <c r="E25" i="11"/>
  <c r="B50" i="6" a="1"/>
  <c r="B50" i="6" s="1"/>
  <c r="D30" i="11"/>
  <c r="N26" i="4"/>
  <c r="B19" i="11"/>
  <c r="B71" i="4" a="1"/>
  <c r="B71" i="4" s="1"/>
  <c r="B31" i="11"/>
  <c r="N24" i="4"/>
  <c r="B17" i="11"/>
  <c r="O20" i="9"/>
  <c r="F19" i="11"/>
  <c r="B50" i="9" a="1"/>
  <c r="B50" i="9" s="1"/>
  <c r="F30" i="11"/>
  <c r="B70" i="8" a="1"/>
  <c r="B70" i="8" s="1"/>
  <c r="E31" i="11"/>
  <c r="F83" i="6" a="1"/>
  <c r="F83" i="6" s="1"/>
  <c r="J13" i="9" a="1"/>
  <c r="J13" i="9" s="1"/>
  <c r="D21" i="10"/>
  <c r="F84" i="6" a="1"/>
  <c r="F84" i="6" s="1"/>
  <c r="F84" i="8" a="1"/>
  <c r="F84" i="8" s="1"/>
  <c r="D6" i="5"/>
  <c r="D15" i="9"/>
  <c r="B48" i="6"/>
  <c r="D84" i="8" a="1"/>
  <c r="D84" i="8" s="1"/>
  <c r="I14" i="6" a="1"/>
  <c r="I14" i="6" s="1"/>
  <c r="D21" i="8"/>
  <c r="D21" i="9"/>
  <c r="D14" i="8"/>
  <c r="H14" i="8" a="1"/>
  <c r="H14" i="8" s="1"/>
  <c r="D20" i="5"/>
  <c r="J14" i="8" a="1"/>
  <c r="J14" i="8" s="1"/>
  <c r="G77" i="5" a="1"/>
  <c r="G77" i="5" s="1"/>
  <c r="G84" i="8" a="1"/>
  <c r="G84" i="8" s="1"/>
  <c r="H13" i="6" a="1"/>
  <c r="H13" i="6" s="1"/>
  <c r="N12" i="10"/>
  <c r="D14" i="10"/>
  <c r="E76" i="6" a="1"/>
  <c r="E76" i="6" s="1"/>
  <c r="I13" i="6" a="1"/>
  <c r="I13" i="6" s="1"/>
  <c r="I14" i="8" a="1"/>
  <c r="I14" i="8" s="1"/>
  <c r="F14" i="10" a="1"/>
  <c r="F14" i="10" s="1"/>
  <c r="H15" i="9" a="1"/>
  <c r="H15" i="9" s="1"/>
  <c r="B69" i="6" a="1"/>
  <c r="B69" i="6" s="1"/>
  <c r="G84" i="6" a="1"/>
  <c r="G84" i="6" s="1"/>
  <c r="F15" i="9" a="1"/>
  <c r="F15" i="9" s="1"/>
  <c r="B29" i="9"/>
  <c r="C9" i="6"/>
  <c r="D8" i="11" s="1"/>
  <c r="F8" i="10" a="1"/>
  <c r="F8" i="10" s="1"/>
  <c r="F13" i="9" a="1"/>
  <c r="F13" i="9" s="1"/>
  <c r="D13" i="6"/>
  <c r="B51" i="9" a="1"/>
  <c r="B51" i="9" s="1"/>
  <c r="E83" i="6" a="1"/>
  <c r="E83" i="6" s="1"/>
  <c r="D79" i="6" a="1"/>
  <c r="D79" i="6" s="1"/>
  <c r="H7" i="8" a="1"/>
  <c r="H7" i="8" s="1"/>
  <c r="I13" i="9" a="1"/>
  <c r="I13" i="9" s="1"/>
  <c r="J15" i="10" a="1"/>
  <c r="J15" i="10" s="1"/>
  <c r="B31" i="8" a="1"/>
  <c r="B31" i="8" s="1"/>
  <c r="B29" i="6"/>
  <c r="F13" i="6" a="1"/>
  <c r="F13" i="6" s="1"/>
  <c r="D15" i="8"/>
  <c r="E90" i="8" a="1"/>
  <c r="E90" i="8" s="1"/>
  <c r="F8" i="8" a="1"/>
  <c r="F8" i="8" s="1"/>
  <c r="J15" i="9" a="1"/>
  <c r="J15" i="9" s="1"/>
  <c r="B69" i="5" a="1"/>
  <c r="B69" i="5" s="1"/>
  <c r="J14" i="10" a="1"/>
  <c r="J14" i="10" s="1"/>
  <c r="J15" i="8" a="1"/>
  <c r="J15" i="8" s="1"/>
  <c r="B70" i="5" a="1"/>
  <c r="B70" i="5" s="1"/>
  <c r="J13" i="6" a="1"/>
  <c r="J13" i="6" s="1"/>
  <c r="D7" i="8"/>
  <c r="F21" i="9" a="1"/>
  <c r="F21" i="9" s="1"/>
  <c r="H13" i="9" a="1"/>
  <c r="H13" i="9" s="1"/>
  <c r="G57" i="5" a="1"/>
  <c r="G57" i="5" s="1"/>
  <c r="D6" i="10"/>
  <c r="E79" i="6" a="1"/>
  <c r="E79" i="6" s="1"/>
  <c r="N7" i="8"/>
  <c r="G76" i="5" a="1"/>
  <c r="G76" i="5" s="1"/>
  <c r="B50" i="8" a="1"/>
  <c r="B50" i="8" s="1"/>
  <c r="H14" i="4" a="1"/>
  <c r="H14" i="4" s="1"/>
  <c r="E76" i="5" a="1"/>
  <c r="E76" i="5" s="1"/>
  <c r="F15" i="10" a="1"/>
  <c r="F15" i="10" s="1"/>
  <c r="D85" i="8" a="1"/>
  <c r="D85" i="8" s="1"/>
  <c r="F57" i="5" a="1"/>
  <c r="F57" i="5" s="1"/>
  <c r="F79" i="6" a="1"/>
  <c r="F79" i="6" s="1"/>
  <c r="E85" i="8" a="1"/>
  <c r="E85" i="8" s="1"/>
  <c r="F6" i="10" a="1"/>
  <c r="F6" i="10" s="1"/>
  <c r="C79" i="6" a="1"/>
  <c r="C79" i="6" s="1"/>
  <c r="F85" i="8" a="1"/>
  <c r="F85" i="8" s="1"/>
  <c r="B67" i="6"/>
  <c r="E77" i="5" a="1"/>
  <c r="E77" i="5" s="1"/>
  <c r="F8" i="4" a="1"/>
  <c r="F8" i="4" s="1"/>
  <c r="E92" i="6" a="1"/>
  <c r="E92" i="6" s="1"/>
  <c r="N5" i="10"/>
  <c r="C9" i="8"/>
  <c r="E8" i="11" s="1"/>
  <c r="D6" i="8"/>
  <c r="B31" i="9" a="1"/>
  <c r="B31" i="9" s="1"/>
  <c r="H6" i="8" a="1"/>
  <c r="H6" i="8" s="1"/>
  <c r="D76" i="6" a="1"/>
  <c r="D76" i="6" s="1"/>
  <c r="H15" i="8" a="1"/>
  <c r="H15" i="8" s="1"/>
  <c r="N6" i="8"/>
  <c r="N5" i="8"/>
  <c r="D7" i="10"/>
  <c r="D8" i="9"/>
  <c r="F76" i="6" a="1"/>
  <c r="F76" i="6" s="1"/>
  <c r="F8" i="9" a="1"/>
  <c r="F8" i="9" s="1"/>
  <c r="C76" i="6" a="1"/>
  <c r="C76" i="6" s="1"/>
  <c r="B9" i="8"/>
  <c r="E60" i="4" a="1"/>
  <c r="E60" i="4" s="1"/>
  <c r="J13" i="10" a="1"/>
  <c r="J13" i="10" s="1"/>
  <c r="I15" i="8" a="1"/>
  <c r="I15" i="8" s="1"/>
  <c r="D8" i="8"/>
  <c r="F89" i="10" a="1"/>
  <c r="F89" i="10" s="1"/>
  <c r="B48" i="8"/>
  <c r="C91" i="8" a="1"/>
  <c r="C91" i="8" s="1"/>
  <c r="E88" i="10" a="1"/>
  <c r="E88" i="10" s="1"/>
  <c r="B48" i="10"/>
  <c r="H13" i="10" a="1"/>
  <c r="H13" i="10" s="1"/>
  <c r="D20" i="6"/>
  <c r="H8" i="9" a="1"/>
  <c r="H8" i="9" s="1"/>
  <c r="D15" i="10"/>
  <c r="B32" i="4" a="1"/>
  <c r="B32" i="4" s="1"/>
  <c r="F57" i="4" a="1"/>
  <c r="F57" i="4" s="1"/>
  <c r="F15" i="8" a="1"/>
  <c r="F15" i="8" s="1"/>
  <c r="C9" i="9"/>
  <c r="F8" i="11" s="1"/>
  <c r="B50" i="10" a="1"/>
  <c r="B50" i="10" s="1"/>
  <c r="H7" i="10" a="1"/>
  <c r="H7" i="10" s="1"/>
  <c r="D91" i="5"/>
  <c r="F13" i="4" a="1"/>
  <c r="F13" i="4" s="1"/>
  <c r="D13" i="9"/>
  <c r="J16" i="9" a="1"/>
  <c r="J16" i="9" s="1"/>
  <c r="H14" i="10" a="1"/>
  <c r="H14" i="10" s="1"/>
  <c r="B51" i="10" a="1"/>
  <c r="B51" i="10" s="1"/>
  <c r="H15" i="10" a="1"/>
  <c r="H15" i="10" s="1"/>
  <c r="H13" i="4" a="1"/>
  <c r="H13" i="4" s="1"/>
  <c r="N13" i="10"/>
  <c r="D8" i="10"/>
  <c r="F7" i="10" a="1"/>
  <c r="F7" i="10" s="1"/>
  <c r="B9" i="10"/>
  <c r="H8" i="10" a="1"/>
  <c r="H8" i="10" s="1"/>
  <c r="F16" i="9" a="1"/>
  <c r="F16" i="9" s="1"/>
  <c r="I16" i="10" a="1"/>
  <c r="I16" i="10" s="1"/>
  <c r="F7" i="9" a="1"/>
  <c r="F7" i="9" s="1"/>
  <c r="B29" i="8"/>
  <c r="F84" i="4" a="1"/>
  <c r="F84" i="4" s="1"/>
  <c r="H15" i="4" a="1"/>
  <c r="H15" i="4" s="1"/>
  <c r="N6" i="9"/>
  <c r="D16" i="9"/>
  <c r="C9" i="10"/>
  <c r="G8" i="11" s="1"/>
  <c r="B50" i="4" a="1"/>
  <c r="B50" i="4" s="1"/>
  <c r="B48" i="4"/>
  <c r="D7" i="9"/>
  <c r="H16" i="9" a="1"/>
  <c r="H16" i="9" s="1"/>
  <c r="D16" i="10"/>
  <c r="N14" i="9"/>
  <c r="H16" i="10" a="1"/>
  <c r="H16" i="10" s="1"/>
  <c r="D20" i="8"/>
  <c r="O25" i="4"/>
  <c r="N7" i="4"/>
  <c r="F13" i="10" a="1"/>
  <c r="F13" i="10" s="1"/>
  <c r="D13" i="10"/>
  <c r="B69" i="10" a="1"/>
  <c r="B69" i="10" s="1"/>
  <c r="B70" i="10" a="1"/>
  <c r="B70" i="10" s="1"/>
  <c r="F60" i="4" a="1"/>
  <c r="F60" i="4" s="1"/>
  <c r="G57" i="4" a="1"/>
  <c r="G57" i="4" s="1"/>
  <c r="D14" i="4"/>
  <c r="F87" i="10" a="1"/>
  <c r="F87" i="10" s="1"/>
  <c r="E87" i="10" a="1"/>
  <c r="E87" i="10" s="1"/>
  <c r="C92" i="8" a="1"/>
  <c r="C92" i="8" s="1"/>
  <c r="F92" i="4" a="1"/>
  <c r="F92" i="4" s="1"/>
  <c r="F16" i="4" a="1"/>
  <c r="F16" i="4" s="1"/>
  <c r="F15" i="4" a="1"/>
  <c r="F15" i="4" s="1"/>
  <c r="D15" i="4"/>
  <c r="I13" i="10" a="1"/>
  <c r="I13" i="10" s="1"/>
  <c r="F79" i="4" a="1"/>
  <c r="F79" i="4" s="1"/>
  <c r="B32" i="10" a="1"/>
  <c r="B32" i="10" s="1"/>
  <c r="B31" i="10" a="1"/>
  <c r="B31" i="10" s="1"/>
  <c r="B29" i="10"/>
  <c r="F20" i="10" a="1"/>
  <c r="F20" i="10" s="1"/>
  <c r="D20" i="10"/>
  <c r="E79" i="4" a="1"/>
  <c r="E79" i="4" s="1"/>
  <c r="B67" i="10"/>
  <c r="G58" i="4" a="1"/>
  <c r="G58" i="4" s="1"/>
  <c r="C91" i="6" a="1"/>
  <c r="C91" i="6" s="1"/>
  <c r="D21" i="4"/>
  <c r="F21" i="4" a="1"/>
  <c r="F21" i="4" s="1"/>
  <c r="H89" i="5" a="1"/>
  <c r="H89" i="5" s="1"/>
  <c r="D89" i="5"/>
  <c r="B67" i="9"/>
  <c r="B70" i="9" a="1"/>
  <c r="B70" i="9" s="1"/>
  <c r="B69" i="9" a="1"/>
  <c r="B69" i="9" s="1"/>
  <c r="D8" i="4"/>
  <c r="H91" i="5" a="1"/>
  <c r="H91" i="5" s="1"/>
  <c r="B29" i="4"/>
  <c r="G77" i="4" a="1"/>
  <c r="G77" i="4" s="1"/>
  <c r="F90" i="5" a="1"/>
  <c r="F90" i="5" s="1"/>
  <c r="D90" i="5"/>
  <c r="H90" i="5" a="1"/>
  <c r="H90" i="5" s="1"/>
  <c r="C90" i="6" a="1"/>
  <c r="C90" i="6" s="1"/>
  <c r="H6" i="9" a="1"/>
  <c r="H6" i="9" s="1"/>
  <c r="D6" i="9"/>
  <c r="B9" i="9"/>
  <c r="F6" i="11" s="1"/>
  <c r="N5" i="9"/>
  <c r="F6" i="9" a="1"/>
  <c r="F6" i="9" s="1"/>
  <c r="F89" i="9" a="1"/>
  <c r="F89" i="9" s="1"/>
  <c r="E89" i="9" a="1"/>
  <c r="E89" i="9" s="1"/>
  <c r="H6" i="4" a="1"/>
  <c r="H6" i="4" s="1"/>
  <c r="O24" i="4"/>
  <c r="D20" i="9"/>
  <c r="F20" i="9" a="1"/>
  <c r="F20" i="9" s="1"/>
  <c r="E88" i="9" a="1"/>
  <c r="E88" i="9" s="1"/>
  <c r="F88" i="9" a="1"/>
  <c r="F88" i="9" s="1"/>
  <c r="F87" i="9" a="1"/>
  <c r="F87" i="9" s="1"/>
  <c r="E87" i="9" a="1"/>
  <c r="E87" i="9" s="1"/>
  <c r="H9" i="6" a="1"/>
  <c r="H9" i="6" s="1"/>
  <c r="D13" i="11" s="1"/>
  <c r="H9" i="5" a="1"/>
  <c r="H9" i="5" s="1"/>
  <c r="C13" i="11" s="1"/>
  <c r="G78" i="4" a="1"/>
  <c r="G78" i="4" s="1"/>
  <c r="B68" i="4"/>
  <c r="H16" i="4" a="1"/>
  <c r="H16" i="4" s="1"/>
  <c r="F78" i="4" a="1"/>
  <c r="F78" i="4" s="1"/>
  <c r="E77" i="4" a="1"/>
  <c r="E77" i="4" s="1"/>
  <c r="D16" i="4"/>
  <c r="D13" i="4"/>
  <c r="C9" i="4"/>
  <c r="B8" i="11" s="1"/>
  <c r="D6" i="4"/>
  <c r="B9" i="4"/>
  <c r="G90" i="4" a="1"/>
  <c r="G90" i="4" s="1"/>
  <c r="F6" i="4" a="1"/>
  <c r="F6" i="4" s="1"/>
  <c r="F7" i="4" a="1"/>
  <c r="F7" i="4" s="1"/>
  <c r="O89" i="4"/>
  <c r="E59" i="4" a="1"/>
  <c r="E59" i="4" s="1"/>
  <c r="H7" i="4" a="1"/>
  <c r="H7" i="4" s="1"/>
  <c r="F59" i="4" a="1"/>
  <c r="F59" i="4" s="1"/>
  <c r="E58" i="4" a="1"/>
  <c r="E58" i="4" s="1"/>
  <c r="D20" i="4"/>
  <c r="O90" i="4"/>
  <c r="B70" i="4" a="1"/>
  <c r="B70" i="4" s="1"/>
  <c r="O26" i="4"/>
  <c r="G91" i="4" a="1"/>
  <c r="G91" i="4" s="1"/>
  <c r="D7" i="4"/>
  <c r="F85" i="4" a="1"/>
  <c r="F85" i="4" s="1"/>
  <c r="H20" i="4" a="1"/>
  <c r="H20" i="4" s="1"/>
  <c r="N12" i="4"/>
  <c r="F86" i="4" a="1"/>
  <c r="F86" i="4" s="1"/>
  <c r="O91" i="4"/>
  <c r="H91" i="4"/>
  <c r="H90" i="4"/>
  <c r="D9" i="5" l="1"/>
  <c r="C9" i="11" s="1"/>
  <c r="F9" i="6" a="1"/>
  <c r="F9" i="6" s="1"/>
  <c r="D11" i="11" s="1"/>
  <c r="D9" i="6"/>
  <c r="D9" i="11" s="1"/>
  <c r="F9" i="5" a="1"/>
  <c r="F9" i="5" s="1"/>
  <c r="C11" i="11" s="1"/>
  <c r="F32" i="11"/>
  <c r="F9" i="4" a="1"/>
  <c r="F9" i="4" s="1"/>
  <c r="B11" i="11" s="1"/>
  <c r="B6" i="11"/>
  <c r="B32" i="11"/>
  <c r="F9" i="8" a="1"/>
  <c r="F9" i="8" s="1"/>
  <c r="E11" i="11" s="1"/>
  <c r="E6" i="11"/>
  <c r="H9" i="10" a="1"/>
  <c r="H9" i="10" s="1"/>
  <c r="G13" i="11" s="1"/>
  <c r="G6" i="11"/>
  <c r="D32" i="11"/>
  <c r="E32" i="11"/>
  <c r="C32" i="11"/>
  <c r="D9" i="8"/>
  <c r="E9" i="11" s="1"/>
  <c r="H9" i="8" a="1"/>
  <c r="H9" i="8" s="1"/>
  <c r="E13" i="11" s="1"/>
  <c r="F9" i="10" a="1"/>
  <c r="F9" i="10" s="1"/>
  <c r="G11" i="11" s="1"/>
  <c r="D9" i="10"/>
  <c r="G9" i="11" s="1"/>
  <c r="H9" i="4" a="1"/>
  <c r="H9" i="4" s="1"/>
  <c r="B13" i="11" s="1"/>
  <c r="D9" i="4"/>
  <c r="B9" i="11" s="1"/>
  <c r="H9" i="9" a="1"/>
  <c r="H9" i="9" s="1"/>
  <c r="F13" i="11" s="1"/>
  <c r="D9" i="9"/>
  <c r="F9" i="11" s="1"/>
  <c r="F9" i="9" a="1"/>
  <c r="F9" i="9" s="1"/>
  <c r="F11"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 A. Banez</author>
  </authors>
  <commentList>
    <comment ref="B6" authorId="0" shapeId="0" xr:uid="{00627533-1BDA-1642-9254-5258BA30E927}">
      <text>
        <r>
          <rPr>
            <b/>
            <sz val="10"/>
            <color rgb="FF000000"/>
            <rFont val="Tahoma"/>
            <family val="2"/>
          </rPr>
          <t>Nico A. Banez:</t>
        </r>
        <r>
          <rPr>
            <sz val="10"/>
            <color rgb="FF000000"/>
            <rFont val="Tahoma"/>
            <family val="2"/>
          </rPr>
          <t xml:space="preserve">
</t>
        </r>
        <r>
          <rPr>
            <sz val="10"/>
            <color rgb="FF000000"/>
            <rFont val="Tahoma"/>
            <family val="2"/>
          </rPr>
          <t>Source: FRED/Federal Reserve, https://fred.stlouisfed.org/series/FEDFUNDS</t>
        </r>
      </text>
    </comment>
    <comment ref="C6" authorId="0" shapeId="0" xr:uid="{79020046-65CF-6146-A415-97DC47642F45}">
      <text>
        <r>
          <rPr>
            <b/>
            <sz val="10"/>
            <color rgb="FF000000"/>
            <rFont val="Tahoma"/>
            <family val="2"/>
          </rPr>
          <t>Nico A. Banez:</t>
        </r>
        <r>
          <rPr>
            <sz val="10"/>
            <color rgb="FF000000"/>
            <rFont val="Tahoma"/>
            <family val="2"/>
          </rPr>
          <t xml:space="preserve">
Source: FRED/Federal Reserve, https://fred.stlouisfed.org/series/FEDFUNDS</t>
        </r>
      </text>
    </comment>
    <comment ref="D6" authorId="0" shapeId="0" xr:uid="{E2E97BAF-55E4-5644-99BD-9A5DA5F00059}">
      <text>
        <r>
          <rPr>
            <b/>
            <sz val="10"/>
            <color rgb="FF000000"/>
            <rFont val="Tahoma"/>
            <family val="2"/>
          </rPr>
          <t>Nico A. Banez:</t>
        </r>
        <r>
          <rPr>
            <sz val="10"/>
            <color rgb="FF000000"/>
            <rFont val="Tahoma"/>
            <family val="2"/>
          </rPr>
          <t xml:space="preserve">
Source: FRED/Federal Reserve, https://fred.stlouisfed.org/series/FEDFUNDS</t>
        </r>
      </text>
    </comment>
    <comment ref="E6" authorId="0" shapeId="0" xr:uid="{BED9EC13-75C5-C44D-8EC4-4EEC2765BB44}">
      <text>
        <r>
          <rPr>
            <b/>
            <sz val="10"/>
            <color rgb="FF000000"/>
            <rFont val="Tahoma"/>
            <family val="2"/>
          </rPr>
          <t>Nico A. Banez:</t>
        </r>
        <r>
          <rPr>
            <sz val="10"/>
            <color rgb="FF000000"/>
            <rFont val="Tahoma"/>
            <family val="2"/>
          </rPr>
          <t xml:space="preserve">
Source: FRED/Federal Reserve, https://fred.stlouisfed.org/series/FEDFUNDS</t>
        </r>
      </text>
    </comment>
    <comment ref="F6" authorId="0" shapeId="0" xr:uid="{C197B230-2DD3-6F4E-9005-369A56E0C566}">
      <text>
        <r>
          <rPr>
            <b/>
            <sz val="10"/>
            <color rgb="FF000000"/>
            <rFont val="Tahoma"/>
            <family val="2"/>
          </rPr>
          <t>Nico A. Banez:</t>
        </r>
        <r>
          <rPr>
            <sz val="10"/>
            <color rgb="FF000000"/>
            <rFont val="Tahoma"/>
            <family val="2"/>
          </rPr>
          <t xml:space="preserve">
Source: FRED/Federal Reserve, https://fred.stlouisfed.org/series/FEDFUNDS</t>
        </r>
      </text>
    </comment>
    <comment ref="G6" authorId="0" shapeId="0" xr:uid="{0401FF25-4D6C-434F-8438-ACB0BE203FA2}">
      <text>
        <r>
          <rPr>
            <b/>
            <sz val="10"/>
            <color rgb="FF000000"/>
            <rFont val="Tahoma"/>
            <family val="2"/>
          </rPr>
          <t>Nico A. Banez:</t>
        </r>
        <r>
          <rPr>
            <sz val="10"/>
            <color rgb="FF000000"/>
            <rFont val="Tahoma"/>
            <family val="2"/>
          </rPr>
          <t xml:space="preserve">
Source: FRED/Federal Reserve, https://fred.stlouisfed.org/series/FEDFUNDS</t>
        </r>
      </text>
    </comment>
    <comment ref="B7" authorId="0" shapeId="0" xr:uid="{5F2FD7D1-32E1-844F-9067-A4A8D8C33D10}">
      <text>
        <r>
          <rPr>
            <b/>
            <sz val="10"/>
            <color rgb="FF000000"/>
            <rFont val="Tahoma"/>
            <family val="2"/>
          </rPr>
          <t>Nico A. Banez:</t>
        </r>
        <r>
          <rPr>
            <sz val="10"/>
            <color rgb="FF000000"/>
            <rFont val="Tahoma"/>
            <family val="2"/>
          </rPr>
          <t xml:space="preserve">
</t>
        </r>
        <r>
          <rPr>
            <sz val="10"/>
            <color rgb="FF000000"/>
            <rFont val="Tahoma"/>
            <family val="2"/>
          </rPr>
          <t>Source: FRED/US Treasury, https://fred.stlouisfed.org/series/DGS10</t>
        </r>
      </text>
    </comment>
    <comment ref="C7" authorId="0" shapeId="0" xr:uid="{D8E49264-A1EA-654D-90CD-A63A8FF2852D}">
      <text>
        <r>
          <rPr>
            <b/>
            <sz val="10"/>
            <color rgb="FF000000"/>
            <rFont val="Tahoma"/>
            <family val="2"/>
          </rPr>
          <t>Nico A. Banez:</t>
        </r>
        <r>
          <rPr>
            <sz val="10"/>
            <color rgb="FF000000"/>
            <rFont val="Tahoma"/>
            <family val="2"/>
          </rPr>
          <t xml:space="preserve">
Source: FRED/US Treasury, https://fred.stlouisfed.org/series/DGS10</t>
        </r>
      </text>
    </comment>
    <comment ref="D7" authorId="0" shapeId="0" xr:uid="{359A2D51-7CFE-BA4A-8133-F134AC0BD232}">
      <text>
        <r>
          <rPr>
            <b/>
            <sz val="10"/>
            <color rgb="FF000000"/>
            <rFont val="Tahoma"/>
            <family val="2"/>
          </rPr>
          <t>Nico A. Banez:</t>
        </r>
        <r>
          <rPr>
            <sz val="10"/>
            <color rgb="FF000000"/>
            <rFont val="Tahoma"/>
            <family val="2"/>
          </rPr>
          <t xml:space="preserve">
Source: FRED/US Treasury, https://fred.stlouisfed.org/series/DGS10</t>
        </r>
      </text>
    </comment>
    <comment ref="E7" authorId="0" shapeId="0" xr:uid="{0ACBF2A4-699D-1046-A4E9-3AFDCC45475B}">
      <text>
        <r>
          <rPr>
            <b/>
            <sz val="10"/>
            <color rgb="FF000000"/>
            <rFont val="Tahoma"/>
            <family val="2"/>
          </rPr>
          <t>Nico A. Banez:</t>
        </r>
        <r>
          <rPr>
            <sz val="10"/>
            <color rgb="FF000000"/>
            <rFont val="Tahoma"/>
            <family val="2"/>
          </rPr>
          <t xml:space="preserve">
Source: FRED/US Treasury, https://fred.stlouisfed.org/series/DGS10</t>
        </r>
      </text>
    </comment>
    <comment ref="F7" authorId="0" shapeId="0" xr:uid="{572DDE73-18D2-C045-9DE6-171CD2EE4262}">
      <text>
        <r>
          <rPr>
            <b/>
            <sz val="10"/>
            <color rgb="FF000000"/>
            <rFont val="Tahoma"/>
            <family val="2"/>
          </rPr>
          <t>Nico A. Banez:</t>
        </r>
        <r>
          <rPr>
            <sz val="10"/>
            <color rgb="FF000000"/>
            <rFont val="Tahoma"/>
            <family val="2"/>
          </rPr>
          <t xml:space="preserve">
Source: FRED/US Treasury, https://fred.stlouisfed.org/series/DGS10</t>
        </r>
      </text>
    </comment>
    <comment ref="G7" authorId="0" shapeId="0" xr:uid="{62A2FFA0-5FC7-A540-A941-89E9752B0AF9}">
      <text>
        <r>
          <rPr>
            <b/>
            <sz val="10"/>
            <color rgb="FF000000"/>
            <rFont val="Tahoma"/>
            <family val="2"/>
          </rPr>
          <t>Nico A. Banez:</t>
        </r>
        <r>
          <rPr>
            <sz val="10"/>
            <color rgb="FF000000"/>
            <rFont val="Tahoma"/>
            <family val="2"/>
          </rPr>
          <t xml:space="preserve">
Source: FRED/US Treasury, https://fred.stlouisfed.org/series/DGS10</t>
        </r>
      </text>
    </comment>
    <comment ref="B13" authorId="0" shapeId="0" xr:uid="{673FA95D-8D24-4F4C-8D8C-3073CA790333}">
      <text>
        <r>
          <rPr>
            <b/>
            <sz val="10"/>
            <color rgb="FF000000"/>
            <rFont val="Tahoma"/>
            <family val="2"/>
          </rPr>
          <t>Nico A. Banez:</t>
        </r>
        <r>
          <rPr>
            <sz val="10"/>
            <color rgb="FF000000"/>
            <rFont val="Tahoma"/>
            <family val="2"/>
          </rPr>
          <t xml:space="preserve">
</t>
        </r>
        <r>
          <rPr>
            <sz val="10"/>
            <color rgb="FF000000"/>
            <rFont val="Tahoma"/>
            <family val="2"/>
          </rPr>
          <t>Source: FL EDR / US Census, https://edr.state.fl.us/content/area-profiles/county/orange.pdf</t>
        </r>
      </text>
    </comment>
    <comment ref="C13" authorId="0" shapeId="0" xr:uid="{C21EBC43-3CBD-CC4E-A272-D75F90E36B9C}">
      <text>
        <r>
          <rPr>
            <b/>
            <sz val="10"/>
            <color rgb="FF000000"/>
            <rFont val="Tahoma"/>
            <family val="2"/>
          </rPr>
          <t>Nico A. Banez:</t>
        </r>
        <r>
          <rPr>
            <sz val="10"/>
            <color rgb="FF000000"/>
            <rFont val="Tahoma"/>
            <family val="2"/>
          </rPr>
          <t xml:space="preserve">
</t>
        </r>
        <r>
          <rPr>
            <sz val="10"/>
            <color rgb="FF000000"/>
            <rFont val="Tahoma"/>
            <family val="2"/>
          </rPr>
          <t>Source: FL EDR (interpolated from 2020 Census &amp; 2022 est.), https://edr.state.fl.us/content/area-profiles/county/orange.pdf</t>
        </r>
      </text>
    </comment>
    <comment ref="D13" authorId="0" shapeId="0" xr:uid="{3D9980B9-486C-9A41-AB92-C55C65B30DA9}">
      <text>
        <r>
          <rPr>
            <b/>
            <sz val="10"/>
            <color rgb="FF000000"/>
            <rFont val="Tahoma"/>
            <family val="2"/>
          </rPr>
          <t>Nico A. Banez:</t>
        </r>
        <r>
          <rPr>
            <sz val="10"/>
            <color rgb="FF000000"/>
            <rFont val="Tahoma"/>
            <family val="2"/>
          </rPr>
          <t xml:space="preserve">
Source: FL EDR, https://edr.state.fl.us/content/area-profiles/county/orange.pdf</t>
        </r>
      </text>
    </comment>
    <comment ref="E13" authorId="0" shapeId="0" xr:uid="{1E06BE73-EB73-F542-979B-3D71DE9FBB86}">
      <text>
        <r>
          <rPr>
            <b/>
            <sz val="10"/>
            <color rgb="FF000000"/>
            <rFont val="Tahoma"/>
            <family val="2"/>
          </rPr>
          <t>Nico A. Banez:</t>
        </r>
        <r>
          <rPr>
            <sz val="10"/>
            <color rgb="FF000000"/>
            <rFont val="Tahoma"/>
            <family val="2"/>
          </rPr>
          <t xml:space="preserve">
Source: FL EDR, https://edr.state.fl.us/content/area-profiles/county/orange.pdf</t>
        </r>
      </text>
    </comment>
    <comment ref="F13" authorId="0" shapeId="0" xr:uid="{191116DB-B7FA-3C4A-AD8A-A320BCF6C577}">
      <text>
        <r>
          <rPr>
            <b/>
            <sz val="10"/>
            <color rgb="FF000000"/>
            <rFont val="Tahoma"/>
            <family val="2"/>
          </rPr>
          <t>Nico A. Banez:</t>
        </r>
        <r>
          <rPr>
            <sz val="10"/>
            <color rgb="FF000000"/>
            <rFont val="Tahoma"/>
            <family val="2"/>
          </rPr>
          <t xml:space="preserve">
Source: FL EDR, https://edr.state.fl.us/content/area-profiles/county/orange.pdf</t>
        </r>
      </text>
    </comment>
    <comment ref="G13" authorId="0" shapeId="0" xr:uid="{B7645B08-4BA0-5F49-8535-E3418CCCD022}">
      <text>
        <r>
          <rPr>
            <b/>
            <sz val="10"/>
            <color rgb="FF000000"/>
            <rFont val="Tahoma"/>
            <family val="2"/>
          </rPr>
          <t>Nico A. Banez:</t>
        </r>
        <r>
          <rPr>
            <sz val="10"/>
            <color rgb="FF000000"/>
            <rFont val="Tahoma"/>
            <family val="2"/>
          </rPr>
          <t xml:space="preserve">
Source: FL EDR, https://edr.state.fl.us/content/area-profiles/county/orange.pdf</t>
        </r>
      </text>
    </comment>
    <comment ref="B14" authorId="0" shapeId="0" xr:uid="{0B99715D-F594-8041-BD75-B5CC92EB251D}">
      <text>
        <r>
          <rPr>
            <b/>
            <sz val="10"/>
            <color rgb="FF000000"/>
            <rFont val="Tahoma"/>
            <family val="2"/>
          </rPr>
          <t>Nico A. Banez:</t>
        </r>
        <r>
          <rPr>
            <sz val="10"/>
            <color rgb="FF000000"/>
            <rFont val="Tahoma"/>
            <family val="2"/>
          </rPr>
          <t xml:space="preserve">
Source: US Census 2020, https://www.census.gov/quickfacts/seminolecountyflorida</t>
        </r>
      </text>
    </comment>
    <comment ref="C14" authorId="0" shapeId="0" xr:uid="{5D4C86BE-C6FE-C64C-9E65-A16B9A72EC2F}">
      <text>
        <r>
          <rPr>
            <b/>
            <sz val="10"/>
            <color rgb="FF000000"/>
            <rFont val="Tahoma"/>
            <family val="2"/>
          </rPr>
          <t>Nico A. Banez:</t>
        </r>
        <r>
          <rPr>
            <sz val="10"/>
            <color rgb="FF000000"/>
            <rFont val="Tahoma"/>
            <family val="2"/>
          </rPr>
          <t xml:space="preserve">
Source: Interpolated from Census 2020 &amp; 2024 est.</t>
        </r>
      </text>
    </comment>
    <comment ref="D14" authorId="0" shapeId="0" xr:uid="{5E825574-E434-744B-95B6-372947F28603}">
      <text>
        <r>
          <rPr>
            <b/>
            <sz val="10"/>
            <color rgb="FF000000"/>
            <rFont val="Tahoma"/>
            <family val="2"/>
          </rPr>
          <t>Nico A. Banez:</t>
        </r>
        <r>
          <rPr>
            <sz val="10"/>
            <color rgb="FF000000"/>
            <rFont val="Tahoma"/>
            <family val="2"/>
          </rPr>
          <t xml:space="preserve">
Source: Interpolated from Census 2020 &amp; 2024 est.</t>
        </r>
      </text>
    </comment>
    <comment ref="E14" authorId="0" shapeId="0" xr:uid="{97DE9BBD-57D1-6A47-B855-49BF1CE5B37F}">
      <text>
        <r>
          <rPr>
            <b/>
            <sz val="10"/>
            <color rgb="FF000000"/>
            <rFont val="Tahoma"/>
            <family val="2"/>
          </rPr>
          <t>Nico A. Banez:</t>
        </r>
        <r>
          <rPr>
            <sz val="10"/>
            <color rgb="FF000000"/>
            <rFont val="Tahoma"/>
            <family val="2"/>
          </rPr>
          <t xml:space="preserve">
Source: Interpolated from Census 2020 &amp; 2024 est.</t>
        </r>
      </text>
    </comment>
    <comment ref="F14" authorId="0" shapeId="0" xr:uid="{D7429A80-8779-5F48-A467-FB3D5A6C4408}">
      <text>
        <r>
          <rPr>
            <b/>
            <sz val="10"/>
            <color rgb="FF000000"/>
            <rFont val="Tahoma"/>
            <family val="2"/>
          </rPr>
          <t>Nico A. Banez:</t>
        </r>
        <r>
          <rPr>
            <sz val="10"/>
            <color rgb="FF000000"/>
            <rFont val="Tahoma"/>
            <family val="2"/>
          </rPr>
          <t xml:space="preserve">
Source: florida-demographics.com (Census-based), https://www.florida-demographics.com/seminole-county-demographics</t>
        </r>
      </text>
    </comment>
    <comment ref="G14" authorId="0" shapeId="0" xr:uid="{A9915B46-EACC-B14C-BCDC-440354708D7B}">
      <text>
        <r>
          <rPr>
            <b/>
            <sz val="10"/>
            <color rgb="FF000000"/>
            <rFont val="Tahoma"/>
            <family val="2"/>
          </rPr>
          <t>Nico A. Banez:</t>
        </r>
        <r>
          <rPr>
            <sz val="10"/>
            <color rgb="FF000000"/>
            <rFont val="Tahoma"/>
            <family val="2"/>
          </rPr>
          <t xml:space="preserve">
Source: Projected from 2020-2024 growth trend</t>
        </r>
      </text>
    </comment>
    <comment ref="B15" authorId="0" shapeId="0" xr:uid="{D390DE86-5447-7E41-96C5-E86635C0EB0C}">
      <text>
        <r>
          <rPr>
            <b/>
            <sz val="10"/>
            <color rgb="FF000000"/>
            <rFont val="Tahoma"/>
            <family val="2"/>
          </rPr>
          <t>Nico A. Banez:</t>
        </r>
        <r>
          <rPr>
            <sz val="10"/>
            <color rgb="FF000000"/>
            <rFont val="Tahoma"/>
            <family val="2"/>
          </rPr>
          <t xml:space="preserve">
Source: FL EDR / US Census, https://edr.state.fl.us/content/area-profiles/county/osceola.pdf</t>
        </r>
      </text>
    </comment>
    <comment ref="C15" authorId="0" shapeId="0" xr:uid="{938E1419-1FF8-BD44-AA44-3107A65D2309}">
      <text>
        <r>
          <rPr>
            <b/>
            <sz val="10"/>
            <color rgb="FF000000"/>
            <rFont val="Tahoma"/>
            <family val="2"/>
          </rPr>
          <t>Nico A. Banez:</t>
        </r>
        <r>
          <rPr>
            <sz val="10"/>
            <color rgb="FF000000"/>
            <rFont val="Tahoma"/>
            <family val="2"/>
          </rPr>
          <t xml:space="preserve">
Source: FL EDR (4.6% change from 2020), https://edr.state.fl.us/content/area-profiles/county/osceola.pdf</t>
        </r>
      </text>
    </comment>
    <comment ref="D15" authorId="0" shapeId="0" xr:uid="{A95FEBD6-38B9-5E4A-915A-4EEEA5AEAB10}">
      <text>
        <r>
          <rPr>
            <b/>
            <sz val="10"/>
            <color rgb="FF000000"/>
            <rFont val="Tahoma"/>
            <family val="2"/>
          </rPr>
          <t>Nico A. Banez:</t>
        </r>
        <r>
          <rPr>
            <sz val="10"/>
            <color rgb="FF000000"/>
            <rFont val="Tahoma"/>
            <family val="2"/>
          </rPr>
          <t xml:space="preserve">
Source: FL EDR, https://edr.state.fl.us/content/area-profiles/county/osceola.pdf</t>
        </r>
      </text>
    </comment>
    <comment ref="E15" authorId="0" shapeId="0" xr:uid="{38E642E8-4210-B249-8228-49362817332D}">
      <text>
        <r>
          <rPr>
            <b/>
            <sz val="10"/>
            <color rgb="FF000000"/>
            <rFont val="Tahoma"/>
            <family val="2"/>
          </rPr>
          <t>Nico A. Banez:</t>
        </r>
        <r>
          <rPr>
            <sz val="10"/>
            <color rgb="FF000000"/>
            <rFont val="Tahoma"/>
            <family val="2"/>
          </rPr>
          <t xml:space="preserve">
Source: FL EDR, https://edr.state.fl.us/content/area-profiles/county/osceola.pdf</t>
        </r>
      </text>
    </comment>
    <comment ref="F15" authorId="0" shapeId="0" xr:uid="{670E8C35-F4CE-6F48-9CB5-1F1A3B83DA30}">
      <text>
        <r>
          <rPr>
            <b/>
            <sz val="10"/>
            <color rgb="FF000000"/>
            <rFont val="Tahoma"/>
            <family val="2"/>
          </rPr>
          <t>Nico A. Banez:</t>
        </r>
        <r>
          <rPr>
            <sz val="10"/>
            <color rgb="FF000000"/>
            <rFont val="Tahoma"/>
            <family val="2"/>
          </rPr>
          <t xml:space="preserve">
Source: FL EDR, https://edr.state.fl.us/content/area-profiles/county/osceola.pdf</t>
        </r>
      </text>
    </comment>
    <comment ref="G15" authorId="0" shapeId="0" xr:uid="{DFDF9494-A731-E647-9E55-95787E07EB29}">
      <text>
        <r>
          <rPr>
            <b/>
            <sz val="10"/>
            <color rgb="FF000000"/>
            <rFont val="Tahoma"/>
            <family val="2"/>
          </rPr>
          <t>Nico A. Banez:</t>
        </r>
        <r>
          <rPr>
            <sz val="10"/>
            <color rgb="FF000000"/>
            <rFont val="Tahoma"/>
            <family val="2"/>
          </rPr>
          <t xml:space="preserve">
Source: FL EDR, https://edr.state.fl.us/content/area-profiles/county/osceola.pdf</t>
        </r>
      </text>
    </comment>
    <comment ref="B16" authorId="0" shapeId="0" xr:uid="{479D9BDF-B410-744B-B290-35F7600DC298}">
      <text>
        <r>
          <rPr>
            <b/>
            <sz val="10"/>
            <color rgb="FF000000"/>
            <rFont val="Tahoma"/>
            <family val="2"/>
          </rPr>
          <t>Nico A. Banez:</t>
        </r>
        <r>
          <rPr>
            <sz val="10"/>
            <color rgb="FF000000"/>
            <rFont val="Tahoma"/>
            <family val="2"/>
          </rPr>
          <t xml:space="preserve">
Source: US Census 2020, https://www.census.gov/quickfacts/lakecountyflorida</t>
        </r>
      </text>
    </comment>
    <comment ref="C16" authorId="0" shapeId="0" xr:uid="{B9BFD6CA-1748-6145-B37C-11795F1BE2A2}">
      <text>
        <r>
          <rPr>
            <b/>
            <sz val="10"/>
            <color rgb="FF000000"/>
            <rFont val="Tahoma"/>
            <family val="2"/>
          </rPr>
          <t>Nico A. Banez:</t>
        </r>
        <r>
          <rPr>
            <sz val="10"/>
            <color rgb="FF000000"/>
            <rFont val="Tahoma"/>
            <family val="2"/>
          </rPr>
          <t xml:space="preserve">
Source: Interpolated from Census 2020 &amp; 2023 est.</t>
        </r>
      </text>
    </comment>
    <comment ref="D16" authorId="0" shapeId="0" xr:uid="{85B662BB-20BD-634C-B503-C7BE662B43D5}">
      <text>
        <r>
          <rPr>
            <b/>
            <sz val="10"/>
            <color rgb="FF000000"/>
            <rFont val="Tahoma"/>
            <family val="2"/>
          </rPr>
          <t>Nico A. Banez:</t>
        </r>
        <r>
          <rPr>
            <sz val="10"/>
            <color rgb="FF000000"/>
            <rFont val="Tahoma"/>
            <family val="2"/>
          </rPr>
          <t xml:space="preserve">
Source: WFTV/Census, https://www.wftv.com/news/local/</t>
        </r>
      </text>
    </comment>
    <comment ref="E16" authorId="0" shapeId="0" xr:uid="{CF0B3D4A-4019-5F4F-8435-2AB51AEB9C9C}">
      <text>
        <r>
          <rPr>
            <b/>
            <sz val="10"/>
            <color rgb="FF000000"/>
            <rFont val="Tahoma"/>
            <family val="2"/>
          </rPr>
          <t>Nico A. Banez:</t>
        </r>
        <r>
          <rPr>
            <sz val="10"/>
            <color rgb="FF000000"/>
            <rFont val="Tahoma"/>
            <family val="2"/>
          </rPr>
          <t xml:space="preserve">
Source: US Census Bureau via WFTV, https://www.wftv.com/news/local/</t>
        </r>
      </text>
    </comment>
    <comment ref="F16" authorId="0" shapeId="0" xr:uid="{DE136D15-BC6D-0D47-AD31-7840D0B4B97B}">
      <text>
        <r>
          <rPr>
            <b/>
            <sz val="10"/>
            <color rgb="FF000000"/>
            <rFont val="Tahoma"/>
            <family val="2"/>
          </rPr>
          <t>Source: Estimated from growth trend (ACS estimate of 412,924 appears inconsistent with 2023 Census estimate of 424,462 due to methodology differences)</t>
        </r>
      </text>
    </comment>
    <comment ref="G16" authorId="0" shapeId="0" xr:uid="{DE27F9D2-3067-A04F-8CEB-571031B13827}">
      <text>
        <r>
          <rPr>
            <b/>
            <sz val="10"/>
            <color rgb="FF000000"/>
            <rFont val="Tahoma"/>
            <family val="2"/>
          </rPr>
          <t>Nico A. Banez:</t>
        </r>
        <r>
          <rPr>
            <sz val="10"/>
            <color rgb="FF000000"/>
            <rFont val="Tahoma"/>
            <family val="2"/>
          </rPr>
          <t xml:space="preserve">
Source: Projected from trend</t>
        </r>
      </text>
    </comment>
    <comment ref="A72" authorId="0" shapeId="0" xr:uid="{06893163-4824-FC46-898E-B97961420147}">
      <text>
        <r>
          <rPr>
            <b/>
            <sz val="10"/>
            <color rgb="FF000000"/>
            <rFont val="Tahoma"/>
            <family val="2"/>
          </rPr>
          <t>Nico A. Banez:</t>
        </r>
        <r>
          <rPr>
            <sz val="10"/>
            <color rgb="FF000000"/>
            <rFont val="Tahoma"/>
            <family val="2"/>
          </rPr>
          <t xml:space="preserve">
Source: FRED/US Census Bureau, https://fred.stlouisfed.org/series/ORLPOP</t>
        </r>
      </text>
    </comment>
    <comment ref="B72" authorId="0" shapeId="0" xr:uid="{B391ADFD-8F1E-654D-82CD-11A72AC3A696}">
      <text>
        <r>
          <rPr>
            <b/>
            <sz val="10"/>
            <color rgb="FF000000"/>
            <rFont val="Tahoma"/>
            <family val="2"/>
          </rPr>
          <t>Nico A. Banez:</t>
        </r>
        <r>
          <rPr>
            <sz val="10"/>
            <color rgb="FF000000"/>
            <rFont val="Tahoma"/>
            <family val="2"/>
          </rPr>
          <t xml:space="preserve">
Source: FRED/US Census Bureau, https://fred.stlouisfed.org/series/ORLPOP</t>
        </r>
      </text>
    </comment>
    <comment ref="A73" authorId="0" shapeId="0" xr:uid="{88F4F5E8-53FC-AA44-9BF9-C9AC619E8B69}">
      <text>
        <r>
          <rPr>
            <b/>
            <sz val="10"/>
            <color rgb="FF000000"/>
            <rFont val="Tahoma"/>
            <family val="2"/>
          </rPr>
          <t>Nico A. Banez:</t>
        </r>
        <r>
          <rPr>
            <sz val="10"/>
            <color rgb="FF000000"/>
            <rFont val="Tahoma"/>
            <family val="2"/>
          </rPr>
          <t xml:space="preserve">
Source: FRED/US Census Bureau, https://fred.stlouisfed.org/series/DFWPOP</t>
        </r>
      </text>
    </comment>
    <comment ref="B73" authorId="0" shapeId="0" xr:uid="{50206CAB-FD60-674B-906B-46FE5D9EA91D}">
      <text>
        <r>
          <rPr>
            <b/>
            <sz val="10"/>
            <color rgb="FF000000"/>
            <rFont val="Tahoma"/>
            <family val="2"/>
          </rPr>
          <t>Nico A. Banez:</t>
        </r>
        <r>
          <rPr>
            <sz val="10"/>
            <color rgb="FF000000"/>
            <rFont val="Tahoma"/>
            <family val="2"/>
          </rPr>
          <t xml:space="preserve">
Source: FRED/US Census Bureau, https://fred.stlouisfed.org/series/DFWPOP</t>
        </r>
      </text>
    </comment>
    <comment ref="A74" authorId="0" shapeId="0" xr:uid="{A6ABF44D-FFFB-8C44-A2EC-098888A74769}">
      <text>
        <r>
          <rPr>
            <b/>
            <sz val="10"/>
            <color rgb="FF000000"/>
            <rFont val="Tahoma"/>
            <family val="2"/>
          </rPr>
          <t>Nico A. Banez:</t>
        </r>
        <r>
          <rPr>
            <sz val="10"/>
            <color rgb="FF000000"/>
            <rFont val="Tahoma"/>
            <family val="2"/>
          </rPr>
          <t xml:space="preserve">
Source: FRED/US Census Bureau, https://fred.stlouisfed.org/series/CGRPOP</t>
        </r>
      </text>
    </comment>
    <comment ref="B74" authorId="0" shapeId="0" xr:uid="{68DE1C4F-D601-9844-83A4-8441330A18F0}">
      <text>
        <r>
          <rPr>
            <b/>
            <sz val="10"/>
            <color rgb="FF000000"/>
            <rFont val="Tahoma"/>
            <family val="2"/>
          </rPr>
          <t>Nico A. Banez:</t>
        </r>
        <r>
          <rPr>
            <sz val="10"/>
            <color rgb="FF000000"/>
            <rFont val="Tahoma"/>
            <family val="2"/>
          </rPr>
          <t xml:space="preserve">
Source: FRED/US Census Bureau, https://fred.stlouisfed.org/series/CGRPOP</t>
        </r>
      </text>
    </comment>
    <comment ref="A75" authorId="0" shapeId="0" xr:uid="{2C594540-2A23-8A45-8C07-961994BEFAF9}">
      <text>
        <r>
          <rPr>
            <b/>
            <sz val="10"/>
            <color rgb="FF000000"/>
            <rFont val="Tahoma"/>
            <family val="2"/>
          </rPr>
          <t>Nico A. Banez:</t>
        </r>
        <r>
          <rPr>
            <sz val="10"/>
            <color rgb="FF000000"/>
            <rFont val="Tahoma"/>
            <family val="2"/>
          </rPr>
          <t xml:space="preserve">
Source: FRED/US Census Bureau, https://fred.stlouisfed.org/series/SATPOP</t>
        </r>
      </text>
    </comment>
    <comment ref="B75" authorId="0" shapeId="0" xr:uid="{AC797D8E-F66E-9F43-A9BB-A546A0053B91}">
      <text>
        <r>
          <rPr>
            <b/>
            <sz val="10"/>
            <color rgb="FF000000"/>
            <rFont val="Tahoma"/>
            <family val="2"/>
          </rPr>
          <t>Nico A. Banez:</t>
        </r>
        <r>
          <rPr>
            <sz val="10"/>
            <color rgb="FF000000"/>
            <rFont val="Tahoma"/>
            <family val="2"/>
          </rPr>
          <t xml:space="preserve">
Source: FRED/US Census Bureau, https://fred.stlouisfed.org/series/SATPOP</t>
        </r>
      </text>
    </comment>
    <comment ref="A76" authorId="0" shapeId="0" xr:uid="{A56264DD-8DC8-8549-A185-70B5DA3E45A2}">
      <text>
        <r>
          <rPr>
            <b/>
            <sz val="10"/>
            <color rgb="FF000000"/>
            <rFont val="Tahoma"/>
            <family val="2"/>
          </rPr>
          <t>Nico A. Banez:</t>
        </r>
        <r>
          <rPr>
            <sz val="10"/>
            <color rgb="FF000000"/>
            <rFont val="Tahoma"/>
            <family val="2"/>
          </rPr>
          <t xml:space="preserve">
Source: FRED/US Census Bureau, https://fred.stlouisfed.org/series/TMAPOP</t>
        </r>
      </text>
    </comment>
    <comment ref="B76" authorId="0" shapeId="0" xr:uid="{F6CDB8CF-477C-0D4F-931F-6D7B5BA5675C}">
      <text>
        <r>
          <rPr>
            <b/>
            <sz val="10"/>
            <color rgb="FF000000"/>
            <rFont val="Tahoma"/>
            <family val="2"/>
          </rPr>
          <t>Nico A. Banez:</t>
        </r>
        <r>
          <rPr>
            <sz val="10"/>
            <color rgb="FF000000"/>
            <rFont val="Tahoma"/>
            <family val="2"/>
          </rPr>
          <t xml:space="preserve">
Source: FRED/US Census Bureau, https://fred.stlouisfed.org/series/TMAPOP</t>
        </r>
      </text>
    </comment>
    <comment ref="A77" authorId="0" shapeId="0" xr:uid="{2E622E3E-3818-C842-B2E7-20FD3C07DF75}">
      <text>
        <r>
          <rPr>
            <b/>
            <sz val="10"/>
            <color rgb="FF000000"/>
            <rFont val="Tahoma"/>
            <family val="2"/>
          </rPr>
          <t>Nico A. Banez:</t>
        </r>
        <r>
          <rPr>
            <sz val="10"/>
            <color rgb="FF000000"/>
            <rFont val="Tahoma"/>
            <family val="2"/>
          </rPr>
          <t xml:space="preserve">
Source: FRED/US Census Bureau, https://fred.stlouisfed.org/series/NVLPOP</t>
        </r>
      </text>
    </comment>
    <comment ref="B77" authorId="0" shapeId="0" xr:uid="{6D089F35-6472-A945-BCC1-F3413716782C}">
      <text>
        <r>
          <rPr>
            <b/>
            <sz val="10"/>
            <color rgb="FF000000"/>
            <rFont val="Tahoma"/>
            <family val="2"/>
          </rPr>
          <t>Nico A. Banez:</t>
        </r>
        <r>
          <rPr>
            <sz val="10"/>
            <color rgb="FF000000"/>
            <rFont val="Tahoma"/>
            <family val="2"/>
          </rPr>
          <t xml:space="preserve">
Source: FRED/US Census Bureau, https://fred.stlouisfed.org/series/NVLPOP</t>
        </r>
      </text>
    </comment>
    <comment ref="A78" authorId="0" shapeId="0" xr:uid="{5F89436B-1FAC-7A4F-BD5C-83751FE44B2F}">
      <text>
        <r>
          <rPr>
            <b/>
            <sz val="10"/>
            <color rgb="FF000000"/>
            <rFont val="Tahoma"/>
            <family val="2"/>
          </rPr>
          <t>Nico A. Banez:</t>
        </r>
        <r>
          <rPr>
            <sz val="10"/>
            <color rgb="FF000000"/>
            <rFont val="Tahoma"/>
            <family val="2"/>
          </rPr>
          <t xml:space="preserve">
Source: FRED/US Census Bureau, https://fred.stlouisfed.org/series/PHXPOP</t>
        </r>
      </text>
    </comment>
    <comment ref="B78" authorId="0" shapeId="0" xr:uid="{18290F9F-8D02-994C-A792-F72690DFA0F4}">
      <text>
        <r>
          <rPr>
            <b/>
            <sz val="10"/>
            <color rgb="FF000000"/>
            <rFont val="Tahoma"/>
            <family val="2"/>
          </rPr>
          <t>Nico A. Banez:</t>
        </r>
        <r>
          <rPr>
            <sz val="10"/>
            <color rgb="FF000000"/>
            <rFont val="Tahoma"/>
            <family val="2"/>
          </rPr>
          <t xml:space="preserve">
Source: FRED/US Census Bureau, https://fred.stlouisfed.org/series/PHXPOP</t>
        </r>
      </text>
    </comment>
    <comment ref="A79" authorId="0" shapeId="0" xr:uid="{9FD4F605-C305-5B43-9A56-DCA22BD1832C}">
      <text>
        <r>
          <rPr>
            <b/>
            <sz val="10"/>
            <color rgb="FF000000"/>
            <rFont val="Tahoma"/>
            <family val="2"/>
          </rPr>
          <t>Nico A. Banez:</t>
        </r>
        <r>
          <rPr>
            <sz val="10"/>
            <color rgb="FF000000"/>
            <rFont val="Tahoma"/>
            <family val="2"/>
          </rPr>
          <t xml:space="preserve">
Source: FRED/US Census Bureau, https://fred.stlouisfed.org/series/MIMPOP</t>
        </r>
      </text>
    </comment>
    <comment ref="B79" authorId="0" shapeId="0" xr:uid="{D6189074-5633-0E41-B9C5-9E34568D44AC}">
      <text>
        <r>
          <rPr>
            <b/>
            <sz val="10"/>
            <color rgb="FF000000"/>
            <rFont val="Tahoma"/>
            <family val="2"/>
          </rPr>
          <t>Nico A. Banez:</t>
        </r>
        <r>
          <rPr>
            <sz val="10"/>
            <color rgb="FF000000"/>
            <rFont val="Tahoma"/>
            <family val="2"/>
          </rPr>
          <t xml:space="preserve">
Source: FRED/US Census Bureau, https://fred.stlouisfed.org/series/MIMPOP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<sst xmlns="http://schemas.openxmlformats.org/spreadsheetml/2006/main" count="20057" uniqueCount="6719">
  <si>
    <t>VERIFIED VIA HUMAN (1-3 GRADE)</t>
  </si>
  <si>
    <t>Prpty Addr</t>
  </si>
  <si>
    <t>County</t>
  </si>
  <si>
    <t>Date Trnsfr</t>
  </si>
  <si>
    <t>Price</t>
  </si>
  <si>
    <t>$/SF</t>
  </si>
  <si>
    <t>Tot Ht Area</t>
  </si>
  <si>
    <t>Total Area</t>
  </si>
  <si>
    <t>Grantee</t>
  </si>
  <si>
    <t>Yr Built 1</t>
  </si>
  <si>
    <t>Use Code</t>
  </si>
  <si>
    <t>Zoning</t>
  </si>
  <si>
    <t>Parcel ID</t>
  </si>
  <si>
    <t>Verdict</t>
  </si>
  <si>
    <t>Confidence</t>
  </si>
  <si>
    <t>Current Tenant</t>
  </si>
  <si>
    <t>Evidence Link</t>
  </si>
  <si>
    <t>Google Map Link</t>
  </si>
  <si>
    <t>Evidence P2.</t>
  </si>
  <si>
    <t>1049 Willa Springs Dr</t>
  </si>
  <si>
    <t>Seminole</t>
  </si>
  <si>
    <t>2021/07</t>
  </si>
  <si>
    <t>1049 Willa Springs LLC</t>
  </si>
  <si>
    <t>2004</t>
  </si>
  <si>
    <t>19</t>
  </si>
  <si>
    <t>2130 24 508 0000 0060</t>
  </si>
  <si>
    <t>Medical</t>
  </si>
  <si>
    <t>High</t>
  </si>
  <si>
    <t>**Winter Springs Endodontics**</t>
  </si>
  <si>
    <t>https://www.loopnet.com/Listing/1049-Willa-Springs-Dr-Winter-Springs-FL/28712543/</t>
  </si>
  <si>
    <t>https://www.google.com/maps/search/?api=1&amp;query=1049+Willa+Springs+Dr+Seminole+FL</t>
  </si>
  <si>
    <t>Mixed use; figure out which unit if possible</t>
  </si>
  <si>
    <t>800 Fern Creek Av N</t>
  </si>
  <si>
    <t>Orange</t>
  </si>
  <si>
    <t>2023/06</t>
  </si>
  <si>
    <t>Bk Realty Holding Company LLC</t>
  </si>
  <si>
    <t>1956</t>
  </si>
  <si>
    <t>1700</t>
  </si>
  <si>
    <t>ORLO1/</t>
  </si>
  <si>
    <t>2229 24 7060 03 010</t>
  </si>
  <si>
    <t>Medium</t>
  </si>
  <si>
    <t>Ferncreek Professional Center</t>
  </si>
  <si>
    <t>https://www.tdscommercialre.com/properties</t>
  </si>
  <si>
    <t>https://www.google.com/maps/search/800+Fern+Creek+Av+N+Orange+FL</t>
  </si>
  <si>
    <t>1207 Daniels Rd</t>
  </si>
  <si>
    <t>2023/02</t>
  </si>
  <si>
    <t>Verax Daniels LLC</t>
  </si>
  <si>
    <t>2024</t>
  </si>
  <si>
    <t>1900</t>
  </si>
  <si>
    <t>WGC2</t>
  </si>
  <si>
    <t>2227 12 6496 28 002</t>
  </si>
  <si>
    <t>**Medical Office Development (Planned)**</t>
  </si>
  <si>
    <t>https://www.crexi.com/property-records/1207-DANIELS-WINTER-GARDEN-FL-34787/7098de1c88aa1c1be75e9a881083c5bb742ec848</t>
  </si>
  <si>
    <t>https://www.google.com/maps/search/1207+Daniels+Rd,+FL</t>
  </si>
  <si>
    <t>54 Plant St E</t>
  </si>
  <si>
    <t>2025/03</t>
  </si>
  <si>
    <t>Anton Rx LLC</t>
  </si>
  <si>
    <t>1983</t>
  </si>
  <si>
    <t>WGC1</t>
  </si>
  <si>
    <t>2227 23 2888 01 040</t>
  </si>
  <si>
    <t>**Anton Rx (Pharmacy)**</t>
  </si>
  <si>
    <t>https://search.sunbiz.org/Inquiry/corporationsearch/SearchResultDetail?inquirytype=EntityName&amp;directionType=Initial&amp;searchNameOrder=ANTONRX%20L210004523910</t>
  </si>
  <si>
    <t>https://www.google.com/maps/search/54+Plant+St+E,+FL</t>
  </si>
  <si>
    <t>20 Park Av S</t>
  </si>
  <si>
    <t>2021/06</t>
  </si>
  <si>
    <t>Spark Office LLC</t>
  </si>
  <si>
    <t>1996</t>
  </si>
  <si>
    <t>APKMUD</t>
  </si>
  <si>
    <t>2128 09 1972 02 591</t>
  </si>
  <si>
    <t>Medical Buildout (Tenant Unconfirmed)</t>
  </si>
  <si>
    <t>https://www.loopnet.com/Listing/20-S-Park-Ave-Apopka-FL/16369407/</t>
  </si>
  <si>
    <t>https://www.google.com/maps/search/20+Park+Av+S,+FL</t>
  </si>
  <si>
    <t>404 Orange Blossom Tr W</t>
  </si>
  <si>
    <t>2025/05</t>
  </si>
  <si>
    <t>Galvan Victor M</t>
  </si>
  <si>
    <t>1986</t>
  </si>
  <si>
    <t>2128 09 7544 02 030</t>
  </si>
  <si>
    <t>South Apopka Medical Office (Vacant/Leasing)</t>
  </si>
  <si>
    <t>https://www.loopnet.com/Listing/404-W-Orange-Blossom-Tr-Apopka-FL/28471952/</t>
  </si>
  <si>
    <t>https://www.google.com/maps/search/404+Orange+Blossom+Tr+W,+FL</t>
  </si>
  <si>
    <t>566 Ocoee Commerce Pk</t>
  </si>
  <si>
    <t>2025/10</t>
  </si>
  <si>
    <t>566 596 Ocoee Commerce Pkwy LLC</t>
  </si>
  <si>
    <t>2009</t>
  </si>
  <si>
    <t>OCOC2</t>
  </si>
  <si>
    <t>2228 29 6143 00 050</t>
  </si>
  <si>
    <t>Vacant Medical/Professional Buildout</t>
  </si>
  <si>
    <t>https://www.loopnet.com/Listing/566-Ocoee-Commerce-Pky-Ocoee-FL/38309702/</t>
  </si>
  <si>
    <t>https://www.google.com/maps/search/566+Ocoee+Commerce+Pk,+FL</t>
  </si>
  <si>
    <t>2702 Rew Ci</t>
  </si>
  <si>
    <t>2021/11</t>
  </si>
  <si>
    <t>Marcast Properties &amp; Management LLC</t>
  </si>
  <si>
    <t>2003</t>
  </si>
  <si>
    <t>OCOI1</t>
  </si>
  <si>
    <t>2228 29 9158 00 020</t>
  </si>
  <si>
    <t>Vacant Medical/Office Space</t>
  </si>
  <si>
    <t>https://www.loopnet.com/Listing/2702-Rew-Cir-Ocoee-FL/20805631/</t>
  </si>
  <si>
    <t>https://www.google.com/maps/search/2702+Rew+Ci,+FL</t>
  </si>
  <si>
    <t>5749 Westgate Dr</t>
  </si>
  <si>
    <t>Clarcona Land Development LLC</t>
  </si>
  <si>
    <t>2008</t>
  </si>
  <si>
    <t>1800</t>
  </si>
  <si>
    <t>ORLAC1</t>
  </si>
  <si>
    <t>2228 36 4949 01 000</t>
  </si>
  <si>
    <t>Vacant Medical/Wellness Buildout</t>
  </si>
  <si>
    <t>https://www.bosshardtrealty.com/listing/O6296860/5749-westgate-drive-orlando-fl-32835/</t>
  </si>
  <si>
    <t>https://www.google.com/maps/search/5749+Westgate+Dr,+FL</t>
  </si>
  <si>
    <t>7232 Sand Lake Rd W</t>
  </si>
  <si>
    <t>2025/07</t>
  </si>
  <si>
    <t>Andres Health Holdings LLC</t>
  </si>
  <si>
    <t>ORGC1</t>
  </si>
  <si>
    <t>2328 35 0000 00 016</t>
  </si>
  <si>
    <t>**Andres Health Holdings** (Tenant Unconfirmed)</t>
  </si>
  <si>
    <t>https://www.loopnet.com/Listing/7232-Sand-Lake-Rd-Orlando-FL/31873125/</t>
  </si>
  <si>
    <t>https://www.google.com/maps/search/7232+Sand+Lake+Rd+W,+FL</t>
  </si>
  <si>
    <t>926 Maitland Av N</t>
  </si>
  <si>
    <t>Dream Dental Properties LLC</t>
  </si>
  <si>
    <t>1957</t>
  </si>
  <si>
    <t>MTLMX</t>
  </si>
  <si>
    <t>2129 25 0000 00 021</t>
  </si>
  <si>
    <t>Vacant "Turnkey" Medical Buildout</t>
  </si>
  <si>
    <t>https://www.ronsellsthebeach.com/property-search/detail/240/O6341577/926-n-maitland-ave-maitland-fl-32751/</t>
  </si>
  <si>
    <t>https://www.google.com/maps/search/926+Maitland+Av+N,+FL</t>
  </si>
  <si>
    <t>2200 Lee Rd</t>
  </si>
  <si>
    <t>2022/03</t>
  </si>
  <si>
    <t>Aarr Florida Investments LLC</t>
  </si>
  <si>
    <t>1976</t>
  </si>
  <si>
    <t>WPO1</t>
  </si>
  <si>
    <t>2229 02 8004 01 004</t>
  </si>
  <si>
    <t>Vacant Medical Buildout (Former Dentist)</t>
  </si>
  <si>
    <t>https://www.loopnet.com/Listing/2200-Lee-Rd-Winter-Park-FL/24836441/</t>
  </si>
  <si>
    <t>https://www.google.com/maps/search/2200+Lee+Rd,+FL</t>
  </si>
  <si>
    <t>2306 Lee Rd</t>
  </si>
  <si>
    <t>2022/04</t>
  </si>
  <si>
    <t>Naseem Bano Latif Revocable Trust &amp; Latif Mohammad A</t>
  </si>
  <si>
    <t>1984</t>
  </si>
  <si>
    <t>2229 02 8008 01 181</t>
  </si>
  <si>
    <t>Vacant Medical Buildout (Plumbed Exam Rooms)</t>
  </si>
  <si>
    <t xml:space="preserve">Used to be Longwood Internal Medicine
</t>
  </si>
  <si>
    <t>https://www.google.com/maps/search/2306+Lee+Rd,+FL</t>
  </si>
  <si>
    <t>1010 Arthur Av</t>
  </si>
  <si>
    <t>2022/05</t>
  </si>
  <si>
    <t>A Swart Properties LLC</t>
  </si>
  <si>
    <t>ORLMU1</t>
  </si>
  <si>
    <t>2229 10 8828 04 150</t>
  </si>
  <si>
    <t>**The Spa Orlando (Massage &amp; Wellness)**</t>
  </si>
  <si>
    <t>Used to be https://www.tolbirth.com/</t>
  </si>
  <si>
    <t>https://www.google.com/maps/search/1010+Arthur+Av+Orange+FL</t>
  </si>
  <si>
    <t>205 Eola Dr S</t>
  </si>
  <si>
    <t>2020/02</t>
  </si>
  <si>
    <t>Whitestone Legacy LLC</t>
  </si>
  <si>
    <t>1945</t>
  </si>
  <si>
    <t>ORLPD/</t>
  </si>
  <si>
    <t>2229 25 9320 01 060</t>
  </si>
  <si>
    <t>Vacant "Office/Medical" for Sale</t>
  </si>
  <si>
    <t>https://www.crexi.com/properties/2285495/florida-8000-sf-office-for-sale-in-downtown-orlando</t>
  </si>
  <si>
    <t>https://www.google.com/maps/search/205+Eola+Dr+S+Orange+FL</t>
  </si>
  <si>
    <t>1701 1st St W</t>
  </si>
  <si>
    <t>2024/10</t>
  </si>
  <si>
    <t>1701 West First Street LLC</t>
  </si>
  <si>
    <t>1930 25 5AG 0320 0000</t>
  </si>
  <si>
    <t>https://www.loopnet.com/Listing/1701-W-1st-St-Sanford-FL/28259426/</t>
  </si>
  <si>
    <t>https://www.google.com/maps?q=1701+1st+St+W+Seminole,+FL</t>
  </si>
  <si>
    <t>902 25th St W</t>
  </si>
  <si>
    <t>Honu Molar Building LLC</t>
  </si>
  <si>
    <t>1930 36 524 0900 0010</t>
  </si>
  <si>
    <t>Dr. Randall C. Brown, DMD</t>
  </si>
  <si>
    <t>https://search.sunbiz.org/Inquiry/CorporationSearch/ByName</t>
  </si>
  <si>
    <t>https://maps.google.com/?cid=1507629469026860988&amp;g_mp=Cidnb29nbGUubWFwcy5wbGFjZXMudjEuUGxhY2VzLlNlYXJjaFRleHQ</t>
  </si>
  <si>
    <t>795 Primera Blvd</t>
  </si>
  <si>
    <t>2020/12</t>
  </si>
  <si>
    <t>Medwins Realty LLC</t>
  </si>
  <si>
    <t>1905</t>
  </si>
  <si>
    <t>2030 07 522 0600 0000</t>
  </si>
  <si>
    <t>https://www.loopnet.com/Listing/795-Primera-Blvd-Lake-Mary-FL/15799815/</t>
  </si>
  <si>
    <t>https://www.google.com/maps?q=795+Primera+Blvd+Seminole,+FL</t>
  </si>
  <si>
    <t>261 Airport Blvd E</t>
  </si>
  <si>
    <t>2021/04</t>
  </si>
  <si>
    <t>Shephard Max Properties LLC</t>
  </si>
  <si>
    <t>2030 12 300 012H 0000</t>
  </si>
  <si>
    <t>Vacant Medical Office (For Sale)</t>
  </si>
  <si>
    <t>https://www.realty.com/commercial-listings/361178951/261-E-Airport-Boulevard-Sanford-FL-32773</t>
  </si>
  <si>
    <t>https://www.google.com/maps?q=261+Airport+Blvd+E+Seminole,+FL</t>
  </si>
  <si>
    <t>32032 Burleigh Blvd W</t>
  </si>
  <si>
    <t>Lake</t>
  </si>
  <si>
    <t>2020/09</t>
  </si>
  <si>
    <t>Burleigh Getting Started LLC</t>
  </si>
  <si>
    <t>1977</t>
  </si>
  <si>
    <t>1926 29 0700 000 00002</t>
  </si>
  <si>
    <t>Vacant Dental Office (Built-out)</t>
  </si>
  <si>
    <t>https://www.loopnet.com/Listing/320-W-Burleigh-Blvd-Tavares-FL/18724440/</t>
  </si>
  <si>
    <t>https://www.google.com/maps/search/32032+Burleigh+Blvd+W+Tavares+FL</t>
  </si>
  <si>
    <t>6909 Old Hwy 441</t>
  </si>
  <si>
    <t>Mount Fpl LLC</t>
  </si>
  <si>
    <t>ORGPD</t>
  </si>
  <si>
    <t>2027 05 3095 01 000</t>
  </si>
  <si>
    <t>**Multi-Tenant (Endocrinology / Dialysis)**</t>
  </si>
  <si>
    <t>https://www.cityfeet.com/cont/listing/6909-old-highway-441-mount-dora-fl-32757/cs23886257</t>
  </si>
  <si>
    <t>https://www.google.com/maps/search/6909+Old+Hwy+441,+FL</t>
  </si>
  <si>
    <t>1200 Plant St E</t>
  </si>
  <si>
    <t>Hwo Holdings LLC</t>
  </si>
  <si>
    <t>2020</t>
  </si>
  <si>
    <t>WGCAPU</t>
  </si>
  <si>
    <t>2227 12 6496 04 001</t>
  </si>
  <si>
    <t>https://www.cwgdn.com/666/Central-Florida-Resources</t>
  </si>
  <si>
    <t>https://www.google.com/maps/search/1200+Plant+St+E,+FL</t>
  </si>
  <si>
    <t>14835 Colonial Dr W</t>
  </si>
  <si>
    <t>2021/05</t>
  </si>
  <si>
    <t>Life Conduit LLC</t>
  </si>
  <si>
    <t>2021</t>
  </si>
  <si>
    <t>2227 22 7670 03 000</t>
  </si>
  <si>
    <t>**Wholistic Dental Care**</t>
  </si>
  <si>
    <t>https://search.sunbiz.org/Inquiry/corporationsearch/SearchResultDetail?inquirytype=EntityName&amp;directionType=Initial&amp;searchNameOrder=WHOLISTICDENTALCAREWINTERGARDE%20L210000916830</t>
  </si>
  <si>
    <t>https://www.google.com/maps/search/14835+Colonial+Dr+W,+FL</t>
  </si>
  <si>
    <t>741 Dillard St S</t>
  </si>
  <si>
    <t>2021/03</t>
  </si>
  <si>
    <t>741 South Dillard LLC</t>
  </si>
  <si>
    <t>1970</t>
  </si>
  <si>
    <t>2227 23 6504 07 072</t>
  </si>
  <si>
    <t>Ability Rehabilitation (Physical Therapy)</t>
  </si>
  <si>
    <t>https://abilityrehabilitation.com/winter-garden-clinic/</t>
  </si>
  <si>
    <t>https://www.google.com/maps/search/741+Dillard+St+S,+FL</t>
  </si>
  <si>
    <t>950 Dillard St S</t>
  </si>
  <si>
    <t>2021/10</t>
  </si>
  <si>
    <t>950 Dillard LLC</t>
  </si>
  <si>
    <t>1998</t>
  </si>
  <si>
    <t>2227 23 7824 00 260</t>
  </si>
  <si>
    <t>Gentiva Hospice</t>
  </si>
  <si>
    <t>https://allianceforcareathome.org/nahc_provider/gentiva-hospice-winter-garden/</t>
  </si>
  <si>
    <t>https://www.google.com/maps/search/950+Dillard+St+S,+FL</t>
  </si>
  <si>
    <t>12323 Colonial Dr W</t>
  </si>
  <si>
    <t>2021/02</t>
  </si>
  <si>
    <t>Verax Wg LLC</t>
  </si>
  <si>
    <t>2022</t>
  </si>
  <si>
    <t>WGPCD</t>
  </si>
  <si>
    <t>2227 24 6747 04 000</t>
  </si>
  <si>
    <t>Winter Garden ObGyn / ENT &amp; Plastic Surgery</t>
  </si>
  <si>
    <t>https://wgobgyn.com/</t>
  </si>
  <si>
    <t>https://www.google.com/maps/search/12323+Colonial+Dr+W,+FL</t>
  </si>
  <si>
    <t>12200 Colonial Dr W</t>
  </si>
  <si>
    <t>12200 Colonial LLC</t>
  </si>
  <si>
    <t>2000</t>
  </si>
  <si>
    <t>2227 25 0000 00 035</t>
  </si>
  <si>
    <t>Oral Surgery Center Of West Orlando</t>
  </si>
  <si>
    <t>https://www.carecredit.com/doctor-locator/winter-garden-fl/oral-surgery-center-of-west-orlando-pqr222/</t>
  </si>
  <si>
    <t>https://www.google.com/maps/search/12200+Colonial+Dr+W,+FL</t>
  </si>
  <si>
    <t>15650 Colonial Dr W</t>
  </si>
  <si>
    <t>Harmony Dental Holdings LLC</t>
  </si>
  <si>
    <t>2227 28 0000 00 001</t>
  </si>
  <si>
    <t>Harmony Dental Care / Oakland Pediatric Dentistry</t>
  </si>
  <si>
    <t>https://www.carecredit.com/doctor-locator/winter-garden-fl/harmony-dental-care-633hqp/</t>
  </si>
  <si>
    <t>https://www.google.com/maps/search/15650+Colonial+Dr+W,+FL</t>
  </si>
  <si>
    <t>5802 Citrus Village Bl</t>
  </si>
  <si>
    <t>2022/11</t>
  </si>
  <si>
    <t>Med Consult One Properties LLC</t>
  </si>
  <si>
    <t>2327 20 2717 02 000</t>
  </si>
  <si>
    <t>Horizons OBGYN &amp; Aesthetics</t>
  </si>
  <si>
    <t>https://biz.wochamber.com/list/member/horizons-obgyn-30930</t>
  </si>
  <si>
    <t>https://www.google.com/maps/search/5802+Citrus+Village+Bl,+FL</t>
  </si>
  <si>
    <t>11625 Lachlan Ln</t>
  </si>
  <si>
    <t>2025/06</t>
  </si>
  <si>
    <t>Cl Westside Shoppes Fl LLC</t>
  </si>
  <si>
    <t>2017</t>
  </si>
  <si>
    <t>2327 25 5839 02 000</t>
  </si>
  <si>
    <t>Dental Care at Westside Shoppes</t>
  </si>
  <si>
    <t>https://dentalcareatwestsideshoppes.com/</t>
  </si>
  <si>
    <t>https://www.google.com/maps/search/11625+Lachlan+Ln,+FL</t>
  </si>
  <si>
    <t>1112 Rock Springs Rd</t>
  </si>
  <si>
    <t>Pta Properties LLC</t>
  </si>
  <si>
    <t>2012</t>
  </si>
  <si>
    <t>APKO</t>
  </si>
  <si>
    <t>2028 33 0000 00 067</t>
  </si>
  <si>
    <t>Arbor Dentistry</t>
  </si>
  <si>
    <t>https://fun4seminolekids.com/Health-Resources/Family-Dental-Practices/Arbor-Dentistry/View-details</t>
  </si>
  <si>
    <t>https://www.google.com/maps/search/1112+Rock+Springs+Rd,+FL</t>
  </si>
  <si>
    <t>450 Errol Pk</t>
  </si>
  <si>
    <t>2024/09</t>
  </si>
  <si>
    <t>6Gamms LLC</t>
  </si>
  <si>
    <t>1981</t>
  </si>
  <si>
    <t>APKCC</t>
  </si>
  <si>
    <t>2128 05 0000 00 016</t>
  </si>
  <si>
    <t>A Soft Touch in Family Dental Care</t>
  </si>
  <si>
    <t>https://www.patientconnect365.com/Dentists/Florida/Apopka/32712/A_Soft_Touch_in_Family_Dental_Care__Dr_John_Gammichia_kvo8lh</t>
  </si>
  <si>
    <t>https://www.google.com/maps/search/450+Errol+Pk,+FL</t>
  </si>
  <si>
    <t>2115 Orange Blossom Tr W</t>
  </si>
  <si>
    <t>2024/05</t>
  </si>
  <si>
    <t>Fla Land Holdings Three LLC</t>
  </si>
  <si>
    <t>2023</t>
  </si>
  <si>
    <t>2128 06 0000 00 047</t>
  </si>
  <si>
    <t>Sanitas Medical Center</t>
  </si>
  <si>
    <t>https://www.mysanitas.com/en/fl/sanitas-apopka</t>
  </si>
  <si>
    <t>https://www.google.com/maps/search/2115+Orange+Blossom+Tr+W,+FL</t>
  </si>
  <si>
    <t>108 Park Av S</t>
  </si>
  <si>
    <t>2023/10</t>
  </si>
  <si>
    <t>Dada Eyecare Holdings LLC</t>
  </si>
  <si>
    <t>2128 09 0196 20 063</t>
  </si>
  <si>
    <t>Essential Eye Care &amp; Optical</t>
  </si>
  <si>
    <t>https://www.essentialeyecareoptical.com/hours-location/</t>
  </si>
  <si>
    <t>https://www.google.com/maps/search/108+Park+Av+S,+FL</t>
  </si>
  <si>
    <t>416 Main St E</t>
  </si>
  <si>
    <t>Collins Construction Consulting Hold</t>
  </si>
  <si>
    <t>1966</t>
  </si>
  <si>
    <t>2128 10 0000 00 051</t>
  </si>
  <si>
    <t>**Owner-Occupied Dental Office** / Beauty Salon</t>
  </si>
  <si>
    <t>https://www.kwsouthshore.com/listings/listing/416-e-main-st-apopka-fl--O6171656/</t>
  </si>
  <si>
    <t>https://www.google.com/maps/search/416+Main+St+E,+FL</t>
  </si>
  <si>
    <t>125 Park Av S</t>
  </si>
  <si>
    <t>2020/07</t>
  </si>
  <si>
    <t>Dean A Behner And Ingrid J Behner Re Dean Allen Behner Trustee</t>
  </si>
  <si>
    <t>1960</t>
  </si>
  <si>
    <t>2128 10 0198 31 740</t>
  </si>
  <si>
    <t>https://www.tenantbase.com/us/building/217796</t>
  </si>
  <si>
    <t>https://www.google.com/maps/search/125+Park+Av+S,+FL</t>
  </si>
  <si>
    <t>175 Main St E</t>
  </si>
  <si>
    <t>2023/04</t>
  </si>
  <si>
    <t>Jareag 175 LLC</t>
  </si>
  <si>
    <t>2006</t>
  </si>
  <si>
    <t>2128 10 8643 00 030</t>
  </si>
  <si>
    <t>Gentry Building</t>
  </si>
  <si>
    <t>https://www.loopnet.com/Listing/175-E-Main-St-Apopka-FL/31346793/</t>
  </si>
  <si>
    <t>https://www.google.com/maps/search/175+Main+St+E,+FL</t>
  </si>
  <si>
    <t>2605 Ocoee Apopka Rd</t>
  </si>
  <si>
    <t>2023/05</t>
  </si>
  <si>
    <t>Y&amp;L Holdings LLC</t>
  </si>
  <si>
    <t>OCOPUD</t>
  </si>
  <si>
    <t>2228 06 2856 01 000</t>
  </si>
  <si>
    <t>**Elegantly Dental**</t>
  </si>
  <si>
    <t>https://www.elegantlydental.com/ocoee-fl/</t>
  </si>
  <si>
    <t>https://www.google.com/maps/search/2605+Ocoee+Apopka+Rd,+FL</t>
  </si>
  <si>
    <t>6394 Silver Star Rd</t>
  </si>
  <si>
    <t>2020/04</t>
  </si>
  <si>
    <t>6394 Silver Star LLC</t>
  </si>
  <si>
    <t>2228 13 5844 00 413</t>
  </si>
  <si>
    <t>https://www.octapharmaplasma.com/plasma-donation/orlando-fl-449/</t>
  </si>
  <si>
    <t>https://www.google.com/maps/search/6394+Silver+Star+Rd,+FL</t>
  </si>
  <si>
    <t>6388 Silver Star Rd</t>
  </si>
  <si>
    <t>2021/01</t>
  </si>
  <si>
    <t>Rupert (Bvi) Limited Partnership</t>
  </si>
  <si>
    <t>2228 13 5844 00 420</t>
  </si>
  <si>
    <t>https://quality.healthfinder.fl.gov/Facility-Provider/Profile/?LID=484031</t>
  </si>
  <si>
    <t>https://www.google.com/maps/search/6388+Silver+Star+Rd,+FL</t>
  </si>
  <si>
    <t>11001 Colonial Dr W</t>
  </si>
  <si>
    <t>Ocoee Medical Developers LLC</t>
  </si>
  <si>
    <t>OCOC3</t>
  </si>
  <si>
    <t>2228 19 0000 00 024</t>
  </si>
  <si>
    <t>**AdventHealth Centra Care Ocoee**</t>
  </si>
  <si>
    <t>https://biz.wochamber.com/list/member/adventhealth-centra-care-ocoee-30983</t>
  </si>
  <si>
    <t>https://www.google.com/maps/search/11001+Colonial+Dr+W,+FL</t>
  </si>
  <si>
    <t>788 Montgomery Av</t>
  </si>
  <si>
    <t>Greater Vision Investment Group LLC</t>
  </si>
  <si>
    <t>2011</t>
  </si>
  <si>
    <t>2228 20 6148 05 000</t>
  </si>
  <si>
    <t>GREATER VISION HEALTHCARE SERVICES LLC</t>
  </si>
  <si>
    <t>https://quality.healthfinder.fl.gov/Facility-Provider/Profile/?LID=411051</t>
  </si>
  <si>
    <t>https://www.google.com/maps/search/788+Montgomery+Av,+FL</t>
  </si>
  <si>
    <t>9582 Colonial Dr W</t>
  </si>
  <si>
    <t>2024/12</t>
  </si>
  <si>
    <t>Optima Imaging Centers Of Florida Ll</t>
  </si>
  <si>
    <t>2007</t>
  </si>
  <si>
    <t>OCOPS</t>
  </si>
  <si>
    <t>2228 21 6328 00 020</t>
  </si>
  <si>
    <t>**Optima Diagnostic Imaging**</t>
  </si>
  <si>
    <t>https://search.sunbiz.org/Inquiry/CorporationSearch/SearchResults?InquiryType=EntityName&amp;InquiryDirectionType=ForwardRecord&amp;SearchTerm=OPTIMA%20HOME%20INSPECTIONS%2C%20LLC&amp;SearchNameOrder=OPTIMAILLABORATORIES%20G821190&amp;ListNameOrder=OPTIMAHOMESERVICES%20P990000974750&amp;Detail=FL.DOS.Corporations.Shared.Contracts.FilingRecord</t>
  </si>
  <si>
    <t>https://www.google.com/maps/search/9582+Colonial+Dr+W,+FL</t>
  </si>
  <si>
    <t>724 Charles St</t>
  </si>
  <si>
    <t>C &amp; Jc Electrical Services Inc</t>
  </si>
  <si>
    <t>ORGPO</t>
  </si>
  <si>
    <t>2228 24 6240 01 360</t>
  </si>
  <si>
    <t>PIECAR COMMUNITY HEALTH CARE LLC</t>
  </si>
  <si>
    <t>https://quality.healthfinder.fl.gov/Facility-Provider/Profile/?LID=517292</t>
  </si>
  <si>
    <t>https://www.google.com/maps/search/724+Charles+St,+FL</t>
  </si>
  <si>
    <t>836 Paul St</t>
  </si>
  <si>
    <t>2022/06</t>
  </si>
  <si>
    <t>Florida Neonatology Group Pediatric</t>
  </si>
  <si>
    <t>2228 24 6240 05 250</t>
  </si>
  <si>
    <t>Pediatric Medical Center</t>
  </si>
  <si>
    <t>https://pediatricmedicalcenter.org/</t>
  </si>
  <si>
    <t>https://www.google.com/maps/search/836+Paul+St,+FL</t>
  </si>
  <si>
    <t>596 Ocoee Commerce Pk</t>
  </si>
  <si>
    <t>2002</t>
  </si>
  <si>
    <t>2228 29 6143 00 060</t>
  </si>
  <si>
    <t>https://www.westorangeorthopaedics.com/</t>
  </si>
  <si>
    <t>https://www.google.com/maps/search/596+Ocoee+Commerce+Pk,+FL</t>
  </si>
  <si>
    <t>2940 Maguire Rd</t>
  </si>
  <si>
    <t>2940 Maguire Road LLC</t>
  </si>
  <si>
    <t>2018</t>
  </si>
  <si>
    <t>2228 32 5475 00 040</t>
  </si>
  <si>
    <t>**PremierMED Family Practice &amp; Sports Medicine**</t>
  </si>
  <si>
    <t>https://www.premierfsm.com/contact/ocoee/</t>
  </si>
  <si>
    <t>https://www.google.com/maps/search/2940+Maguire+Rd,+FL</t>
  </si>
  <si>
    <t>6404 Old Winter Garden Rd</t>
  </si>
  <si>
    <t>Maximized Living Health Centers LLC</t>
  </si>
  <si>
    <t>ORGC3</t>
  </si>
  <si>
    <t>2228 36 6416 03 010</t>
  </si>
  <si>
    <t>**Maximized Living Health Center (Chiropractic)**</t>
  </si>
  <si>
    <t>https://www.maxliving.com/clinic/maxliving-chiropractic-orlando</t>
  </si>
  <si>
    <t>https://www.google.com/maps/search/6404+Old+Winter+Garden+Rd,+FL</t>
  </si>
  <si>
    <t>1803 Park Center Dr</t>
  </si>
  <si>
    <t>2023/07</t>
  </si>
  <si>
    <t>Apoli &amp; Javi Realty LLC</t>
  </si>
  <si>
    <t>1990</t>
  </si>
  <si>
    <t>ORLAC2</t>
  </si>
  <si>
    <t>2328 01 6519 00 020</t>
  </si>
  <si>
    <t>SaludVIP Orlando</t>
  </si>
  <si>
    <t>https://getvipcare.com/our-locations/orlando-metro-west</t>
  </si>
  <si>
    <t>https://www.google.com/maps/search/1803+Park+Center+Dr,+FL</t>
  </si>
  <si>
    <t>5940 Turkey Lake Rd</t>
  </si>
  <si>
    <t>2022/07</t>
  </si>
  <si>
    <t>Rampi Richard C &amp; Rampi Maria Patricia</t>
  </si>
  <si>
    <t>2328 23 0000 00 011</t>
  </si>
  <si>
    <t>Venetian Pointe Dentistry</t>
  </si>
  <si>
    <t>https://venetian-pointe-dentistry.wheree.com/</t>
  </si>
  <si>
    <t>https://www.google.com/maps/search/5940+Turkey+Lake+Rd,+FL</t>
  </si>
  <si>
    <t>7009 Dr Phillips Bl</t>
  </si>
  <si>
    <t>Adventist Health System/Sunbelt Inc Attn Adventhealth Accounting Dept</t>
  </si>
  <si>
    <t>2005</t>
  </si>
  <si>
    <t>2328 26 0000 00 040</t>
  </si>
  <si>
    <t>Belmart LLC Dr Phillips</t>
  </si>
  <si>
    <t>https://www.carecredit.com/doctor-locator/orlando-fl/belmart-llc-dr-phillips-265cdx/</t>
  </si>
  <si>
    <t>https://www.google.com/maps/search/7009+Dr+Phillips+Bl,+FL</t>
  </si>
  <si>
    <t>8200 World Center Dr</t>
  </si>
  <si>
    <t>J&amp;G Investment Group Vc I LLC</t>
  </si>
  <si>
    <t>1992</t>
  </si>
  <si>
    <t>2428 34 3857 00 011</t>
  </si>
  <si>
    <t>BUENA VISTA URGENT CARE</t>
  </si>
  <si>
    <t>https://quality.healthfinder.fl.gov/Facility-Provider/Profile/?LID=374972</t>
  </si>
  <si>
    <t>https://www.google.com/maps/search/8200+World+Center+Dr,+FL</t>
  </si>
  <si>
    <t>100 Sybelia Av E</t>
  </si>
  <si>
    <t>2021/12</t>
  </si>
  <si>
    <t>Ws Properties Of Orange County LLC</t>
  </si>
  <si>
    <t>1982</t>
  </si>
  <si>
    <t>2129 25 0000 00 035</t>
  </si>
  <si>
    <t>**Nemours Children's Health**</t>
  </si>
  <si>
    <t>https://www.nemours.org/locations/florida-primary-care-pediatrician-maitland.html</t>
  </si>
  <si>
    <t>https://www.google.com/maps/search/100+Sybelia+Av+E,+FL</t>
  </si>
  <si>
    <t>238 Orlando Av S</t>
  </si>
  <si>
    <t>2023/12</t>
  </si>
  <si>
    <t>Fisher Eye Properties LLC</t>
  </si>
  <si>
    <t>MTLDM</t>
  </si>
  <si>
    <t>2129 25 6516 03 020</t>
  </si>
  <si>
    <t>**Vision Source Maitland**</t>
  </si>
  <si>
    <t>https://www.carecredit.com/doctor-locator/maitland-fl/vision-source-maitland-876tpt/</t>
  </si>
  <si>
    <t>https://www.google.com/maps/search/238+Orlando+Av+S,+FL</t>
  </si>
  <si>
    <t>541 Horatio Av E</t>
  </si>
  <si>
    <t>Anjali 670 LLC</t>
  </si>
  <si>
    <t>2129 25 6516 05 030</t>
  </si>
  <si>
    <t>**Premier Cardiology &amp; Vascular Associates**</t>
  </si>
  <si>
    <t>https://www.premiercardiology.net/</t>
  </si>
  <si>
    <t>https://www.google.com/maps/search/541+Horatio+Av+E,+FL</t>
  </si>
  <si>
    <t>543 Wymore Rd N</t>
  </si>
  <si>
    <t>2020/08</t>
  </si>
  <si>
    <t>Maitland Ob LLC 1/2 Int &amp; Deno Dikeou Trust 1/2 Int</t>
  </si>
  <si>
    <t>2129 26 0000 00 023</t>
  </si>
  <si>
    <t>https://web.hcaoa.org/Home-Care-Provider/SYNERGY-HomeCare-Greater-Orlando-14958</t>
  </si>
  <si>
    <t>https://www.google.com/maps/search/543+Wymore+Rd+N,+FL</t>
  </si>
  <si>
    <t>9401 Summit Centre Wa</t>
  </si>
  <si>
    <t>Oviedo Medical Center LLC</t>
  </si>
  <si>
    <t>MTLPD</t>
  </si>
  <si>
    <t>2129 28 5499 03 000</t>
  </si>
  <si>
    <t>https://www.hcafloridahealthcare.com/locations/maitland-emergency</t>
  </si>
  <si>
    <t>https://www.google.com/maps/search/9401+Summit+Centre+Wa,+FL</t>
  </si>
  <si>
    <t>520 Maitland Av S</t>
  </si>
  <si>
    <t>Ramal Dental Real Estate LLC</t>
  </si>
  <si>
    <t>2129 36 0000 00 059</t>
  </si>
  <si>
    <t>https://maitland-dentistry.wheree.com/</t>
  </si>
  <si>
    <t>https://www.google.com/maps/search/520+Maitland+Av+S,+FL</t>
  </si>
  <si>
    <t>1901 Lee Rd</t>
  </si>
  <si>
    <t>Donegal Properties LLC</t>
  </si>
  <si>
    <t>1980</t>
  </si>
  <si>
    <t>2229 01 0060 04 120</t>
  </si>
  <si>
    <t>**Knight Dermatology Institute**</t>
  </si>
  <si>
    <t>https://knightdermatology.com/location/winter-park-fl/</t>
  </si>
  <si>
    <t>https://www.google.com/maps/search/1901+Lee+Rd,+FL</t>
  </si>
  <si>
    <t>2233 Lee Rd</t>
  </si>
  <si>
    <t>2022/12</t>
  </si>
  <si>
    <t>Prestige Ww Holdoings LLC</t>
  </si>
  <si>
    <t>1971</t>
  </si>
  <si>
    <t>2229 01 9180 00 050</t>
  </si>
  <si>
    <t>**Conquest Research (Medical Research Institute)**</t>
  </si>
  <si>
    <t>https://www.clinicalconnection.com/research-center-profile/view-profile/476547/conquest-research</t>
  </si>
  <si>
    <t>https://www.google.com/maps/search/2233+Lee+Rd,+FL</t>
  </si>
  <si>
    <t>5165 Adanson St</t>
  </si>
  <si>
    <t>Tighten Down Investment Group Inc</t>
  </si>
  <si>
    <t>1978</t>
  </si>
  <si>
    <t>ORGC2</t>
  </si>
  <si>
    <t>2229 02 0000 00 062</t>
  </si>
  <si>
    <t>**Central Florida Dreamplex (Disability Therapy)**</t>
  </si>
  <si>
    <t>https://vgispublic.ocpafl.org/webmapjs/?pid=292202000000062</t>
  </si>
  <si>
    <t>https://www.google.com/maps/search/5165+Adanson+St,+FL</t>
  </si>
  <si>
    <t>2295 Lee Rd</t>
  </si>
  <si>
    <t>2295 Lee Road LLC</t>
  </si>
  <si>
    <t>1925</t>
  </si>
  <si>
    <t>2229 02 0064 04 010</t>
  </si>
  <si>
    <t>https://centralfloridaperio.com/contact-us/</t>
  </si>
  <si>
    <t>https://www.google.com/maps/search/2295+Lee+Rd,+FL</t>
  </si>
  <si>
    <t>400 Wymore Rd N</t>
  </si>
  <si>
    <t>Florida Emergency Medicine Foundatio</t>
  </si>
  <si>
    <t>2229 02 4168 00 210</t>
  </si>
  <si>
    <t>**Florida Emergency Medicine Foundation**</t>
  </si>
  <si>
    <t>https://fcep.org/contact/</t>
  </si>
  <si>
    <t>https://www.google.com/maps/search/400+Wymore+Rd+N,+FL</t>
  </si>
  <si>
    <t>2610 Audrey Av</t>
  </si>
  <si>
    <t>Saisaroj Realty LLC</t>
  </si>
  <si>
    <t>WPO2</t>
  </si>
  <si>
    <t>2229 02 4168 00 660</t>
  </si>
  <si>
    <t>**Desai Dental (Winter Park Family Dentist)**</t>
  </si>
  <si>
    <t>https://www.carecredit.com/doctor-locator/winter-park-fl/desai-dental-234dhr/</t>
  </si>
  <si>
    <t>https://www.google.com/maps/search/2610+Audrey+Av,+FL</t>
  </si>
  <si>
    <t>2134 Kentucky Av</t>
  </si>
  <si>
    <t>Life Concepts Inc</t>
  </si>
  <si>
    <t>WPC3</t>
  </si>
  <si>
    <t>2229 11 6180 02 010</t>
  </si>
  <si>
    <t>**Life Concepts / Quest, Inc. (Disability Care)**</t>
  </si>
  <si>
    <t>https://questinc.org/quest-kids-academy/</t>
  </si>
  <si>
    <t>https://www.google.com/maps/search/2134+Kentucky+Av+Orange+FL</t>
  </si>
  <si>
    <t>3600 Formosa Av</t>
  </si>
  <si>
    <t>2023/09</t>
  </si>
  <si>
    <t>Flossophy Commercial LLC</t>
  </si>
  <si>
    <t>1965</t>
  </si>
  <si>
    <t>2229 11 7620 00 130</t>
  </si>
  <si>
    <t>Hillcrest Dental</t>
  </si>
  <si>
    <t>https://www.carecredit.com/doctor-locator/orlando-fl/hillcrest-dental-222gct/</t>
  </si>
  <si>
    <t>https://www.google.com/maps/search/3600+Formosa+Av+Orange+FL</t>
  </si>
  <si>
    <t>1605 Fairbanks Av W</t>
  </si>
  <si>
    <t>Adventist Health System/Sunbelt Inc Attn: Adventhealth Accounting Dept</t>
  </si>
  <si>
    <t>2229 12 0000 00 001</t>
  </si>
  <si>
    <t>https://www.adventhealth.com/find-doctor/doctor/basiem-barsoum-md-1104099456</t>
  </si>
  <si>
    <t>https://www.google.com/maps/search/1605+Fairbanks+Av+W+Orange+FL</t>
  </si>
  <si>
    <t>1350 Fairbanks Av W</t>
  </si>
  <si>
    <t>Reinhold Winter Park Properties LLC</t>
  </si>
  <si>
    <t>2229 12 0664 00 100</t>
  </si>
  <si>
    <t>**SimonMed Imaging - Winter Park**</t>
  </si>
  <si>
    <t>https://www.simonmed.com/locations/fl/winter-park-iii/</t>
  </si>
  <si>
    <t>https://www.google.com/maps/search/1350+Fairbanks+Av+W+Orange+FL</t>
  </si>
  <si>
    <t>1110 Kentucky Av N</t>
  </si>
  <si>
    <t>Cofresi Properties LLC</t>
  </si>
  <si>
    <t>1991</t>
  </si>
  <si>
    <t>2229 12 6012 02 090</t>
  </si>
  <si>
    <t>https://www.adventhealth.com/find-doctor/doctor/hamel-patel-do-1831620392</t>
  </si>
  <si>
    <t>https://www.google.com/maps/search/1110+Kentucky+Av+N+Orange+FL</t>
  </si>
  <si>
    <t>954 Orlando Av S</t>
  </si>
  <si>
    <t>Flagship Winter Park Verax LLC</t>
  </si>
  <si>
    <t>1974</t>
  </si>
  <si>
    <t>2229 12 6600 00 730</t>
  </si>
  <si>
    <t>**Flagship Healthcare Properties (Medical REIT)**</t>
  </si>
  <si>
    <t>https://www.loopnet.com/Listing/954-S-Orlando-Ave-Winter-Park-FL/22329340/</t>
  </si>
  <si>
    <t>https://www.google.com/maps/search/954+Orlando+Av+S+Orange+FL</t>
  </si>
  <si>
    <t>3000 Orange Av N</t>
  </si>
  <si>
    <t>1994</t>
  </si>
  <si>
    <t>2229 13 0540 01 011</t>
  </si>
  <si>
    <t>AdventHealth Medical Group Pediatric Rheumatology at Orlando</t>
  </si>
  <si>
    <t>https://www.adventhealth.com/practice/adventhealth-medical-group/find-a-location?page=68</t>
  </si>
  <si>
    <t>https://www.google.com/maps/search/3000+Orange+Av+N+Orange+FL</t>
  </si>
  <si>
    <t>2905 Mcrae Av</t>
  </si>
  <si>
    <t>2022/08</t>
  </si>
  <si>
    <t>2229 13 2784 01 031</t>
  </si>
  <si>
    <t>**AdventHealth (Hospital Support/Admin)**</t>
  </si>
  <si>
    <t>https://npiregistry.cms.hhs.gov/provider-view/1841680733</t>
  </si>
  <si>
    <t>https://www.google.com/maps/search/2905+Mcrae+Av+Orange+FL</t>
  </si>
  <si>
    <t>2909 Orange Av N</t>
  </si>
  <si>
    <t>1958</t>
  </si>
  <si>
    <t>2229 13 2784 02 030</t>
  </si>
  <si>
    <t>https://www.adventhealth.com/</t>
  </si>
  <si>
    <t>https://www.google.com/maps/search/2909+Orange+Av+N+Orange+FL</t>
  </si>
  <si>
    <t>1911 Mills Av N</t>
  </si>
  <si>
    <t>Dhc Zb Properties LLC Two Newton Place</t>
  </si>
  <si>
    <t>1997</t>
  </si>
  <si>
    <t>2229 13 5315 00 010</t>
  </si>
  <si>
    <t>https://ascendvision.com/locations/orlando/</t>
  </si>
  <si>
    <t>https://www.google.com/maps/search/1911+Mills+Av+N+Orange+FL</t>
  </si>
  <si>
    <t>308 Groveland St</t>
  </si>
  <si>
    <t>2023/03</t>
  </si>
  <si>
    <t>Clay 3100 LLC</t>
  </si>
  <si>
    <t>ORLO2/</t>
  </si>
  <si>
    <t>2229 13 6652 00 050</t>
  </si>
  <si>
    <t>No longer Dr. Renee J. Mueller, MD (Colon and Rectal)**</t>
  </si>
  <si>
    <t>https://www.orlandohealth.com/physician-finder/renee-mueller-md</t>
  </si>
  <si>
    <t>https://www.google.com/maps/search/308+Groveland+St+Orange+FL</t>
  </si>
  <si>
    <t>300 Hazel St E</t>
  </si>
  <si>
    <t>2023/08</t>
  </si>
  <si>
    <t>G D &amp; O Properties LLC</t>
  </si>
  <si>
    <t>2229 13 7108 01 070</t>
  </si>
  <si>
    <t>**The Dermatology Group PA**</t>
  </si>
  <si>
    <t>https://www.dermgroup.net/</t>
  </si>
  <si>
    <t>https://www.google.com/maps/search/300+Hazel+St+E+Orange+FL</t>
  </si>
  <si>
    <t>301 Princeton St E</t>
  </si>
  <si>
    <t>Dover Holdings LLC The Langfan Company Attn: Mark Langf</t>
  </si>
  <si>
    <t>2229 13 8555 01 001</t>
  </si>
  <si>
    <t>https://d2dstudy.org/florida/</t>
  </si>
  <si>
    <t>https://www.google.com/maps/search/301+Princeton+St+E+Orange+FL</t>
  </si>
  <si>
    <t>1301 Colonial Dr W</t>
  </si>
  <si>
    <t>2022/10</t>
  </si>
  <si>
    <t>Albert And Magdalena Lao Family Trus Albert L Lao And Magdelena C Lao Co</t>
  </si>
  <si>
    <t>2229 22 8252 06 010</t>
  </si>
  <si>
    <t>**CAN Community Health / Miracle of Love**</t>
  </si>
  <si>
    <t>https://www.cancommunityhealth.org/orlando/</t>
  </si>
  <si>
    <t>https://www.google.com/maps/search/1301+Colonial+Dr+W+Orange+FL</t>
  </si>
  <si>
    <t>1127 Edgewater Dr</t>
  </si>
  <si>
    <t>Hidalgo Ignacio</t>
  </si>
  <si>
    <t>1959</t>
  </si>
  <si>
    <t>2229 23 2344 00 080</t>
  </si>
  <si>
    <t>**Evolve Aesthetics (Medical Spa)**</t>
  </si>
  <si>
    <t>https://www.evolveorl.com/contact-us/</t>
  </si>
  <si>
    <t>https://www.google.com/maps/search/1127+Edgewater+Dr+Orange+FL</t>
  </si>
  <si>
    <t>707 Colonial Dr E</t>
  </si>
  <si>
    <t>Aids Healthcare Foundation Inc</t>
  </si>
  <si>
    <t>2229 24 1524 00 140</t>
  </si>
  <si>
    <t>**AIDS Healthcare Foundation (AHF) Pharmacy**</t>
  </si>
  <si>
    <t>https://www.aidshealth.org/locations/fl-orlando-rx/</t>
  </si>
  <si>
    <t>https://www.google.com/maps/search/707+Colonial+Dr+E+Orange+FL</t>
  </si>
  <si>
    <t>609 Virginia Dr</t>
  </si>
  <si>
    <t>2020/06</t>
  </si>
  <si>
    <t>609 Virginia LLC</t>
  </si>
  <si>
    <t>2229 24 4476 00 017</t>
  </si>
  <si>
    <t>**Optum - Lake Ivanhoe (Primary Care)**</t>
  </si>
  <si>
    <t>https://www.healthgrades.com/group-directory/fl-florida/orlando/optum-lake-ivanhoe-xqkhm9</t>
  </si>
  <si>
    <t>https://www.google.com/maps/search/609+Virginia+Dr+Orange+FL</t>
  </si>
  <si>
    <t>130 Marks St E</t>
  </si>
  <si>
    <t>130 East Marks LLC</t>
  </si>
  <si>
    <t>1968</t>
  </si>
  <si>
    <t>ORLMXD</t>
  </si>
  <si>
    <t>2229 24 5440 01 140</t>
  </si>
  <si>
    <t>**HealthyMD (Primary Care/Wellness)**</t>
  </si>
  <si>
    <t>https://npin.cdc.gov/organization/healthymd-0</t>
  </si>
  <si>
    <t>https://www.google.com/maps/search/130+Marks+St+E+Orange+FL</t>
  </si>
  <si>
    <t>1318 Mills Av N</t>
  </si>
  <si>
    <t>Portunol Properties LLC</t>
  </si>
  <si>
    <t>1973</t>
  </si>
  <si>
    <t>ORLACN</t>
  </si>
  <si>
    <t>2229 24 5828 00 140</t>
  </si>
  <si>
    <t>**Mills Dental Group**</t>
  </si>
  <si>
    <t>https://www.carecredit.com/doctor-locator/orlando-fl/mills-dental-group-935wkf/</t>
  </si>
  <si>
    <t>https://www.google.com/maps/search/1318+Mills+Av+N+Orange+FL</t>
  </si>
  <si>
    <t>1745 Mills Av N</t>
  </si>
  <si>
    <t>Cpf Hcre Winter Park LLC Chicago Pacific Founders Attn Cliff</t>
  </si>
  <si>
    <t>2229 24 5975 00 010</t>
  </si>
  <si>
    <t>https://www.cfcg.com/contact-us/</t>
  </si>
  <si>
    <t>https://www.google.com/maps/search/1745+Mills+Av+N+Orange+FL</t>
  </si>
  <si>
    <t>1505 Colonial Dr E</t>
  </si>
  <si>
    <t>Salud Integral En La Montana Inc Carr 153 Km 12 4</t>
  </si>
  <si>
    <t>2229 24 7060 01 030</t>
  </si>
  <si>
    <t>**Salud Integral En La Montana (Medical Clinic)**</t>
  </si>
  <si>
    <t>https://www.myfloridalicense.com/LicenseDetail.asp?SID=&amp;id=1278E296699828CDB1BCDAEB825BA730</t>
  </si>
  <si>
    <t>https://vgispublic.ocpafl.org/webmapjs/?pid=292224706001030</t>
  </si>
  <si>
    <t>823 Mills Av N</t>
  </si>
  <si>
    <t>Phd Venture LLC</t>
  </si>
  <si>
    <t>1993</t>
  </si>
  <si>
    <t>2229 24 7782 00 010</t>
  </si>
  <si>
    <t>https://www.zocdoc.com/doctor/angel-ho-md-115642</t>
  </si>
  <si>
    <t>https://www.google.com/maps/search/823+Mills+Av+N+Orange+FL</t>
  </si>
  <si>
    <t>214 Marks St E</t>
  </si>
  <si>
    <t>Kslb LLC</t>
  </si>
  <si>
    <t>1954</t>
  </si>
  <si>
    <t>2229 24 8484 00 210</t>
  </si>
  <si>
    <t>**Lifeskills Orlando (Outpatient Therapy)**</t>
  </si>
  <si>
    <t>https://lifeskillsbehavioralhealth.com/location/orlando-outpatient/</t>
  </si>
  <si>
    <t>https://www.google.com/maps/search/214+Marks+St+E+Orange+FL</t>
  </si>
  <si>
    <t>1724 Mills Av N</t>
  </si>
  <si>
    <t>2025/04</t>
  </si>
  <si>
    <t>Adventist Health System/Sunbelt Inc</t>
  </si>
  <si>
    <t>2229 24 8833 02 000</t>
  </si>
  <si>
    <t>https://seamless.ai/b/charter-research-6612681</t>
  </si>
  <si>
    <t>https://www.google.com/maps/search/1724+Mills+Av+N+Orange+FL</t>
  </si>
  <si>
    <t>1510 Colonial Dr E</t>
  </si>
  <si>
    <t>Colonialtown Investments LLC</t>
  </si>
  <si>
    <t>ORLMU2</t>
  </si>
  <si>
    <t>2229 25 1536 01 030</t>
  </si>
  <si>
    <t>**AJH Complete Care (Primary Care)**</t>
  </si>
  <si>
    <t>https://www.ajhcompletecarellc.org/contact-5</t>
  </si>
  <si>
    <t>https://www.google.com/maps/search/1510+Colonial+Dr+E+Orange+FL</t>
  </si>
  <si>
    <t>444 Mills Av N</t>
  </si>
  <si>
    <t>Wynnheart LLC</t>
  </si>
  <si>
    <t>1967</t>
  </si>
  <si>
    <t>2229 25 2508 01 091</t>
  </si>
  <si>
    <t>**Newman Plastic Surgery**</t>
  </si>
  <si>
    <t>https://newmanplasticsurgery.com/about-us/meet-dr-newman</t>
  </si>
  <si>
    <t>https://www.google.com/maps/search/444+Mills+Av+N+Orange+FL</t>
  </si>
  <si>
    <t>3480 Polynesian Isle Blvd</t>
  </si>
  <si>
    <t>Osceola</t>
  </si>
  <si>
    <t>Vitalis Mob Kissimmee LLC</t>
  </si>
  <si>
    <t>1911</t>
  </si>
  <si>
    <t>OPD</t>
  </si>
  <si>
    <t>2528 02 5035 0001 0017</t>
  </si>
  <si>
    <t>https://floridalungdoctors.com/polynesian-office/</t>
  </si>
  <si>
    <t>https://www.google.com/maps/search/3480+Polynesian+Isle+Blvd+Osceola+FL</t>
  </si>
  <si>
    <t>2497 Trafalgar Blvd</t>
  </si>
  <si>
    <t>2020/10</t>
  </si>
  <si>
    <t>Ibraheem LLC</t>
  </si>
  <si>
    <t>2010</t>
  </si>
  <si>
    <t>OPUD</t>
  </si>
  <si>
    <t>2628 14 5254 0001 0030</t>
  </si>
  <si>
    <t>**World of Pediatrics (Dr. Rafay Khan)**</t>
  </si>
  <si>
    <t>https://www.pocf.net/</t>
  </si>
  <si>
    <t>https://www.google.com/maps/search/2497+Trafalgar+Blvd+Osceola+FL</t>
  </si>
  <si>
    <t>3016 Dyer Blvd</t>
  </si>
  <si>
    <t>Rispartners Kissimmee LLC</t>
  </si>
  <si>
    <t>KMPU</t>
  </si>
  <si>
    <t>2529 05 1882 0001 0060</t>
  </si>
  <si>
    <t>**Radiology and Imaging Specialists (RIS)**</t>
  </si>
  <si>
    <t>https://www.medicai.io/medical-imaging-providers/radiology-and-imaging-specialists-kissimmee-kissimmee-florida</t>
  </si>
  <si>
    <t>https://www.google.com/maps/search/3016+Dyer+Blvd+Osceola+FL</t>
  </si>
  <si>
    <t>1611 N Main St</t>
  </si>
  <si>
    <t>2023/11</t>
  </si>
  <si>
    <t>Rec Strategies LLC</t>
  </si>
  <si>
    <t>KB3</t>
  </si>
  <si>
    <t>2529 15 1050 00RL 0015</t>
  </si>
  <si>
    <t xml:space="preserve">Medical </t>
  </si>
  <si>
    <t>https://maps.property-appraiser.org/?Pin=152529105000RL0015</t>
  </si>
  <si>
    <t>207 Park Place Blvd</t>
  </si>
  <si>
    <t>2024/02</t>
  </si>
  <si>
    <t>Bhupendra M &amp; Himaxi B Patel Revocable Trust Patel Bhupendra Tr Patel Hi</t>
  </si>
  <si>
    <t>OCR</t>
  </si>
  <si>
    <t>2529 15 4673 0001 0010</t>
  </si>
  <si>
    <t>https://maps.property-appraiser.org/?Pin=152529467300010010</t>
  </si>
  <si>
    <t>205 Park Place Blvd</t>
  </si>
  <si>
    <t>Three Birds Investments LLC</t>
  </si>
  <si>
    <t>1987</t>
  </si>
  <si>
    <t>2529 15 4673 0001 0020</t>
  </si>
  <si>
    <t>AdventHealth - OBGYN</t>
  </si>
  <si>
    <t>https://www.adventhealth.com/find-doctor/doctor/peter-joseph-casella-md-1245200278</t>
  </si>
  <si>
    <t>https://www.google.com/maps/search/205+Park+Place+Blvd+Osceola+FL</t>
  </si>
  <si>
    <t>1010 W Oak St</t>
  </si>
  <si>
    <t>2024/06</t>
  </si>
  <si>
    <t>Cream Rises To The Top Real Estate Holdings LLC</t>
  </si>
  <si>
    <t>KB5</t>
  </si>
  <si>
    <t>2529 21 1069 0001 0010</t>
  </si>
  <si>
    <t>https://www.loopnet.com/Listing/1010-1020-W-Oak-St-Kissimmee-FL/31250163/</t>
  </si>
  <si>
    <t>https://www.google.com/maps/search/1010+W+Oak+St+Osceola+FL</t>
  </si>
  <si>
    <t>908 Mabbette St</t>
  </si>
  <si>
    <t>2024/11</t>
  </si>
  <si>
    <t>Mabbette Holdings LLC</t>
  </si>
  <si>
    <t>1924</t>
  </si>
  <si>
    <t>KRB2</t>
  </si>
  <si>
    <t>2529 21 1191 0001 0010</t>
  </si>
  <si>
    <t>**Park Place Behavioral Health**</t>
  </si>
  <si>
    <t>https://www.myfloridalegal.com/vicitm-services-providers/park-place-behavioral-health-care</t>
  </si>
  <si>
    <t>https://www.google.com/maps/search/908+Mabbette+St+Osceola+FL</t>
  </si>
  <si>
    <t>1001 W Cherry St</t>
  </si>
  <si>
    <t>Acaba Properties LLC</t>
  </si>
  <si>
    <t>KHC</t>
  </si>
  <si>
    <t>2529 21 1212 0001 0010</t>
  </si>
  <si>
    <t>Sunshine Family Medical and Wellness</t>
  </si>
  <si>
    <t>https://sunshinefmwc.com/</t>
  </si>
  <si>
    <t>https://www.google.com/maps/search/1001+W+Cherry+St+Osceola+FL</t>
  </si>
  <si>
    <t>1045 N John Young Pkwy</t>
  </si>
  <si>
    <t>2025/08</t>
  </si>
  <si>
    <t>Nova Health Medical Group LLC</t>
  </si>
  <si>
    <t>1999</t>
  </si>
  <si>
    <t>2529 21 1412 0001 0020</t>
  </si>
  <si>
    <t>**Nova Health Medical Group (Primary Care)**</t>
  </si>
  <si>
    <t>https://www.loopnet.com/Listing/1045-1085-N-John-Young-Pky-Kissimmee-FL/31094164/</t>
  </si>
  <si>
    <t>https://www.google.com/maps/search/1045+N+John+Young+Pkwy+Osceola+FL</t>
  </si>
  <si>
    <t>investment sale</t>
  </si>
  <si>
    <t>1040 Mann St</t>
  </si>
  <si>
    <t>Acute Patient Care Inc Afzal Ajaz</t>
  </si>
  <si>
    <t>2529 21 1588 0001 0010</t>
  </si>
  <si>
    <t>https://acute-patient-care-afzal-ajaz-md.wheree.com/</t>
  </si>
  <si>
    <t>https://www.google.com/maps/search/1040+Mann+St+Osceola+FL</t>
  </si>
  <si>
    <t>721 Oak Commons Blvd</t>
  </si>
  <si>
    <t>Dna Kissimmee LLC</t>
  </si>
  <si>
    <t>1989</t>
  </si>
  <si>
    <t>2529 21 1809 0001 0010</t>
  </si>
  <si>
    <t>**Kidney Care of Central Florida**</t>
  </si>
  <si>
    <t>https://www.floridakidneycare.com/</t>
  </si>
  <si>
    <t>https://www.google.com/maps/search/721+Oak+Commons+Blvd+Osceola+FL</t>
  </si>
  <si>
    <t>715 Oak Commons Blvd</t>
  </si>
  <si>
    <t>Islaka Inc</t>
  </si>
  <si>
    <t>1995</t>
  </si>
  <si>
    <t>2529 21 1809 0001 0020</t>
  </si>
  <si>
    <t>Kissimmee Endoscopy Center</t>
  </si>
  <si>
    <t>https://kissimmeeendocenter.com/location/kissimmee-endoscopy-center/</t>
  </si>
  <si>
    <t>https://www.google.com/maps/search/715+Oak+Commons+Blvd+Osceola+FL</t>
  </si>
  <si>
    <t>591 Oak Commons Blvd</t>
  </si>
  <si>
    <t>Rhm Investments II LLC</t>
  </si>
  <si>
    <t>2529 21 1809 0001 0070</t>
  </si>
  <si>
    <t>HCA Florida Osceola Urology</t>
  </si>
  <si>
    <t>https://www.hcafloridaphysicians.com/locations/osceola-urology/kissimmee</t>
  </si>
  <si>
    <t>https://www.google.com/maps/search/591+Oak+Commons+Blvd+Osceola+FL</t>
  </si>
  <si>
    <t>710 Oak Commons Blvd</t>
  </si>
  <si>
    <t>2025/01</t>
  </si>
  <si>
    <t>Bada Ventures LLC</t>
  </si>
  <si>
    <t>2529 21 1809 0001 0110</t>
  </si>
  <si>
    <t>**Advanced Kidney Care of Central Florida**</t>
  </si>
  <si>
    <t>https://gastrohealth.com/locations/kissimmee</t>
  </si>
  <si>
    <t>https://www.google.com/maps/search/710+Oak+Commons+Blvd+Osceola+FL</t>
  </si>
  <si>
    <t>720 Oak Commons Blvd</t>
  </si>
  <si>
    <t>Abl Capital LLC</t>
  </si>
  <si>
    <t>2529 21 1809 0001 0120</t>
  </si>
  <si>
    <t>Hannum Vascular Clinic &amp; Vein Treatment Center</t>
  </si>
  <si>
    <t>https://www.hcafloridahealthcare.com/physicians/profile/Dr-Scott-R-Hannum-DO</t>
  </si>
  <si>
    <t>https://www.google.com/maps/search/720+Oak+Commons+Blvd+Osceola+FL</t>
  </si>
  <si>
    <t>903 W Oak St</t>
  </si>
  <si>
    <t>2024/08</t>
  </si>
  <si>
    <t>Sarwath Family LLC</t>
  </si>
  <si>
    <t>2529 21 1885 0001 0010</t>
  </si>
  <si>
    <t>Asthma, Allergy, and Immunology P.A.</t>
  </si>
  <si>
    <t>https://drahmed.com/</t>
  </si>
  <si>
    <t>https://www.google.com/maps/search/903+W+Oak+St+Osceola+FL</t>
  </si>
  <si>
    <t>804 Emmett St</t>
  </si>
  <si>
    <t>Dial Party LLC</t>
  </si>
  <si>
    <t>1969</t>
  </si>
  <si>
    <t>1711</t>
  </si>
  <si>
    <t>2529 21 1920 000Y 0010</t>
  </si>
  <si>
    <t>**Astha Health Services (Hospitalist Group)**</t>
  </si>
  <si>
    <t>https://asthahealth.com/contact-us/</t>
  </si>
  <si>
    <t>https://www.google.com/maps/search/804+Emmett+St+Osceola+FL</t>
  </si>
  <si>
    <t>914 Emmett St</t>
  </si>
  <si>
    <t>Live Implants Corp</t>
  </si>
  <si>
    <t>2529 21 1920 000Z 0010</t>
  </si>
  <si>
    <t>**Live Implant Training (Dental Implant Center)**</t>
  </si>
  <si>
    <t>https://liveimplanttraining.com/contact-live-implants/</t>
  </si>
  <si>
    <t>https://www.google.com/maps/search/914+Emmett+St+Osceola+FL</t>
  </si>
  <si>
    <t>916 Bryan St</t>
  </si>
  <si>
    <t>Kids Therapy Tower LLC</t>
  </si>
  <si>
    <t>2529 21 1920 00EE 0020</t>
  </si>
  <si>
    <t>**Kids Therapy Tower / Acorn Health (ABA Therapy)**</t>
  </si>
  <si>
    <t>https://kidstherapytower.com/about-us/</t>
  </si>
  <si>
    <t>https://www.google.com/maps/search/916+Bryan+St+Osceola+FL</t>
  </si>
  <si>
    <t>1320 N Main St</t>
  </si>
  <si>
    <t>Sutherland Wolf &amp; Boroaks Property Mangement LLC</t>
  </si>
  <si>
    <t>2529 22 1360 000A 0020</t>
  </si>
  <si>
    <t>**Wolf Chiropractic Kissimmee**</t>
  </si>
  <si>
    <t>https://hurtaid.com/directory/medical-provider/wolf-chiropractic-kissimmee/</t>
  </si>
  <si>
    <t>https://www.google.com/maps/search/1320+N+Main+St+Osceola+FL</t>
  </si>
  <si>
    <t>833 E Oak St</t>
  </si>
  <si>
    <t>Hand Oak LLC</t>
  </si>
  <si>
    <t>2529 22 1488 0001 0230</t>
  </si>
  <si>
    <t>**Sanitas Medical Center (Urgent/Primary Care)**</t>
  </si>
  <si>
    <t>https://mysanitas.com/en/fl/sanitas-kissimmee-oak</t>
  </si>
  <si>
    <t>https://www.google.com/maps/search/833+E+Oak+St+Osceola+FL</t>
  </si>
  <si>
    <t>829 E Oak St</t>
  </si>
  <si>
    <t>N &amp; A Holdings LLC</t>
  </si>
  <si>
    <t>2529 22 1488 0001 0240</t>
  </si>
  <si>
    <t>ELITE MEDICAL ASSOCIATES, LLC</t>
  </si>
  <si>
    <t>https://npiregistry.cms.hhs.gov/provider-view/1255527735</t>
  </si>
  <si>
    <t>https://www.google.com/maps/search/829+E+Oak+St+Osceola+FL</t>
  </si>
  <si>
    <t>701 E Oak St</t>
  </si>
  <si>
    <t>State Housing &amp; Development Inc</t>
  </si>
  <si>
    <t>2529 22 1496 0001 0030</t>
  </si>
  <si>
    <t>**Yes! Dental Associates**</t>
  </si>
  <si>
    <t>https://www.carecredit.com/doctor-locator/kissimmee-fl/yes-dental-associates-of-florida-885jxq/</t>
  </si>
  <si>
    <t>https://www.google.com/maps/search/701+E+Oak+St+Osceola+FL</t>
  </si>
  <si>
    <t>901 E Oak St</t>
  </si>
  <si>
    <t>901 E Oak Land Trust Cfl Land Trustee LLC Tr</t>
  </si>
  <si>
    <t>2529 22 1496 0001 0140</t>
  </si>
  <si>
    <t>Osceola Cardio Pulmonary Clinic</t>
  </si>
  <si>
    <t>https://www.healthgrades.com/group-directory/fl-florida/kissimmee/osceola-cardio-pulmonary-clinic-u3ykvh2</t>
  </si>
  <si>
    <t>https://www.google.com/maps/search/901+E+Oak+St+Osceola+FL</t>
  </si>
  <si>
    <t>819 E Oak St</t>
  </si>
  <si>
    <t>2529 22 1505 0001 027A</t>
  </si>
  <si>
    <t>**Akumin (Radiology &amp; Imaging)**</t>
  </si>
  <si>
    <t>https://www.carecredit.com/doctor-locator/kissimmee-fl/akumin-kissimmee-334jkf/</t>
  </si>
  <si>
    <t>https://www.google.com/maps/search/819+E+Oak+St+Osceola+FL</t>
  </si>
  <si>
    <t>1000 E Irlo Bronson Memorial</t>
  </si>
  <si>
    <t>Safe Capital Optum LLC</t>
  </si>
  <si>
    <t>SPUD</t>
  </si>
  <si>
    <t>2631 07 0212 0001 0010</t>
  </si>
  <si>
    <t>https://www.optum.com/en/</t>
  </si>
  <si>
    <t>https://www.google.com/maps?q=1000+E+Irlo+Bronson+Memorial+Osceola,+FL</t>
  </si>
  <si>
    <t>1403 Medical Plaza # 105 Dr</t>
  </si>
  <si>
    <t>1751 Deckner LLC</t>
  </si>
  <si>
    <t>1930 26 508 0000 1260</t>
  </si>
  <si>
    <t>ACTIVE PAIN AND INJURY INC
Health Care Clinic</t>
  </si>
  <si>
    <t>https://quality.healthfinder.fl.gov/Facility-Provider/Profile/?LID=315654</t>
  </si>
  <si>
    <t>https://www.google.com/maps?q=1403+Medical+Plaza+%23105+Dr+Seminole,+FL</t>
  </si>
  <si>
    <t>1403 Medical Plaza # 100 Dr</t>
  </si>
  <si>
    <t>Basco Realty &amp; Holding LLC</t>
  </si>
  <si>
    <t>1930 26 508 0000 1580</t>
  </si>
  <si>
    <t>Florida Sedation Dentistry</t>
  </si>
  <si>
    <t>https://flsedationdentistry.com/contact/</t>
  </si>
  <si>
    <t>https://www.google.com/maps?q=1403+Medical+Plaza+%23100+Dr+Seminole,+FL</t>
  </si>
  <si>
    <t>1403 Medical Plaza # 208 Dr</t>
  </si>
  <si>
    <t>Orange Kidney &amp; Hypertension Care Pllc</t>
  </si>
  <si>
    <t>1930 26 508 0000 2260</t>
  </si>
  <si>
    <t>N/a</t>
  </si>
  <si>
    <t>https://www.google.com/maps?q=1403+Medical+Plaza+%23208+Dr+Seminole,+FL</t>
  </si>
  <si>
    <t>1403 Medical Plaza # 204 Dr</t>
  </si>
  <si>
    <t>2024/07</t>
  </si>
  <si>
    <t>Central Florida Regional Hospital Inc</t>
  </si>
  <si>
    <t>1930 26 508 0000 2480</t>
  </si>
  <si>
    <t>Seminole Neurology Associates, P.A.</t>
  </si>
  <si>
    <t>https://www.healthgrades.com/group-directory/fl-florida/sanford/seminole-neurology-associates-pa-xbbyxw</t>
  </si>
  <si>
    <t>https://www.google.com/maps?q=1403+Medical+Plaza+%23204+Dr+Seminole,+FL</t>
  </si>
  <si>
    <t>2100 1st St W</t>
  </si>
  <si>
    <t>Mmof IV Mid Fl Portfolio LLC C/O Montecito Medical Real Estate</t>
  </si>
  <si>
    <t>1930 26 509 0000 0030</t>
  </si>
  <si>
    <t>**Mid-Florida Cancer Centers (Oncology)**</t>
  </si>
  <si>
    <t>https://midfloridacancercenters.com/locations/sanford/</t>
  </si>
  <si>
    <t>https://www.google.com/maps?q=2100+1st+St+W+Seminole,+FL</t>
  </si>
  <si>
    <t>241 Bellagio Cir</t>
  </si>
  <si>
    <t>Karland Properties LLC</t>
  </si>
  <si>
    <t>1930 28 520 0000 0090</t>
  </si>
  <si>
    <t>**Physical Therapy Now Sanford**</t>
  </si>
  <si>
    <t>https://physicaltherapynow.com/locations/sanford-lake-mary/</t>
  </si>
  <si>
    <t>https://maps.google.com/?cid=10484780260240310301&amp;g_mp=Cidnb29nbGUubWFwcy5wbGFjZXMudjEuUGxhY2VzLlNlYXJjaFRleHQ</t>
  </si>
  <si>
    <t>105 Bellagio Cir</t>
  </si>
  <si>
    <t>2023/01</t>
  </si>
  <si>
    <t>Lahlou Ryan M &amp; Lahlou Salim</t>
  </si>
  <si>
    <t>1930 28 520 0000 0320</t>
  </si>
  <si>
    <t>https://www.saveondentistry.dentist/</t>
  </si>
  <si>
    <t>https://maps.google.com/?cid=4901182225098383666&amp;g_mp=Cidnb29nbGUubWFwcy5wbGFjZXMudjEuUGxhY2VzLlNlYXJjaFRleHQ</t>
  </si>
  <si>
    <t>101 Bellagio Cir</t>
  </si>
  <si>
    <t>American Hospitality Assn Inc</t>
  </si>
  <si>
    <t>1930 28 520 0000 0330</t>
  </si>
  <si>
    <t>https://coastalmhc.com/</t>
  </si>
  <si>
    <t>https://maps.google.com/?cid=8827082157455925323&amp;g_mp=Cidnb29nbGUubWFwcy5wbGFjZXMudjEuUGxhY2VzLlNlYXJjaFRleHQ</t>
  </si>
  <si>
    <t>5068 SR 46 W</t>
  </si>
  <si>
    <t>9535 Regency LLC &amp; Sr 46 Development LLC C/O Minnon Kathie</t>
  </si>
  <si>
    <t>1930 30 516 0000 0C10</t>
  </si>
  <si>
    <t>**Terracina Dental Care**</t>
  </si>
  <si>
    <t>https://terracinadentalcare.com/</t>
  </si>
  <si>
    <t>https://maps.google.com/?cid=10149550922434441126&amp;g_mp=Cidnb29nbGUubWFwcy5wbGFjZXMudjEuUGxhY2VzLlNlYXJjaFRleHQ</t>
  </si>
  <si>
    <t>1355 International # 1481 Pkw</t>
  </si>
  <si>
    <t>Moore Business Group LLC</t>
  </si>
  <si>
    <t>2029 13 513 0100 00B1</t>
  </si>
  <si>
    <t>**Caya Health (Family Medicine/Counseling)**</t>
  </si>
  <si>
    <t>https://www.cayahealth.com/</t>
  </si>
  <si>
    <t>https://maps.google.com/?cid=4875051585993840576&amp;g_mp=Cidnb29nbGUubWFwcy5wbGFjZXMudjEuUGxhY2VzLlNlYXJjaFRleHQ</t>
  </si>
  <si>
    <t>1343 International # 1351 Pkw</t>
  </si>
  <si>
    <t>Rpg Real Estate Investments LLC</t>
  </si>
  <si>
    <t>2029 13 513 0300 00A1</t>
  </si>
  <si>
    <t>**Complete Care Lake Mary (Injury/Rehab)**</t>
  </si>
  <si>
    <t>https://www.complete-care.com/locations/complete-care-lake-mary/</t>
  </si>
  <si>
    <t>https://www.google.com/maps/search/?api=1&amp;query=1343+International+Pkwy+1351+Lake+Mary+FL</t>
  </si>
  <si>
    <t>1325 International # 2241 Pkw</t>
  </si>
  <si>
    <t>2021/09</t>
  </si>
  <si>
    <t>Rhythmiq LLC</t>
  </si>
  <si>
    <t>2029 13 513 0600 00P2</t>
  </si>
  <si>
    <t>Orlando Cardiac &amp; Vascular Specialists (Optum)</t>
  </si>
  <si>
    <t>https://orlandocardiacspecialists.com/contact-us/</t>
  </si>
  <si>
    <t>https://www.google.com/maps?q=1325+International+%232241+Pkw+Seminole,+FL</t>
  </si>
  <si>
    <t>1307 International # 2051 Pkw</t>
  </si>
  <si>
    <t>Badlands Properties LLC</t>
  </si>
  <si>
    <t>2029 13 513 0900 00P2</t>
  </si>
  <si>
    <t>Heathrow Psychology</t>
  </si>
  <si>
    <t>https://heathrowpsychology.com/</t>
  </si>
  <si>
    <t>https://www.google.com/maps?q=1307+International+%232051+Pkw+Seminole,+FL</t>
  </si>
  <si>
    <t>917 Rinehart # 1051 Rd</t>
  </si>
  <si>
    <t>Akkr Investments LLC</t>
  </si>
  <si>
    <t>2030 05 519 0000 2870</t>
  </si>
  <si>
    <t>SimonMed Imaging (Lake Mary II)</t>
  </si>
  <si>
    <t>https://www.simonmed.com/locations/fl/florida-lake-mary-ii/</t>
  </si>
  <si>
    <t>https://www.google.com/maps?q=917+Rinehart+%231051+Rd+Seminole,+FL</t>
  </si>
  <si>
    <t>956 International # 1580 Pkw</t>
  </si>
  <si>
    <t>Ram Realty LLC</t>
  </si>
  <si>
    <t>2030 06 300 007O 0000</t>
  </si>
  <si>
    <t>Harris Chiropractic / Envision Physical Therapy</t>
  </si>
  <si>
    <t>https://markharrischiro.com/contact</t>
  </si>
  <si>
    <t>https://www.google.com/maps?q=956+International+%231580+Pkw+Seminole,+FL</t>
  </si>
  <si>
    <t>956 International # 1590 Pkw</t>
  </si>
  <si>
    <t>2030 06 300 007R 0000</t>
  </si>
  <si>
    <t>https://markharrischiro.com/</t>
  </si>
  <si>
    <t>https://www.google.com/maps?q=956+International+%231590+Pkw+Seminole,+FL</t>
  </si>
  <si>
    <t>942 International Pkwy</t>
  </si>
  <si>
    <t>2020/11</t>
  </si>
  <si>
    <t>Lake Mary Surgical Suite LLC</t>
  </si>
  <si>
    <t>2030 06 300 007X 0000</t>
  </si>
  <si>
    <t>Heathrow Surgery Center (Eye Specialists)</t>
  </si>
  <si>
    <t>https://www.heathrowsc.com/</t>
  </si>
  <si>
    <t>https://www.google.com/maps?q=942+International+Pkwy+Seminole,+FL</t>
  </si>
  <si>
    <t>550 Rinehart Rd</t>
  </si>
  <si>
    <t>Dunn Investments LLC</t>
  </si>
  <si>
    <t>2030 06 505 0000 0010</t>
  </si>
  <si>
    <t>Wiewiora &amp; Dunn Orthodontics</t>
  </si>
  <si>
    <t>https://wiewioraanddunn.com/locations/lake-mary-orthodontist/</t>
  </si>
  <si>
    <t>https://www.google.com/maps?q=550+Rinehart+Rd+Seminole,+FL</t>
  </si>
  <si>
    <t>560 Rinehart # 100 Rd</t>
  </si>
  <si>
    <t>2030 06 505 0000 0020</t>
  </si>
  <si>
    <t>https://wiewioraanddunn.com/</t>
  </si>
  <si>
    <t>https://www.google.com/maps?q=560+Rinehart+%23100+Rd+Seminole,+FL</t>
  </si>
  <si>
    <t>580 Rinehart # 100 Rd</t>
  </si>
  <si>
    <t>2030 06 505 0000 0040</t>
  </si>
  <si>
    <t>AdventHealth Pediatric Cardiology</t>
  </si>
  <si>
    <t>https://www.adventhealth.com/hospital/adventhealth-children/lake-mary-pediatric-specialty-clinic</t>
  </si>
  <si>
    <t>https://www.google.com/maps?q=580+Rinehart+%23100+Rd+Seminole,+FL</t>
  </si>
  <si>
    <t>930 Williston Park Pt</t>
  </si>
  <si>
    <t>Williston Park LLC C/O Arise Autism Center</t>
  </si>
  <si>
    <t>2030 06 510 0200 00D0</t>
  </si>
  <si>
    <t>Arise Autism Center</t>
  </si>
  <si>
    <t>https://ariseautismcenter.com/</t>
  </si>
  <si>
    <t>https://www.google.com/maps?q=930+Williston+Park+Pt+Seminole,+FL</t>
  </si>
  <si>
    <t>450 St Charles # 1000 Ct</t>
  </si>
  <si>
    <t>2024/01</t>
  </si>
  <si>
    <t>450 Charles LLC</t>
  </si>
  <si>
    <t>2030 06 511 0200 0000</t>
  </si>
  <si>
    <t>Medical Office Condo (Vacant/For Lease)</t>
  </si>
  <si>
    <t>http://google.com/maps/place/Lake+Mary+Surgery+Center/@28.772181,-81.3525949,17z/data=!3m1!4b1!4m6!3m5!1s0x88e70d526596ad05:0xe4c80bcdfdf62b6!8m2!3d28.772181!4d-81.35002!16s%2Fg%2F1tnjkd0j?entry=ttu&amp;g_ep=EgoyMDI2MDEyNS4wIKXMDSoASAFQAw%3D%3D</t>
  </si>
  <si>
    <t>https://www.google.com/maps/@28.7721607,-81.3497901,3a,75y,291.04h,93.54t/data=!3m7!1e1!3m5!1sqPekVc-UKabixt961KyGng!2e0!6shttps:%2F%2Fstreetviewpixels-pa.googleapis.com%2Fv1%2Fthumbnail%3Fcb_client%3Dmaps_sv.tactile%26w%3D900%26h%3D600%26pitch%3D-3.5400000000000063%26panoid%3DqPekVc-UKabixt961KyGng%26yaw%3D291.04!7i16384!8i8192?entry=ttu&amp;g_ep=EgoyMDI2MDEyNS4wIKXMDSoASAFQAw%3D%3D</t>
  </si>
  <si>
    <t>701 Platinum Pt</t>
  </si>
  <si>
    <t>Orlando Health Inc</t>
  </si>
  <si>
    <t>2030 06 513 0000 0010</t>
  </si>
  <si>
    <t>Orlando Health Jewett Orthopedic Institute</t>
  </si>
  <si>
    <t>https://www.orlandohealth.com/locations/orlando-health-jewett-orthopedic-institute-lake-mary-platinum-point</t>
  </si>
  <si>
    <t>https://www.google.com/maps?q=701+Platinum+Pt+Seminole,+FL</t>
  </si>
  <si>
    <t>761 Stirling Center Pl</t>
  </si>
  <si>
    <t>2022/09</t>
  </si>
  <si>
    <t>La Mantia Family 2001 Trust</t>
  </si>
  <si>
    <t>2030 06 513 0000 0100</t>
  </si>
  <si>
    <t>PRC Alliance Pain Relief Centers</t>
  </si>
  <si>
    <t>https://prc-alliance.com/locations/</t>
  </si>
  <si>
    <t>https://www.google.com/maps?q=761+Stirling+Center+Pl+Seminole,+FL</t>
  </si>
  <si>
    <t>870 Rinehart Rd</t>
  </si>
  <si>
    <t>Tooth Fairy Properties LLC</t>
  </si>
  <si>
    <t>2030 06 520 0000 0060</t>
  </si>
  <si>
    <t>Dunwoody Dental (Dr. Amy Mosseri)</t>
  </si>
  <si>
    <t>https://www.dunwoodydental.net/</t>
  </si>
  <si>
    <t>https://www.google.com/maps?q=870+Rinehart+Rd+Seminole,+FL</t>
  </si>
  <si>
    <t>922 Williston Park Pt</t>
  </si>
  <si>
    <t>Real Belle Holding LLC</t>
  </si>
  <si>
    <t>2030 06 522 0000 0030</t>
  </si>
  <si>
    <t>Nu Body Orlando (Med Spa)</t>
  </si>
  <si>
    <t>https://nubodyorlando.com/</t>
  </si>
  <si>
    <t>https://www.google.com/maps?q=922+Williston+Park+Pt+Seminole,+FL</t>
  </si>
  <si>
    <t>454 Rinehart Rd</t>
  </si>
  <si>
    <t>Orlandohealth Inc</t>
  </si>
  <si>
    <t>1906</t>
  </si>
  <si>
    <t>2030 06 525 0000 00B0</t>
  </si>
  <si>
    <t>https://www.orlandohealth.com/locations/orlando-health-jewett-orthopedic-institute-lake-mary-rinehart</t>
  </si>
  <si>
    <t>https://www.google.com/maps?q=454+Rinehart+Rd+Seminole,+FL</t>
  </si>
  <si>
    <t>4106 Lake Mary # 100 Blvd W</t>
  </si>
  <si>
    <t>Health 2050 LLC</t>
  </si>
  <si>
    <t>2030 07 509 0000 0010</t>
  </si>
  <si>
    <t>HCA Florida Lake Mary Primary Care</t>
  </si>
  <si>
    <t>https://www.hcafloridaphysicians.com/locations/lake-mary-primary-care/</t>
  </si>
  <si>
    <t>https://www.google.com/maps?q=4106+Lake+Mary+%23100+Blvd+W+Seminole,+FL</t>
  </si>
  <si>
    <t>4106 Lake Mary # 212 Blvd W</t>
  </si>
  <si>
    <t>Mdo Property LLC</t>
  </si>
  <si>
    <t>2030 07 509 0000 2880</t>
  </si>
  <si>
    <t>The Florida Society of Plastic Surgeons
Edgar Sosa, D.O.</t>
  </si>
  <si>
    <t>https://www.fsps.org/doctors/edgar-sosa-do/</t>
  </si>
  <si>
    <t>https://www.google.com/maps?q=4106+Lake+Mary+%23212+Blvd+W+Seminole,+FL</t>
  </si>
  <si>
    <t>4106 Lake Mary # 330 Blvd W</t>
  </si>
  <si>
    <t>Huoli Holdings LLC</t>
  </si>
  <si>
    <t>2030 07 509 0000 3860</t>
  </si>
  <si>
    <t>AdventHealth Surgery (Dr. Nathan Deangelis)</t>
  </si>
  <si>
    <t>https://www.adventhealth.com/find-doctor/doctor/nathan-deangelis-do-1316139454</t>
  </si>
  <si>
    <t>https://www.google.com/maps?q=4106+Lake+Mary+%23330+Blvd+W+Seminole,+FL</t>
  </si>
  <si>
    <t>2500 Lake Mary # 217 Blvd W</t>
  </si>
  <si>
    <t>My Healthmatrix LLC</t>
  </si>
  <si>
    <t>2030 09 515 0000 2170</t>
  </si>
  <si>
    <t>**My HealthMatrix (Hormone Therapy/Wellness)**</t>
  </si>
  <si>
    <t>https://healthmatrix.com/location/orlando-lake-mary-florida/</t>
  </si>
  <si>
    <t>https://www.google.com/maps?q=2500+Lake+Mary+%23217+Blvd+W+Seminole,+FL</t>
  </si>
  <si>
    <t>100 Waymont Ct</t>
  </si>
  <si>
    <t>Gueymont Medical LLC</t>
  </si>
  <si>
    <t>2030 17 300 0140 0000</t>
  </si>
  <si>
    <t>**AdventHealth Sports Medicine &amp; Rehab**</t>
  </si>
  <si>
    <t>https://www.adventhealth.com/locations/adventhealth-sports-med-and-rehab-lake-mary</t>
  </si>
  <si>
    <t>https://www.google.com/maps?q=100+Waymont+Ct+Seminole,+FL</t>
  </si>
  <si>
    <t>405 Waymont Ct</t>
  </si>
  <si>
    <t>Metricsmed Pr LLC</t>
  </si>
  <si>
    <t>2030 17 507 0000 0140</t>
  </si>
  <si>
    <t>Rejuve Health Clinics Inc</t>
  </si>
  <si>
    <t>https://www.bbb.org/us/fl/lake-mary/profile/hormone-replacement-therapy/rejuve-health-clinics-inc-0733-90335543</t>
  </si>
  <si>
    <t>https://www.google.com/maps?q=405+Waymont+Ct+Seminole,+FL</t>
  </si>
  <si>
    <t>307 Lagrande Blvd</t>
  </si>
  <si>
    <t>307 Lagrande LLC</t>
  </si>
  <si>
    <t>1988</t>
  </si>
  <si>
    <t>1824 07 0001 000 00105</t>
  </si>
  <si>
    <t>Lady Lake Dentist - Universal Smiles Dentistry Villages</t>
  </si>
  <si>
    <t>https://www.universalsmilesdentistry.com/The-Villages</t>
  </si>
  <si>
    <t>https://www.google.com/maps?q=307+Lagrande+Blvd+Lake,+FL</t>
  </si>
  <si>
    <t>121 La Grande Blvd</t>
  </si>
  <si>
    <t>Lady Lake 121 Mp Rk6 LLC</t>
  </si>
  <si>
    <t>1824 07 0001 000 00110</t>
  </si>
  <si>
    <t>Vascular Vein Centers</t>
  </si>
  <si>
    <t>https://www.hcafloridaphysicians.com/locations/ocala-vascular-surgery/the-villages</t>
  </si>
  <si>
    <t>https://www.google.com/maps?q=121+La+Grande+Blvd+Lake,+FL</t>
  </si>
  <si>
    <t>111 La Grande Blvd</t>
  </si>
  <si>
    <t>111 Lg LLC</t>
  </si>
  <si>
    <t>1824 07 0001 000 01800</t>
  </si>
  <si>
    <t>Village Dental</t>
  </si>
  <si>
    <t>https://www.villagedental.com/</t>
  </si>
  <si>
    <t>https://www.google.com/maps?q=111+La+Grande+Blvd+Lake,+FL</t>
  </si>
  <si>
    <t>422 Teague Trl</t>
  </si>
  <si>
    <t>Heritage Dental Real Estate Ho</t>
  </si>
  <si>
    <t>1824 17 0001 000 06200</t>
  </si>
  <si>
    <t>Heritage Dental (Dr. Kuhn)</t>
  </si>
  <si>
    <t>https://www.heritagedentaloffice.com/</t>
  </si>
  <si>
    <t>https://www.google.com/maps?q=422+Teague+Trl+Lake,+FL</t>
  </si>
  <si>
    <t>426 Teague Trl</t>
  </si>
  <si>
    <t>1824 17 0001 000 07100</t>
  </si>
  <si>
    <t>Heritage Dental (Expansion)</t>
  </si>
  <si>
    <t>https://www.google.com/maps?q=426+Teague+Trl+Lake,+FL</t>
  </si>
  <si>
    <t>741 County Road 466</t>
  </si>
  <si>
    <t>Martinez Cruz Medical Assoc Of</t>
  </si>
  <si>
    <t>1824 18 0200 000 14000</t>
  </si>
  <si>
    <t>Martinez Cruz Medical Associates</t>
  </si>
  <si>
    <t>https://www.loopnet.com/Listing/741-CR-466-Lady-Lake-FL/30425850/</t>
  </si>
  <si>
    <t>https://www.google.com/maps?q=741+County+Road+466+Lake,+FL</t>
  </si>
  <si>
    <t>212 County Road 466</t>
  </si>
  <si>
    <t>Cjz Property Holdings LLC</t>
  </si>
  <si>
    <t>1824 20 0400 000 06101</t>
  </si>
  <si>
    <t>Healing Touch Massage Therapy</t>
  </si>
  <si>
    <t>https://healingtouch212.wixsite.com/healingtouchmassage</t>
  </si>
  <si>
    <t>https://www.google.com/maps?q=212+County+Road+466+Lake,+FL</t>
  </si>
  <si>
    <t>309 Orange St</t>
  </si>
  <si>
    <t>Davis Family Hearing Inc</t>
  </si>
  <si>
    <t>1824 21 0003 000 05000</t>
  </si>
  <si>
    <t>Davis Family Hearing</t>
  </si>
  <si>
    <t>https://davisfamilyhearing.com/</t>
  </si>
  <si>
    <t>https://www.google.com/maps?q=309+Orange+St+Lake,+FL</t>
  </si>
  <si>
    <t>1340 Citizens Blvd</t>
  </si>
  <si>
    <t>Gurgen Properties LLC Series</t>
  </si>
  <si>
    <t>1924 23 0002 000 03706</t>
  </si>
  <si>
    <t>Leesburg Dermatology &amp; Mohs Surgery</t>
  </si>
  <si>
    <t>https://drgurgen.com/contact-us/</t>
  </si>
  <si>
    <t>https://www.google.com/maps?q=1338+Citizens+Blvd+Lake,+FL</t>
  </si>
  <si>
    <t>1325 Shelfer St</t>
  </si>
  <si>
    <t>Tesla Biohealing Inc</t>
  </si>
  <si>
    <t>1924 23 0002 000 03708</t>
  </si>
  <si>
    <t>Tesla BioHealing (MedTech Center)</t>
  </si>
  <si>
    <t>https://www.teslabiohealing.com/collections/tesla-medbed-center-leesburg-fl?_gl=1*1xto5k9*_up*MQ..*_gs*MQ..&amp;gclid=Cj0KCQiA4eHLBhCzARIsAJ2NZoJRZHoXlV2PzH6wioAFL_veuWE690gULyIChXBzgXKXzzmRF0ucLcIaAtBOEALw_wcB&amp;gbraid=0AAAABA6AXXQfB9RTa1dJXefhwUNHr8n3u</t>
  </si>
  <si>
    <t>https://www.google.com/maps?q=1325+Shelfer+St+Lake,+FL</t>
  </si>
  <si>
    <t>600 North Blvd W</t>
  </si>
  <si>
    <t>600 Leesburg Stolley LLC</t>
  </si>
  <si>
    <t>1979</t>
  </si>
  <si>
    <t>1924 23 1100 000 00506</t>
  </si>
  <si>
    <t>https://northcampusrehab.com/</t>
  </si>
  <si>
    <t>https://www.google.com/maps/@28.8176464,-81.8774908,3a,16.9y,174.93h,85.93t/data=!3m7!1e1!3m5!1sD1bpb9_7mud9RolGKF6C9w!2e0!6shttps:%2F%2Fstreetviewpixels-pa.googleapis.com%2Fv1%2Fthumbnail%3Fcb_client%3Dmaps_sv.tactile%26w%3D900%26h%3D600%26pitch%3D4.066419333309582%26panoid%3DD1bpb9_7mud9RolGKF6C9w%26yaw%3D174.92757615331712!7i16384!8i8192?entry=ttu&amp;g_ep=EgoyMDI2MDIwMS4wIKXMDSoASAFQAw%3D%3D</t>
  </si>
  <si>
    <t>1132 North Blvd E</t>
  </si>
  <si>
    <t>Raqmar LLC</t>
  </si>
  <si>
    <t>1924 25 0001 000 13400</t>
  </si>
  <si>
    <t>**Schweiger Dermatology Group**</t>
  </si>
  <si>
    <t>https://www.schweigerderm.com/location/florida/leesburg/</t>
  </si>
  <si>
    <t>https://www.google.com/maps?q=1132+North+Blvd+E+Lake,+FL</t>
  </si>
  <si>
    <t>1070 Flagler Ave</t>
  </si>
  <si>
    <t>Shakti Narain Credit Shelter T</t>
  </si>
  <si>
    <t>1924 25 0004 000 16900</t>
  </si>
  <si>
    <t>https://www.orlandohealth.com/physician-finder/shakti-narain-md</t>
  </si>
  <si>
    <t>https://www.google.com/maps?q=1070+Flagler+Ave+Lake,+FL</t>
  </si>
  <si>
    <t>705 Doctors Ct</t>
  </si>
  <si>
    <t>Leesburg Regional Medical Cent</t>
  </si>
  <si>
    <t>1924 25 1050 000 00200</t>
  </si>
  <si>
    <t>https://ufhealth.org/locations/uf-health-surgical-specialists-leesburg-medical-plaza</t>
  </si>
  <si>
    <t>https://www.google.com/maps?q=705+Doctors+Ct+Lake,+FL</t>
  </si>
  <si>
    <t>1314 Sumter St</t>
  </si>
  <si>
    <t>Sumter Lane LLC</t>
  </si>
  <si>
    <t>2001</t>
  </si>
  <si>
    <t>1924 26 0003 000 01400</t>
  </si>
  <si>
    <t>**Family First Homecare (Pediatric)**</t>
  </si>
  <si>
    <t>https://myfamilyfirsthc.com/locations/</t>
  </si>
  <si>
    <t>https://www.google.com/maps?q=1314+Sumter+St+Lake,+FL</t>
  </si>
  <si>
    <t>923 Dixie Ave W</t>
  </si>
  <si>
    <t>Gc Smiles LLC</t>
  </si>
  <si>
    <t>1924 26 1700 028 00900</t>
  </si>
  <si>
    <t>Leesburg Signature Smiles</t>
  </si>
  <si>
    <t>https://www.leesburgsignaturesmiles.com/</t>
  </si>
  <si>
    <t>https://www.google.com/maps?q=923+Dixie+Ave+W+Lake,+FL</t>
  </si>
  <si>
    <t>305 Childs St S</t>
  </si>
  <si>
    <t>Center For Ankle &amp; Foot Care I</t>
  </si>
  <si>
    <t>1924 26 3900 056 00101</t>
  </si>
  <si>
    <t>**Center for Ankle &amp; Foot Care (Podiatry)**</t>
  </si>
  <si>
    <t>https://www.centeranklefootcare.com/</t>
  </si>
  <si>
    <t>https://www.google.com/maps?q=305+Childs+St+S+Lake,+FL</t>
  </si>
  <si>
    <t>33057 Professional Dr</t>
  </si>
  <si>
    <t>Ungson Nick M &amp; Lourdes N Lif</t>
  </si>
  <si>
    <t>1925 16 0900 000 00100</t>
  </si>
  <si>
    <t>Florida Pain &amp; Rehabilitation Center (Dr. Ungson)</t>
  </si>
  <si>
    <t>https://painandrehab.com/locations/</t>
  </si>
  <si>
    <t>https://maps.google.com/?cid=4238361075762354875&amp;g_mp=Cidnb29nbGUubWFwcy5wbGFjZXMudjEuUGxhY2VzLlNlYXJjaFRleHQ</t>
  </si>
  <si>
    <t>32629 Blossom Ln</t>
  </si>
  <si>
    <t>Lake Square Chiropractic Pa</t>
  </si>
  <si>
    <t>1955</t>
  </si>
  <si>
    <t>1925 23 0002 000 02200</t>
  </si>
  <si>
    <t>Lake Square Chiropractic</t>
  </si>
  <si>
    <t>https://lake-square-chiropractic-p-a.wheree.com/</t>
  </si>
  <si>
    <t>https://maps.google.com/?cid=2331465531235136251&amp;g_mp=Cidnb29nbGUubWFwcy5wbGFjZXMudjEuUGxhY2VzLlNlYXJjaFRleHQ</t>
  </si>
  <si>
    <t>2430 Bay St</t>
  </si>
  <si>
    <t>Besuden Kimberly A &amp; Mary A Ba</t>
  </si>
  <si>
    <t>1951</t>
  </si>
  <si>
    <t>1926 14 1500 009 02300</t>
  </si>
  <si>
    <t>Besuden Chiropractic (Dr. Kimberly Besuden)</t>
  </si>
  <si>
    <t>https://www.baystreetwellness.com/</t>
  </si>
  <si>
    <t>https://www.google.com/maps?q=2430+Bay+St+Lake,+FL</t>
  </si>
  <si>
    <t>16831 US Highway 441</t>
  </si>
  <si>
    <t>Central Florida Regional Hospt</t>
  </si>
  <si>
    <t>1926 23 0004 000 02900</t>
  </si>
  <si>
    <t>https://www.hcafloridahealthcare.com/locations/mount-dora-emergency</t>
  </si>
  <si>
    <t>https://www.google.com/maps?q=16831+US+Highway+441+Lake,+FL</t>
  </si>
  <si>
    <t>3615 Lake Center Dr</t>
  </si>
  <si>
    <t>Deukmedjian Armen And Robin De</t>
  </si>
  <si>
    <t>1926 26 0701 000 00600</t>
  </si>
  <si>
    <t>**Deuk Spine Institute (Dr. Deukmedjian)**</t>
  </si>
  <si>
    <t>https://physiciansimaging.com/locations/mount-dora/</t>
  </si>
  <si>
    <t>https://www.google.com/maps?q=3615+Lake+Center+Dr+Lake,+FL</t>
  </si>
  <si>
    <t>1986 State Road 19</t>
  </si>
  <si>
    <t>Wmg Acquisitions LLC</t>
  </si>
  <si>
    <t>2026 06 1000 000 00500</t>
  </si>
  <si>
    <t>https://www.google.com/maps/search/1986+State+Road+19+Tavares+FL</t>
  </si>
  <si>
    <t>2400 Hooks St</t>
  </si>
  <si>
    <t>2400 Hooks Street LLC</t>
  </si>
  <si>
    <t>2226 28 0100 000 00600</t>
  </si>
  <si>
    <t>https://www.google.com/maps?q=2400+Hooks+St+Lake,+FL</t>
  </si>
  <si>
    <t>3200 Citrus Tower Blvd</t>
  </si>
  <si>
    <t>Blue Cord Devgroup LLC</t>
  </si>
  <si>
    <t>2326 05 0050 000 01300</t>
  </si>
  <si>
    <t>https://www.va.gov/orlando-health-care/locations/clermont-va-clinic/</t>
  </si>
  <si>
    <t>https://www.google.com/maps/search/?api=1&amp;query=3200+Citrus+Tower+Blvd+Lake+FL</t>
  </si>
  <si>
    <t>141 Waterman Ave</t>
  </si>
  <si>
    <t>1927 19 1000 000 00600</t>
  </si>
  <si>
    <t>Ram Eye Care Center (Ophthalmology)</t>
  </si>
  <si>
    <t>https://www.rameyecare.com/</t>
  </si>
  <si>
    <t>https://www.google.com/maps/search/?api=1&amp;query=141+Waterman+Ave+Lake+FL</t>
  </si>
  <si>
    <t>1122 SR 434 E</t>
  </si>
  <si>
    <t>Golden Link Inv LLC</t>
  </si>
  <si>
    <t>2030 26 5AR 0B00 026C</t>
  </si>
  <si>
    <t>Smile Design Dentistry</t>
  </si>
  <si>
    <t>https://www.thesmiledesign.com/locations/winter-springs/</t>
  </si>
  <si>
    <t>https://www.google.com/maps/search/?api=1&amp;query=1122+SR+434+E+Seminole+FL</t>
  </si>
  <si>
    <t>521 SR 434 # 106 W</t>
  </si>
  <si>
    <t>2030 31 510 0100 0030</t>
  </si>
  <si>
    <t>**Orlando Health Urology**</t>
  </si>
  <si>
    <t>https://www.orlandohealth.com/</t>
  </si>
  <si>
    <t>https://www.google.com/maps/search/?api=1&amp;query=521+SR+434+%23+106+W+Seminole+FL</t>
  </si>
  <si>
    <t>521 SR 434 # 101 W</t>
  </si>
  <si>
    <t>2030 31 510 0100 06A0</t>
  </si>
  <si>
    <t>**Orlando Health General Surgery**</t>
  </si>
  <si>
    <t>https://www.google.com/maps/search/?api=1&amp;query=521+SR+434+%23+101+W+Seminole+FL</t>
  </si>
  <si>
    <t>501 SR 434 W</t>
  </si>
  <si>
    <t>2030 34 5AV 0100 00A0</t>
  </si>
  <si>
    <t>https://npiregistry.cms.hhs.gov/provider-view/1659031961</t>
  </si>
  <si>
    <t>https://www.google.com/maps/search/?api=1&amp;query=501+SR+434+W+Seminole+FL</t>
  </si>
  <si>
    <t>2127 SR 434 W</t>
  </si>
  <si>
    <t>Wmg Real Estate 4 LLC C/O Professional Resource Dev</t>
  </si>
  <si>
    <t>2129 02 300 006D 0000</t>
  </si>
  <si>
    <t>Longwood Family Dentistry</t>
  </si>
  <si>
    <t>https://longwoodfamilydentistry.com/</t>
  </si>
  <si>
    <t>https://www.google.com/maps/place/Longwood+Family+Dentistry/@28.6886786,-81.3932489,65m/data=!3m1!1e3!4m6!3m5!1s0x88e77237ac80fe1b:0xd76bec3d385b730d!8m2!3d28.688632!4d-81.393241!16s%2Fg%2F1v1kqpdt?entry=ttu&amp;g_ep=EgoyMDI2MDEyNS4wIKXMDSoASAFQAw%3D%3D</t>
  </si>
  <si>
    <t>2771 SR 434 W</t>
  </si>
  <si>
    <t>Omega Vision Investments LLC</t>
  </si>
  <si>
    <t>1985</t>
  </si>
  <si>
    <t>2129 04 300 0370 0000</t>
  </si>
  <si>
    <t>Omega Vision Center</t>
  </si>
  <si>
    <t>https://www.eyesurgeryassociatesflorida.com/</t>
  </si>
  <si>
    <t>https://www.google.com/maps/search/?api=1&amp;query=2771+SR+434+W+Seminole+FL</t>
  </si>
  <si>
    <t>2721 SR 434 W</t>
  </si>
  <si>
    <t>Witt Real Estate Holdings LLC C/O Witt Amy</t>
  </si>
  <si>
    <t>2129 04 514 0C00 0050</t>
  </si>
  <si>
    <t>**Witt Dermatology (Dr. Amy Witt)**</t>
  </si>
  <si>
    <t>https://www.derrowdermatology.com/our-office/</t>
  </si>
  <si>
    <t>https://www.google.com/maps/search/?api=1&amp;query=2721+SR+434+W+Seminole+FL</t>
  </si>
  <si>
    <t>462 Central # 1000 Pkwy W</t>
  </si>
  <si>
    <t>Kim Chiropractic Clinic Pa</t>
  </si>
  <si>
    <t>2129 10 531 0000 0010</t>
  </si>
  <si>
    <t>**Kim Chiropractic Clinic**</t>
  </si>
  <si>
    <t>https://www.carecredit.com/doctor-locator/altamonte-springs-fl/kim-chiropractic-clinic-pa-378tsf/</t>
  </si>
  <si>
    <t>https://www.google.com/maps/search/?api=1&amp;query=462+Central+%23+1000+Pkwy+W+Seminole+FL</t>
  </si>
  <si>
    <t>108 Citrus St W</t>
  </si>
  <si>
    <t>Healing Psychiatry Of Florida Inc</t>
  </si>
  <si>
    <t>2129 11 525 0000 00C0</t>
  </si>
  <si>
    <t>**Healing Psychiatry of Florida**</t>
  </si>
  <si>
    <t>https://www.healingpsychiatryflorida.com/offices/altamonte-springs/</t>
  </si>
  <si>
    <t>https://www.google.com/maps/search/?api=1&amp;query=108+Citrus+St+W+Seminole+FL</t>
  </si>
  <si>
    <t>825 Douglas Ave</t>
  </si>
  <si>
    <t>2024/03</t>
  </si>
  <si>
    <t>Buchoff Family Rev Trust</t>
  </si>
  <si>
    <t>2129 11 528 0000 0080</t>
  </si>
  <si>
    <t>https://mqa-internet.doh.state.fl.us/MQASearchServices/HealthCareProviders/Details?LicInd=25681&amp;ProCde=1501</t>
  </si>
  <si>
    <t>https://www.google.com/maps/search/?api=1&amp;query=825+Douglas+Ave+Seminole+FL</t>
  </si>
  <si>
    <t>475 Osceola # 1100 St</t>
  </si>
  <si>
    <t>Altamonte Pediatric Investors</t>
  </si>
  <si>
    <t>2129 12 517 0000 0020</t>
  </si>
  <si>
    <t>https://www.pediatricassociates.com/pediatric-office/altamonte-springs-fl-uptown</t>
  </si>
  <si>
    <t>https://www.google.com/maps/search/?api=1&amp;query=475+Osceola+%23+1100+St+Seminole+FL</t>
  </si>
  <si>
    <t>590 Palm Springs Dr</t>
  </si>
  <si>
    <t>Plaza Dental LLC</t>
  </si>
  <si>
    <t>2129 12 5BD 6900 001A</t>
  </si>
  <si>
    <t>**Plaza Dental (Dr. Efrain Plaza)**</t>
  </si>
  <si>
    <t>https://altamonte-dental-care.wheree.com/</t>
  </si>
  <si>
    <t>https://www.google.com/maps/search/?api=1&amp;query=590+Palm+Springs+Dr+Seminole+FL</t>
  </si>
  <si>
    <t>777 Altamonte # 101 Dr E</t>
  </si>
  <si>
    <t>Ccsh Properties LLC</t>
  </si>
  <si>
    <t>2129 12 5BE 0000 4130</t>
  </si>
  <si>
    <t>https://cfpphysiciansgroup.com/about-cfp/</t>
  </si>
  <si>
    <t>https://www.google.com/maps/search/?api=1&amp;query=777+Altamonte+%23+101+Dr+E+Seminole+FL</t>
  </si>
  <si>
    <t>750 Orienta Ave</t>
  </si>
  <si>
    <t>Alt Mob LLC</t>
  </si>
  <si>
    <t>2129 12 5BE 0000 4660</t>
  </si>
  <si>
    <t>https://flcancer.com/location/altamonte/</t>
  </si>
  <si>
    <t>https://www.google.com/maps/search/?api=1&amp;query=750+Orienta+Ave+Seminole+FL</t>
  </si>
  <si>
    <t>106 Boston # 100 Ave</t>
  </si>
  <si>
    <t>Geneva Altamonte LLC</t>
  </si>
  <si>
    <t>2129 12 5BE 0000 6000</t>
  </si>
  <si>
    <t>Associates in Dermatology - Altamonte Springs</t>
  </si>
  <si>
    <t>https://www.psoriasis.org/health-care-provider-directory/michael-steppie-associates-in-dermatology-altamonte-springs/</t>
  </si>
  <si>
    <t>https://www.google.com/maps/search/?api=1&amp;query=106+Boston+%23+100+Ave+Seminole+FL</t>
  </si>
  <si>
    <t>321 Maitland # 1000 Ave</t>
  </si>
  <si>
    <t>321 Maitland Avenue LLC &amp; Healthventures Etal</t>
  </si>
  <si>
    <t>2129 13 506 0E00 0050</t>
  </si>
  <si>
    <t>Kidz and Family Care LLC</t>
  </si>
  <si>
    <t>https://www.kidzandfamilykare.com/</t>
  </si>
  <si>
    <t>https://www.google.com/maps/search/?api=1&amp;query=321+Maitland+%23+1000+Ave+Seminole+FL</t>
  </si>
  <si>
    <t>661 Altamonte # 120 Dr E</t>
  </si>
  <si>
    <t>2129 13 523 0000 1200</t>
  </si>
  <si>
    <t>**AdventHealth Medical Group (Family Medicine)**</t>
  </si>
  <si>
    <t>https://www.adventhealth.com/find-doctor/doctor/john-g-durham-dpm-1235103268</t>
  </si>
  <si>
    <t>https://www.google.com/maps/search/?api=1&amp;query=661+Altamonte+%23+120+Dr+E+Seminole+FL</t>
  </si>
  <si>
    <t>661 Altamonte # 210 Dr E</t>
  </si>
  <si>
    <t>2129 13 523 0000 2100</t>
  </si>
  <si>
    <t>https://www.google.com/maps/search/?api=1&amp;query=661+Altamonte+%23+210+Dr+E+Seminole+FL</t>
  </si>
  <si>
    <t>165 Montgomery Rd</t>
  </si>
  <si>
    <t>Woke Wellness LLC</t>
  </si>
  <si>
    <t>2129 15 300 015E 0000</t>
  </si>
  <si>
    <t>Tree of Life (Birth and Gyno)</t>
  </si>
  <si>
    <t>https://www.tolbirth.com/</t>
  </si>
  <si>
    <t>https://www.google.com/maps/search/?api=1&amp;query=165+Montgomery+Rd+Seminole+FL</t>
  </si>
  <si>
    <t>640 Executive Park Ct</t>
  </si>
  <si>
    <t>2129 18 527 0000 0060</t>
  </si>
  <si>
    <t>AdventHealth Home Care (HQ/Admin)</t>
  </si>
  <si>
    <t>https://www.adventhealth.com/hospital/adventhealth-altamonte-springs/adventhealth-altamonte-springs-location-information</t>
  </si>
  <si>
    <t>https://www.google.com/maps/search/?api=1&amp;query=640+Executive+Park+Ct+Seminole+FL</t>
  </si>
  <si>
    <t>4970 US Hwy 17 92 S</t>
  </si>
  <si>
    <t>Benevolent Street LLC Attn: Vitaly Blatnoy</t>
  </si>
  <si>
    <t>2130 17 506 0D00 0040</t>
  </si>
  <si>
    <t>Orlando Dermatology Center (Dr. Blatnoy)**</t>
  </si>
  <si>
    <t>https://www.orlandodermatologycenter.com/location/casselberry-fl</t>
  </si>
  <si>
    <t>https://www.google.com/maps/search/?api=1&amp;query=4970+US+Hwy+17+92+S+Seminole+FL</t>
  </si>
  <si>
    <t>241 Obrien Rd</t>
  </si>
  <si>
    <t>Stepping Stones Behavioral Support LLC</t>
  </si>
  <si>
    <t>17</t>
  </si>
  <si>
    <t>2130 19 507 0H00 0000</t>
  </si>
  <si>
    <t>Stepping Stones Behavioral Support
Applied Behavior Analysis Therapy)</t>
  </si>
  <si>
    <t>https://www.abaorlando.com/</t>
  </si>
  <si>
    <t>https://www.google.com/maps/search/?api=1&amp;query=241+Obrien+Rd+Seminole+FL</t>
  </si>
  <si>
    <t>1008 Willa Springs Dr</t>
  </si>
  <si>
    <t>Fra Associates LLC</t>
  </si>
  <si>
    <t>2130 24 508 0000 0180</t>
  </si>
  <si>
    <t>Smile Design Willa Springs</t>
  </si>
  <si>
    <t>https://thesmiledesignwillasprings.com/make-appointment#/</t>
  </si>
  <si>
    <t>https://www.google.com/maps/search/?api=1&amp;query=1008+Willa+Springs+Dr+Seminole+FL</t>
  </si>
  <si>
    <t>1301 Sundial Pt</t>
  </si>
  <si>
    <t>Lime To Orange Obgyn LLC</t>
  </si>
  <si>
    <t>2130 24 523 0100 0000</t>
  </si>
  <si>
    <t xml:space="preserve">Optum-Tuskawilla (Family Medicine) </t>
  </si>
  <si>
    <t>https://www.healthgrades.com/group-directory/fl-florida/winter-springs/optum-tuskawilla-x3xdcn</t>
  </si>
  <si>
    <t>https://www.google.com/maps/search/?api=1&amp;query=1301+Sundial+Pt+Seminole+FL</t>
  </si>
  <si>
    <t>429 Lake Howell Rd</t>
  </si>
  <si>
    <t>Lime To Orange Dental LLC</t>
  </si>
  <si>
    <t>2130 28 300 0310 0000</t>
  </si>
  <si>
    <t>HOPE Dental Implant Center</t>
  </si>
  <si>
    <t>https://hopedentalimplantcenter.com/location</t>
  </si>
  <si>
    <t>https://www.google.com/maps/search/?api=1&amp;query=429+Lake+Howell+Rd+Seminole+FL</t>
  </si>
  <si>
    <t>252 Plaza Dr</t>
  </si>
  <si>
    <t>Mindy A Hall Liv Trust &amp; Steven M Hall S Liv Trust C/O Dr Steven Hall</t>
  </si>
  <si>
    <t>2131 09 509 0000 0100</t>
  </si>
  <si>
    <t>**Steven M. Hall, DMD (Oviedo Smiles)**</t>
  </si>
  <si>
    <t>https://www.oviedosmiles.com/our-locations</t>
  </si>
  <si>
    <t>https://www.google.com/maps/search/?api=1&amp;query=252+Plaza+Dr+Seminole+FL</t>
  </si>
  <si>
    <t>1495 Mitchell Hammock Rd E</t>
  </si>
  <si>
    <t>Oviedo Care LLC</t>
  </si>
  <si>
    <t>2131 14 511 0000 0030</t>
  </si>
  <si>
    <t>CareSpot Urgent Care (Oviedo)</t>
  </si>
  <si>
    <t>https://www.carespot.com/carespot-urgent-care/oviedo-fl/</t>
  </si>
  <si>
    <t>https://www.google.com/maps/search/?api=1&amp;query=1495+Mitchell+Hammock+Rd+E+Seminole+FL</t>
  </si>
  <si>
    <t>1445 Mitchell Hammock Rd E</t>
  </si>
  <si>
    <t>2131 14 516 0000 0020</t>
  </si>
  <si>
    <t>Oviedo Premier Dental</t>
  </si>
  <si>
    <t>https://www.dentalplans.com/dentists/florida/oviedo/32765/dr-michael-simpson-13713/</t>
  </si>
  <si>
    <t>https://www.google.com/maps/search/?api=1&amp;query=1445+Mitchell+Hammock+Rd+E+Seminole+FL</t>
  </si>
  <si>
    <t>784 Central Ave S</t>
  </si>
  <si>
    <t>Oviedo Pharmacy And Drug Store LLC</t>
  </si>
  <si>
    <t>2131 15 300 0630 0000</t>
  </si>
  <si>
    <t>https://business.owsrcc.org/list/member/pharmacy-on-the-park-6201.htm</t>
  </si>
  <si>
    <t>https://www.google.com/maps/search/?api=1&amp;query=784+Central+Ave+S+Seminole+FL</t>
  </si>
  <si>
    <t>1000 Executive Dr</t>
  </si>
  <si>
    <t>1000 Executive Dr LLC</t>
  </si>
  <si>
    <t>2131 16 513 0000 0010</t>
  </si>
  <si>
    <t>**Modern Foot &amp; Ankle**</t>
  </si>
  <si>
    <t>https://modern-foot-and-ankle-3.wheree.com/</t>
  </si>
  <si>
    <t>https://www.google.com/maps/search/?api=1&amp;query=1000+Executive+Dr+Seminole+FL</t>
  </si>
  <si>
    <t>872 Executive Dr</t>
  </si>
  <si>
    <t>Dadbod Med Holdings LLC</t>
  </si>
  <si>
    <t>2131 16 513 0000 0040</t>
  </si>
  <si>
    <t>Family Tree Primary Care</t>
  </si>
  <si>
    <t>https://www.familytreeprimarycare.com/</t>
  </si>
  <si>
    <t>https://www.google.com/maps/search/?api=1&amp;query=872+Executive+Dr+Seminole+FL</t>
  </si>
  <si>
    <t>816 Executive Dr</t>
  </si>
  <si>
    <t>Mombodmed Holdings LLC</t>
  </si>
  <si>
    <t>2131 16 513 0000 0110</t>
  </si>
  <si>
    <t>https://www.google.com/maps/search/?api=1&amp;query=816+Executive+Dr+Seminole+FL</t>
  </si>
  <si>
    <t>997 Broadway St W</t>
  </si>
  <si>
    <t>Sunbird Endodontic Associates Pllc</t>
  </si>
  <si>
    <t>2131 16 514 0A02 0000</t>
  </si>
  <si>
    <t>Oviedo Endodontics</t>
  </si>
  <si>
    <t>https://www.oviedoendo.com/contact-us/</t>
  </si>
  <si>
    <t>https://www.google.com/maps/search/?api=1&amp;query=997+Broadway+St+W+Seminole+FL</t>
  </si>
  <si>
    <t>658 Oviedo Medical Dr</t>
  </si>
  <si>
    <t>Mmof IV Mid Fl Portfolio LLC C/O Ryan LLC</t>
  </si>
  <si>
    <t>2131 16 5CA 0000 120A</t>
  </si>
  <si>
    <t>https://www.orlandohealth.com/physician-finder/alan-r-forbes-md</t>
  </si>
  <si>
    <t>https://www.google.com/maps/search/?api=1&amp;query=658+Oviedo+Medical+Dr+Seminole+FL</t>
  </si>
  <si>
    <t>7560 Red Bug Lake # 1014 Rd</t>
  </si>
  <si>
    <t>Benevolent Street LLC C/O Vitaly Blatnoy</t>
  </si>
  <si>
    <t>2131 20 506 0000 1014</t>
  </si>
  <si>
    <t>Orlando Dermatology Center</t>
  </si>
  <si>
    <t>https://www.orlandodermatologycenter.com/location/oviedo-fl</t>
  </si>
  <si>
    <t>https://www.google.com/maps/search/?api=1&amp;query=7560+Red+Bug+Lake+%23+1014+Rd+Seminole+FL</t>
  </si>
  <si>
    <t>7560 Red Bug Lake # 1080 Rd</t>
  </si>
  <si>
    <t>2022/02</t>
  </si>
  <si>
    <t>Healthshare LLC</t>
  </si>
  <si>
    <t>2131 20 506 0000 1080</t>
  </si>
  <si>
    <t>**HealthShare / Med-Surg Aesthetics**</t>
  </si>
  <si>
    <t>https://www.loopnet.com/Listing/7560-Red-Bug-Lake-Rd-Oviedo-FL/4491979/</t>
  </si>
  <si>
    <t>https://www.google.com/maps/search/?api=1&amp;query=7560+Red+Bug+Lake+%23+1080+Rd+Seminole+FL</t>
  </si>
  <si>
    <t>7560 Red Bug Lake # 2084 Rd</t>
  </si>
  <si>
    <t>7560 Red Bug Lake Road LLC</t>
  </si>
  <si>
    <t>2131 20 506 0000 2084</t>
  </si>
  <si>
    <t>https://www.loopnet.com/Listing/7560-Red-Bug-Lake-Rd-Oviedo-FL/38255170/</t>
  </si>
  <si>
    <t>https://www.google.com/maps/search/?api=1&amp;query=7560+Red+Bug+Lake+%23+2084+Rd+Seminole+FL</t>
  </si>
  <si>
    <t>https://www.scpafl.org/search/parcels/details/?APPRID=5277022</t>
  </si>
  <si>
    <t>425 Alexandria Blvd</t>
  </si>
  <si>
    <t>R &amp; M Oviedo Property LLC</t>
  </si>
  <si>
    <t>2131 22 511 0000 0070</t>
  </si>
  <si>
    <t>Complete Care Oviedo</t>
  </si>
  <si>
    <t>https://www.complete-care.com/locations/complete-care-oviedo/</t>
  </si>
  <si>
    <t>https://www.google.com/maps/search/?api=1&amp;query=425+Alexandria+Blvd+Seminole+FL</t>
  </si>
  <si>
    <t>4800 Apopka Vineland Rd S</t>
  </si>
  <si>
    <t>2020/03</t>
  </si>
  <si>
    <t>Grand Land Trust Nataraja Management LLC Trustee</t>
  </si>
  <si>
    <t>2328 16 0000 00 011</t>
  </si>
  <si>
    <t>https://www.google.com/maps/search/4800+Apopka+Vineland+Rd+S,+FL</t>
  </si>
  <si>
    <t>1221 Fairbanks Av W</t>
  </si>
  <si>
    <t>Murphy Holdings LLC</t>
  </si>
  <si>
    <t>2229 03 1000 00 060</t>
  </si>
  <si>
    <t xml:space="preserve">Medi-Weightloss Center Winter Park </t>
  </si>
  <si>
    <t>https://mediweightloss.com/weight-loss-clinic/winterpark/</t>
  </si>
  <si>
    <t>https://www.google.com/maps/search/1221+Fairbanks+Av+W,+FL</t>
  </si>
  <si>
    <t>1788 Fairbanks Av W</t>
  </si>
  <si>
    <t>Anafais Holdings LLC</t>
  </si>
  <si>
    <t>1952</t>
  </si>
  <si>
    <t>2229 12 5000 04 011</t>
  </si>
  <si>
    <t>Flourish Clinical Research</t>
  </si>
  <si>
    <t>https://flourishresearch.com/locations/orlando/</t>
  </si>
  <si>
    <t>https://www.google.com/maps/search/1788+Fairbanks+Av+W+Orange+FL</t>
  </si>
  <si>
    <t>1492 Fairbanks Av W</t>
  </si>
  <si>
    <t>1492 W Fairbanks LLC</t>
  </si>
  <si>
    <t>2229 12 5004 02 010</t>
  </si>
  <si>
    <t>Dr. Kapil Saigal</t>
  </si>
  <si>
    <t>https://www.google.com/maps/search/1492+Fairbanks+Av+W+Orange+FL</t>
  </si>
  <si>
    <t>1014 North Blvd</t>
  </si>
  <si>
    <t>2020/01</t>
  </si>
  <si>
    <t>Laurencia C Unanue Credit Shel</t>
  </si>
  <si>
    <t>1924 25 0700 00B 00300</t>
  </si>
  <si>
    <t xml:space="preserve">Class C Medical </t>
  </si>
  <si>
    <t>https://www.loopnet.com/Listing/1014-E-North-Blvd-Leesburg-FL/5024368/</t>
  </si>
  <si>
    <t>https://www.google.com/maps?q=1014+North+Blvd+Lake,+FL</t>
  </si>
  <si>
    <t>2744 N Orange Blossom Trl</t>
  </si>
  <si>
    <t>Kind Ventures LLC</t>
  </si>
  <si>
    <t>2529 10 0000 0160 0000</t>
  </si>
  <si>
    <t>Mayfair Pet Hospital (Veterinary)</t>
  </si>
  <si>
    <t>https://mayfairpetvets.com/</t>
  </si>
  <si>
    <t>https://www.google.com/maps/search/2744+N+Orange+Blossom+Trl+Osceola+FL</t>
  </si>
  <si>
    <t>1513 N Main St</t>
  </si>
  <si>
    <t>Beaudry Animal Clinic LLC</t>
  </si>
  <si>
    <t>2529 15 1350 00SL 0010</t>
  </si>
  <si>
    <t>Beaudry Animal Hospital /Osceola Animal Clinic (Veterinary)</t>
  </si>
  <si>
    <t>https://osceolaanimalclinic.com/</t>
  </si>
  <si>
    <t>https://www.google.com/maps/search/1513+N+Main+St+Osceola+FL</t>
  </si>
  <si>
    <t>129 Bellagio Cir</t>
  </si>
  <si>
    <t>1930 28 520 0000 0270</t>
  </si>
  <si>
    <t>http://www.townecenteranimalhospital.com/</t>
  </si>
  <si>
    <t>https://maps.google.com/?cid=12525815501440194295&amp;g_mp=Cidnb29nbGUubWFwcy5wbGFjZXMudjEuUGxhY2VzLlNlYXJjaFRleHQ</t>
  </si>
  <si>
    <t>1645 Ee Williamson Rd</t>
  </si>
  <si>
    <t>J H First Enterprises LLC</t>
  </si>
  <si>
    <t>1902</t>
  </si>
  <si>
    <t>2029 35 501 0000 003C</t>
  </si>
  <si>
    <t>Markham Woods Animal Hospital (Veterinary)</t>
  </si>
  <si>
    <t>https://www.markhamwoodsanimalhospital.com/</t>
  </si>
  <si>
    <t>https://www.google.com/maps?q=1645+Ee+Williamson+Rd+Seminole,+FL</t>
  </si>
  <si>
    <t>2610 Orlando Dr</t>
  </si>
  <si>
    <t>South Orlando Drive Land Holding LLC</t>
  </si>
  <si>
    <t>2030 01 504 1800 0110</t>
  </si>
  <si>
    <t>Sanford Animal Hospital (Veterinary)</t>
  </si>
  <si>
    <t>https://www.loopnet.com/Listing/2670-2690-S-Orlando-Dr-Sanford-FL/35204476/</t>
  </si>
  <si>
    <t>https://www.google.com/maps?q=2610+Orlando+Dr+Seminole,+FL</t>
  </si>
  <si>
    <t>2889 Lake Mary Blvd W</t>
  </si>
  <si>
    <t>2889 W Lake Mary Blvd LLC</t>
  </si>
  <si>
    <t>2030 16 523 0000 0010</t>
  </si>
  <si>
    <t>Lake Mary Veterinary Clinic (Veterinary)</t>
  </si>
  <si>
    <t>https://lakemaryvetclinic.com/</t>
  </si>
  <si>
    <t>https://www.google.com/maps?q=2889+Lake+Mary+Blvd+W+Seminole,+FL</t>
  </si>
  <si>
    <t>1603 Main St E</t>
  </si>
  <si>
    <t>Leesburg 441 Animal Hospital L</t>
  </si>
  <si>
    <t>1946</t>
  </si>
  <si>
    <t>1925 30 0002 000 02700</t>
  </si>
  <si>
    <t>Leesburg 441 Animal Hospital (Veterinary)</t>
  </si>
  <si>
    <t>https://www.myfloridalicense.com/LicenseDetail.asp?SID=&amp;id=846B397AAE6BE1ADC895273DC593ED1F</t>
  </si>
  <si>
    <t>https://www.google.com/maps?q=1603+E+Main+St,+Leesburg,+FL</t>
  </si>
  <si>
    <t>601 Grove St N</t>
  </si>
  <si>
    <t>2021/08</t>
  </si>
  <si>
    <t>Living Angels LLC</t>
  </si>
  <si>
    <t>1975</t>
  </si>
  <si>
    <t>1926 02 0100 00C 00400</t>
  </si>
  <si>
    <t>Daisy's Physical Therapy 
+Wellness Center</t>
  </si>
  <si>
    <t>https://www.daisysphysicaltherapy.com/</t>
  </si>
  <si>
    <t>https://www.google.com/maps?q=601+Grove+St+N+Lake,+FL</t>
  </si>
  <si>
    <t>212 SR 434 E</t>
  </si>
  <si>
    <t>Longwood Vet Properties LLC</t>
  </si>
  <si>
    <t>1922</t>
  </si>
  <si>
    <t>2130 05 300 003B 0000</t>
  </si>
  <si>
    <t>Loving Hearts Pet Hospital</t>
  </si>
  <si>
    <t>google.com/url?url=http%3A%2F%2Fwww.lovingheartspethospital.com%2F&amp;sa=t&amp;rct=j&amp;source=maps&amp;usg=AOvVaw3r9J4bidhLidNYXof3CC-y&amp;ved=1i%3A20%2Ct%3A3443%2Ce%3A14%2Cp%3ATFmFaceUN_XW5NoPjsbYuQ0%3A32</t>
  </si>
  <si>
    <t>https://www.google.com/maps/search/?api=1&amp;query=212+SR+434+E+Seminole+FL</t>
  </si>
  <si>
    <t>3352 US Hwy 17 92 S</t>
  </si>
  <si>
    <t>Casselberry Vec LLC</t>
  </si>
  <si>
    <t>2130 08 510 EA00 0200</t>
  </si>
  <si>
    <t>Veterinary Emergency Clinic of Central Florida</t>
  </si>
  <si>
    <t>https://veconline.com/locations/casselberry/</t>
  </si>
  <si>
    <t>https://www.google.com/maps/search/?api=1&amp;query=3352+US+Hwy+17+92+S+Seminole+FL</t>
  </si>
  <si>
    <t>1475 Mitchell Hammock Rd E</t>
  </si>
  <si>
    <t>Page Dvm Inc</t>
  </si>
  <si>
    <t>2131 14 511 0000 0010</t>
  </si>
  <si>
    <t>Shaffer Animal Hospital</t>
  </si>
  <si>
    <t>https://https://shafferah.com/.com/</t>
  </si>
  <si>
    <t>https://www.google.com/maps/search/?api=1&amp;query=1475+Mitchell+Hammock+Rd+E+Seminole+FL</t>
  </si>
  <si>
    <t>10131 Colonial Dr W</t>
  </si>
  <si>
    <t>West Orange Holdings LLC</t>
  </si>
  <si>
    <t>2228 20 0000 00 051</t>
  </si>
  <si>
    <t>Multi-Tenant Medical</t>
  </si>
  <si>
    <t>**West Orange Professional Center**</t>
  </si>
  <si>
    <t>https://www.google.com/maps/search/10131+Colonial+Dr+W,+FL</t>
  </si>
  <si>
    <t>1701 Park Center Dr</t>
  </si>
  <si>
    <t>Sienna Gardens LLC</t>
  </si>
  <si>
    <t>ORLO2</t>
  </si>
  <si>
    <t>2228 36 5621 00 020</t>
  </si>
  <si>
    <t>Sienna Gardens Park Center at Metro West (Medical &amp; Office)</t>
  </si>
  <si>
    <t>https://www.google.com/maps/search/1701+Park+Center+Dr,+FL</t>
  </si>
  <si>
    <t>1781 Park Center Dr</t>
  </si>
  <si>
    <t>Vpu Metrowest LLC</t>
  </si>
  <si>
    <t>2328 01 5612 00 010</t>
  </si>
  <si>
    <t>Metrowest Medical Center</t>
  </si>
  <si>
    <t>https://www.google.com/maps/search/1781+Park+Center+Dr,+FL</t>
  </si>
  <si>
    <t>1743 Park Center Dr</t>
  </si>
  <si>
    <t>Rumasa Corp</t>
  </si>
  <si>
    <t>2328 01 6520 00 010</t>
  </si>
  <si>
    <t>La Palma of Park Place (Complete Care / Caring Heart)</t>
  </si>
  <si>
    <t>https://www.google.com/maps/search/1743+Park+Center+Dr,+FL</t>
  </si>
  <si>
    <t>1101 Maitland Av N</t>
  </si>
  <si>
    <t>Maitland Surgery Center LLC</t>
  </si>
  <si>
    <t>2129 25 0000 00 005</t>
  </si>
  <si>
    <t>Eastham Medical Center</t>
  </si>
  <si>
    <t>https://www.google.com/maps/search/1101+Maitland+Av+N,+FL</t>
  </si>
  <si>
    <t>790 Concourse Pk</t>
  </si>
  <si>
    <t>Flagship Concourse Maitland LLC Attn: Asset Manager</t>
  </si>
  <si>
    <t>2129 25 5489 00 040</t>
  </si>
  <si>
    <t>Maitland Medical Center</t>
  </si>
  <si>
    <t>https://www.google.com/maps/search/790+Concourse+Pk,+FL</t>
  </si>
  <si>
    <t>780 Concourse Pk</t>
  </si>
  <si>
    <t>2129 25 5489 00 050</t>
  </si>
  <si>
    <t>https://www.google.com/maps/search/780+Concourse+Pk,+FL</t>
  </si>
  <si>
    <t>770 Concourse Pk</t>
  </si>
  <si>
    <t>2129 25 5489 00 060</t>
  </si>
  <si>
    <t>https://www.google.com/maps/search/770+Concourse+Pk,+FL</t>
  </si>
  <si>
    <t>750 Concourse Pk</t>
  </si>
  <si>
    <t>2129 25 5489 00 070</t>
  </si>
  <si>
    <t>https://www.google.com/maps/search/750+Concourse+Pk,+FL</t>
  </si>
  <si>
    <t>341 Maitland Av N</t>
  </si>
  <si>
    <t>Pango Maitland LLC</t>
  </si>
  <si>
    <t>2129 25 7216 00 401</t>
  </si>
  <si>
    <t>341 N. Maitland Medical Center</t>
  </si>
  <si>
    <t>https://www.google.com/maps/search/341+Maitland+Av+N,+FL</t>
  </si>
  <si>
    <t>1400 Orlando Av S</t>
  </si>
  <si>
    <t>1400 Winter Park LLC</t>
  </si>
  <si>
    <t>2229 12 2932 03 120</t>
  </si>
  <si>
    <t xml:space="preserve">Winter Park Medical Building </t>
  </si>
  <si>
    <t>https://www.google.com/maps/search/1400+Orlando+Av+S+Orange+FL</t>
  </si>
  <si>
    <t>126 Colonial Dr E</t>
  </si>
  <si>
    <t>126 E Colonial LLC</t>
  </si>
  <si>
    <t>ORLO3/</t>
  </si>
  <si>
    <t>2229 25 5064 00 240</t>
  </si>
  <si>
    <t>**Colonial Marketplace (Lifetime Eyecare)**</t>
  </si>
  <si>
    <t>https://www.google.com/maps/search/126+Colonial+Dr+E+Orange+FL</t>
  </si>
  <si>
    <t>1071 Sun Dr S</t>
  </si>
  <si>
    <t>Surya Group LLC</t>
  </si>
  <si>
    <t>2030 18 520 0700 0000</t>
  </si>
  <si>
    <t>**Regal Pointe (Urology Wellness / Magruder Laser)**</t>
  </si>
  <si>
    <t>https://www.google.com/maps?q=1071+Sun+Dr+S+Seminole,+FL</t>
  </si>
  <si>
    <t>1298 Minnesota Av</t>
  </si>
  <si>
    <t>Hammerman Elle L &amp; Sumanas Raimonda</t>
  </si>
  <si>
    <t>2229 12 0980 00 110</t>
  </si>
  <si>
    <t>Class C Medical Park</t>
  </si>
  <si>
    <t>https://www.google.com/maps/search/1298+Minnesota+Av+Orange+FL</t>
  </si>
  <si>
    <t>1511 SR 434 # 1001 E</t>
  </si>
  <si>
    <t>Sovereign Capital LLC</t>
  </si>
  <si>
    <t>1803</t>
  </si>
  <si>
    <t>2031 31 5BB 0000 019F</t>
  </si>
  <si>
    <t>Vistawilla Office Center</t>
  </si>
  <si>
    <t>https://www.loopnet.com/Listing/1511-E-State-Road-434-Winter-Springs-FL/35618226/</t>
  </si>
  <si>
    <t>https://www.google.com/maps/search/?api=1&amp;query=1511+SR+434+%23+1001+E+Seminole+FL</t>
  </si>
  <si>
    <t>7208 Sand Lake Rd W</t>
  </si>
  <si>
    <t>Rockton Riverview LLC</t>
  </si>
  <si>
    <t>2328 35 0000 00 010</t>
  </si>
  <si>
    <t>7208 Sand Lake - Office Complex</t>
  </si>
  <si>
    <t>https://www.google.com/maps/search/7208+Sand+Lake+Rd+W,+FL</t>
  </si>
  <si>
    <t>1615 Edgewater Dr</t>
  </si>
  <si>
    <t>Jtr Poinciana Holdings LLC</t>
  </si>
  <si>
    <t>2229 23 0166 00 090</t>
  </si>
  <si>
    <t>Non-Medical</t>
  </si>
  <si>
    <t>Law offices</t>
  </si>
  <si>
    <t>https://www.google.com/maps/search/1615+Edgewater+Dr+Orange+FL</t>
  </si>
  <si>
    <t>815 Mabbette St, #202</t>
  </si>
  <si>
    <t>Spur Development LLC</t>
  </si>
  <si>
    <t>1811</t>
  </si>
  <si>
    <t>2529 21 1662 0001 0010</t>
  </si>
  <si>
    <t>https://www.google.com/maps/search/815+Mabbette+St+Osceola+FL</t>
  </si>
  <si>
    <t>601 Dog Track Rd</t>
  </si>
  <si>
    <t>2130 05 518 0000 014E</t>
  </si>
  <si>
    <t>PeopleReady (Staffing)</t>
  </si>
  <si>
    <t>https://www.peopleready.com/location/orlando-fl-7233/</t>
  </si>
  <si>
    <t>https://www.google.com/maps/search/?api=1&amp;query=601+Dog+Track+Rd+Seminole+FL</t>
  </si>
  <si>
    <t>12100 Colonial Dr W</t>
  </si>
  <si>
    <t>Psb Winter Garden Holdings LLC</t>
  </si>
  <si>
    <t>2227 25 0000 00 054</t>
  </si>
  <si>
    <t>PetSuites Winter Garden (Veterinary)</t>
  </si>
  <si>
    <t>https://www.google.com/maps/search/12100+Colonial+Dr+W,+FL</t>
  </si>
  <si>
    <t>1460 Minnesota Av</t>
  </si>
  <si>
    <t>Winter Office Holding LLC</t>
  </si>
  <si>
    <t>2229 12 6624 02 040</t>
  </si>
  <si>
    <t>Rowlando &amp; Company</t>
  </si>
  <si>
    <t>https://www.loopnet.com/Listing/1460-Minnesota-Ave-Winter-Park-FL/34023170/</t>
  </si>
  <si>
    <t>https://www.google.com/maps/search/1460+Minnesota+Av+Orange+FL</t>
  </si>
  <si>
    <t>1321 Edgewater Dr</t>
  </si>
  <si>
    <t>Marleon Properties LLC</t>
  </si>
  <si>
    <t>1953</t>
  </si>
  <si>
    <t>2229 23 0012 01 010</t>
  </si>
  <si>
    <t>https://bungalower.com/2025/06/16/flow-haus-yoga-opens-in-college-park-with-a-whole-new-vibe-and-more-to-come/</t>
  </si>
  <si>
    <t>https://www.google.com/maps/search/1321+Edgewater+Dr+Orange+FL</t>
  </si>
  <si>
    <t>111 Magnolia Ave W</t>
  </si>
  <si>
    <t>Magnolia Yoga &amp; Wellness Center LLC</t>
  </si>
  <si>
    <t>1802</t>
  </si>
  <si>
    <t>2030 31 5AU 0000 3770</t>
  </si>
  <si>
    <t>Magnolia Yoga &amp; Wellness Center</t>
  </si>
  <si>
    <t>https://www.google.com/maps/search/?api=1&amp;query=111+Magnolia+Ave+W+Seminole+FL</t>
  </si>
  <si>
    <t>3116 Washington St</t>
  </si>
  <si>
    <t>Zellwood Dental Real Estate Holdings</t>
  </si>
  <si>
    <t>2027 22 2736 10 043</t>
  </si>
  <si>
    <t>Residential Investment (Zellwood Dental Holdings)</t>
  </si>
  <si>
    <t>https://www.homes.com/property/3116-e-washington-st-orlando-fl/wjrj4hhtq0pl4/</t>
  </si>
  <si>
    <t>https://www.google.com/maps/search/3116+Washington+St,+FL</t>
  </si>
  <si>
    <t>400 Park Av N</t>
  </si>
  <si>
    <t>2025/02</t>
  </si>
  <si>
    <t>Marc Properties Lllp</t>
  </si>
  <si>
    <t>2128 04 2204 04 110</t>
  </si>
  <si>
    <t>Apopka Cheif</t>
  </si>
  <si>
    <t>https://www.google.com/maps/place/The+Apopka+Chief/@28.6858866,-81.5094495,3a,75y,259.52h,93.25t/data=!3m7!1e1!3m5!1spgbMU3RtXAFgivJ1cywkrQ!2e0!6shttps:%2F%2Fstreetviewpixels-pa.googleapis.com%2Fv1%2Fthumbnail%3Fcb_client%3Dmaps_sv.tactile%26w%3D900%26h%3D600%26pitch%3D-3.247669854686251%26panoid%3DpgbMU3RtXAFgivJ1cywkrQ%26yaw%3D259.5246747376673!7i16384!8i8192!4m16!1m9!3m8!1s0x88e7760750c4eb55:0xbbbdd437c178a2ea!2s400+N+Park+Ave,+Apopka,+FL+32712!3b1!8m2!3d28.6858038!4d-81.5097155!10e5!16s%2Fg%2F11bw404sf0!3m5!1s0x88e79dfbdc8ce6df:0x194d4eeb9f1befe3!8m2!3d28.6858059!4d-81.5097369!16s%2Fg%2F1tdzmcr2?entry=ttu&amp;g_ep=EgoyMDI2MDEyNS4wIKXMDSoASAFQAw%3D%3D</t>
  </si>
  <si>
    <t>172 4th St W</t>
  </si>
  <si>
    <t>Ann U Carr Trust Ann U Carr Trustee</t>
  </si>
  <si>
    <t>2128 09 0196 40 040</t>
  </si>
  <si>
    <t>Soutland Constuction</t>
  </si>
  <si>
    <t>https://www.southlandconstruction.com/</t>
  </si>
  <si>
    <t>https://www.google.com/maps/search/172+4th+St+W,+FL</t>
  </si>
  <si>
    <t>221 Main St E</t>
  </si>
  <si>
    <t>Rodriguez Rosa E</t>
  </si>
  <si>
    <t>2128 10 0198 32 851</t>
  </si>
  <si>
    <t>https://www.loopnet.com/Listing/221-E-Main-St-Apopka-FL/33041684/</t>
  </si>
  <si>
    <t>https://www.google.com/maps/search/221+Main+St+E,+FL</t>
  </si>
  <si>
    <t>6416 Old Winter Garden Rd</t>
  </si>
  <si>
    <t>Maxed Orlando Properties LLC</t>
  </si>
  <si>
    <t>2228 36 6416 03 020</t>
  </si>
  <si>
    <t>Herff Jones Orlando</t>
  </si>
  <si>
    <t>https://hjproud.com/</t>
  </si>
  <si>
    <t>https://www.google.com/maps/search/6416+Old+Winter+Garden+Rd,+FL</t>
  </si>
  <si>
    <t>600 Wilkinson St</t>
  </si>
  <si>
    <t>1961</t>
  </si>
  <si>
    <t>2229 12 6432 16 002</t>
  </si>
  <si>
    <t>https://www.adventhealth.com/hospital/adventhealth-winter-park</t>
  </si>
  <si>
    <t>https://www.google.com/maps/search/600+Wilkinson+St+Orange+FL</t>
  </si>
  <si>
    <t>723 Virginia Dr</t>
  </si>
  <si>
    <t>Radiance Health Rx LLC</t>
  </si>
  <si>
    <t>2229 13 9429 02 310</t>
  </si>
  <si>
    <t>**Radiance Health Rx (Pharmacy &amp; Wellness)**</t>
  </si>
  <si>
    <t>https://www.wellrx.com/find-a-pharmacy-near-me/pharmacydetail/radiance%20health%20rx/5739771/</t>
  </si>
  <si>
    <t>https://vgispublic.ocpafl.org/webmapjs/?pid=292213942902310</t>
  </si>
  <si>
    <t>1501 Colonial Dr W</t>
  </si>
  <si>
    <t>Dydrian Company LLC</t>
  </si>
  <si>
    <t>2229 22 1784 02 010</t>
  </si>
  <si>
    <t>**Lyon Counseling**</t>
  </si>
  <si>
    <t>https://lyoncounseling.care/therapist/</t>
  </si>
  <si>
    <t>https://www.google.com/maps/search/1501+Colonial+Dr+W+Orange+FL</t>
  </si>
  <si>
    <t>3298 Greenwald Way N</t>
  </si>
  <si>
    <t>Kissimmee Medical Properties Lp</t>
  </si>
  <si>
    <t>2529 03 4591 0001 0020</t>
  </si>
  <si>
    <t xml:space="preserve">Retail Center </t>
  </si>
  <si>
    <t>https://www.zillow.com/homedetails/3288-Greenwald-Way-N-Kissimmee-FL-34741/447726131_zpid/</t>
  </si>
  <si>
    <t>https://www.google.com/maps/search/3298+Greenwald+Way+N+Osceola+FL</t>
  </si>
  <si>
    <t>811 N Central Ave, #A</t>
  </si>
  <si>
    <t>Azul Kissimmee LLC</t>
  </si>
  <si>
    <t>2529 22 1795 0001 0010</t>
  </si>
  <si>
    <t>Azul Mental Health (Counseling)</t>
  </si>
  <si>
    <t>https://www.ppbh.org/</t>
  </si>
  <si>
    <t>https://www.google.com/maps/search/811+N+Central+Ave+Osceola+FL</t>
  </si>
  <si>
    <t>1043 S Bass Rd</t>
  </si>
  <si>
    <t>Viraj Holdings Mo LLC</t>
  </si>
  <si>
    <t>2529 30 0000 0083 0000</t>
  </si>
  <si>
    <t>Bass Pet Resort</t>
  </si>
  <si>
    <t>https://www.basspetresort.com/about-us/location/</t>
  </si>
  <si>
    <t>https://www.google.com/maps?q=1043+S+Bass+Rd+Osceola,+FL</t>
  </si>
  <si>
    <t>1525 International # 1011 Pkw</t>
  </si>
  <si>
    <t>Park Place Condos III LLC</t>
  </si>
  <si>
    <t>2030 06 516 0000 1011</t>
  </si>
  <si>
    <t>Law Firm</t>
  </si>
  <si>
    <t>https://www.cipparonepa.com/</t>
  </si>
  <si>
    <t>https://www.google.com/maps?q=1525+International+%231011+Pkw+Seminole,+FL</t>
  </si>
  <si>
    <t>731 Ciara Creek Cv</t>
  </si>
  <si>
    <t>Fhl Holdings LLC</t>
  </si>
  <si>
    <t>2030 20 513 0000 7310</t>
  </si>
  <si>
    <t>https://www.loopnet.com/Listing/731-Ciara-Creek-Cv-Longwood-FL/22246283/</t>
  </si>
  <si>
    <t>https://www.google.com/maps?q=731+Ciara+Creek+Cv+Seminole,+FL</t>
  </si>
  <si>
    <t>521 SR 434 # 201 W</t>
  </si>
  <si>
    <t>Fontaine Investment Group LLC C/O Fontaine Marcus</t>
  </si>
  <si>
    <t>2030 31 510 0200 0050</t>
  </si>
  <si>
    <t xml:space="preserve">Impresiv Health (Healthcare Consultuing) </t>
  </si>
  <si>
    <t>https://blog.impresivhealth.com/</t>
  </si>
  <si>
    <t>317 Northlake # 1000 Blvd</t>
  </si>
  <si>
    <t>Acc Northlake Property LLC</t>
  </si>
  <si>
    <t>1702</t>
  </si>
  <si>
    <t>2129 14 502 0000 0040</t>
  </si>
  <si>
    <t>https://myfavoritetherapists.com/altamonte-springs-center/</t>
  </si>
  <si>
    <t>https://www.google.com/maps/search/?api=1&amp;query=317+Northlake+%23+1000+Blvd+Seminole+FL</t>
  </si>
  <si>
    <t>242 Westmonte # 210 Dr N</t>
  </si>
  <si>
    <t>Altamonte Springs Florida LLC</t>
  </si>
  <si>
    <t>2129 14 510 0A00 0150</t>
  </si>
  <si>
    <t>https://tcd-usa.com/contact/</t>
  </si>
  <si>
    <t>https://www.google.com/maps/search/?api=1&amp;query=242+Westmonte+%23+210+Dr+N+Seminole+FL</t>
  </si>
  <si>
    <t>370 Northlake # 1000 Blvd</t>
  </si>
  <si>
    <t>Wmgs Northlake Owner LLC</t>
  </si>
  <si>
    <t>2129 23 300 0030 0000</t>
  </si>
  <si>
    <t>https://www.google.com/maps/search/?api=1&amp;query=370+Northlake+%23+1000+Blvd+Seminole+FL</t>
  </si>
  <si>
    <t>988 Westwood Sq</t>
  </si>
  <si>
    <t>The Acam Building LLC</t>
  </si>
  <si>
    <t>2131 16 300 033E 0000</t>
  </si>
  <si>
    <t>https://www.bbb.org/us/fl/grove-city/category/acupressure</t>
  </si>
  <si>
    <t>https://www.google.com/maps/search/?api=1&amp;query=988+Westwood+Sq+Seminole+FL</t>
  </si>
  <si>
    <t>800 Executive Dr</t>
  </si>
  <si>
    <t>Carad Holdings LLC</t>
  </si>
  <si>
    <t>2131 16 513 0000 0130</t>
  </si>
  <si>
    <t>Tower Law Group</t>
  </si>
  <si>
    <t>https://www.towerlawgroup.com/find-us</t>
  </si>
  <si>
    <t>https://www.google.com/maps/search/?api=1&amp;query=800+Executive+Dr+Seminole+FL</t>
  </si>
  <si>
    <t>855 Dillard St S</t>
  </si>
  <si>
    <t>American Jiedigrow Forestry Inc</t>
  </si>
  <si>
    <t>2227 12 6496 21 008</t>
  </si>
  <si>
    <t>American Jiedigrow Forestry</t>
  </si>
  <si>
    <t>https://www.google.com/search?q=855+Dillard+St+S+Orange+County+FL</t>
  </si>
  <si>
    <t>https://www.google.com/maps/search/855+Dillard+St+S,+FL</t>
  </si>
  <si>
    <t>12324 Colonial Dr W</t>
  </si>
  <si>
    <t>12324 W Colonial LLC</t>
  </si>
  <si>
    <t>2227 12 6496 24 011</t>
  </si>
  <si>
    <t>Vacant / New Development (For Lease)</t>
  </si>
  <si>
    <t>https://www.londonfoster.com/public/properties/winter-garden-12324-mls-o6264561</t>
  </si>
  <si>
    <t>https://www.google.com/maps/search/12324+Colonial+Dr+W,+FL</t>
  </si>
  <si>
    <t>330 East Crown Point Rd</t>
  </si>
  <si>
    <t>Storage Cap Winter Garden Office Lp</t>
  </si>
  <si>
    <t>2016</t>
  </si>
  <si>
    <t>2227 13 0895 00 020</t>
  </si>
  <si>
    <t>Store Space Self Storage</t>
  </si>
  <si>
    <t>https://www.storespace.com/contact-store-space</t>
  </si>
  <si>
    <t>https://www.google.com/maps/search/330+East+Crown+Point+Rd,+FL</t>
  </si>
  <si>
    <t>1133 Crown Park Ci</t>
  </si>
  <si>
    <t>Boyd Consulting Inc</t>
  </si>
  <si>
    <t>WGI2</t>
  </si>
  <si>
    <t>2227 13 1810 00 150</t>
  </si>
  <si>
    <t>For Lease / Vacant Office</t>
  </si>
  <si>
    <t>https://www.lee-associates.com/properties/?propertyId=1079286-lease</t>
  </si>
  <si>
    <t>https://www.google.com/maps/search/1133+Crown+Park+Ci,+FL</t>
  </si>
  <si>
    <t>855 Plant St E</t>
  </si>
  <si>
    <t>Sar Winter Orl LLC</t>
  </si>
  <si>
    <t>2227 14 1944 00 006</t>
  </si>
  <si>
    <t>Discover Preschool</t>
  </si>
  <si>
    <t>https://thediscoverpreschool.com/contact/</t>
  </si>
  <si>
    <t>https://www.google.com/maps/search/855+Plant+St+E,+FL</t>
  </si>
  <si>
    <t>2 Oakland Av W</t>
  </si>
  <si>
    <t>2 West Oakland LLC</t>
  </si>
  <si>
    <t>OAKC2</t>
  </si>
  <si>
    <t>2227 20 6108 18 010</t>
  </si>
  <si>
    <t>Office Building (Multi-Tenant)</t>
  </si>
  <si>
    <t>https://www.loopnet.com/Listing/2-W-OAKLAND-Ave-Oakland-FL/6593639/</t>
  </si>
  <si>
    <t>https://www.google.com/maps/search/2+Oakland+Av+W,+FL</t>
  </si>
  <si>
    <t>557 Plant St W</t>
  </si>
  <si>
    <t>Valdes Pedro &amp; Valdes Teresa</t>
  </si>
  <si>
    <t>WGRNC</t>
  </si>
  <si>
    <t>2227 22 0000 00 043</t>
  </si>
  <si>
    <t>Valstar Realty</t>
  </si>
  <si>
    <t>https://valstarrealty.com/locations</t>
  </si>
  <si>
    <t>https://www.google.com/maps/search/557+Plant+St+W,+FL</t>
  </si>
  <si>
    <t>553 Plant St W</t>
  </si>
  <si>
    <t>West Plant Street LLC</t>
  </si>
  <si>
    <t>1947</t>
  </si>
  <si>
    <t>2227 22 0000 00 055</t>
  </si>
  <si>
    <t>Element Home Builders HQ</t>
  </si>
  <si>
    <t>https://www.showcase.com/553-w-plant-st-winter-garden-fl-34787/30064645/</t>
  </si>
  <si>
    <t>https://www.google.com/maps/search/553+Plant+St+W,+FL</t>
  </si>
  <si>
    <t>504 Plant St W</t>
  </si>
  <si>
    <t>504 W Plant St LLC</t>
  </si>
  <si>
    <t>2227 22 0000 00 076</t>
  </si>
  <si>
    <t>Regus Coworking</t>
  </si>
  <si>
    <t>https://www.commercialsearch.com/coworking-property/us/fl/winter-garden/fl-winter-garden-plant-st/</t>
  </si>
  <si>
    <t>https://www.google.com/maps/search/504+Plant+St+W,+FL</t>
  </si>
  <si>
    <t>720 Dillard St S</t>
  </si>
  <si>
    <t>Anne S Bailey Trust Andrew C Bailey Trustee</t>
  </si>
  <si>
    <t>2227 23 6504 06 041</t>
  </si>
  <si>
    <t>https://www.google.com/maps/search/720+Dillard+St+S,+FL</t>
  </si>
  <si>
    <t>622 Vineland Rd</t>
  </si>
  <si>
    <t>Mlf Vineland LLC</t>
  </si>
  <si>
    <t>2227 23 8344 00 040</t>
  </si>
  <si>
    <t>The Metka Law Firm P.A.</t>
  </si>
  <si>
    <t>https://www.google.com/maps/search/622+Vineland+Rd,+FL</t>
  </si>
  <si>
    <t>80 2nd St</t>
  </si>
  <si>
    <t>Wg Dev Group LLC</t>
  </si>
  <si>
    <t>1932</t>
  </si>
  <si>
    <t>2227 23 8816 02 110</t>
  </si>
  <si>
    <t>Low</t>
  </si>
  <si>
    <t>Unknown / Residential Area</t>
  </si>
  <si>
    <t>https://www.google.com/maps/search/80+2nd+St,+FL</t>
  </si>
  <si>
    <t>308 Bay St E</t>
  </si>
  <si>
    <t>Ibarra Armando</t>
  </si>
  <si>
    <t>2227 23 8816 04 011</t>
  </si>
  <si>
    <t>V-VID Painting LLC</t>
  </si>
  <si>
    <t>https://www.google.com/maps/search/308+Bay+St+E,+FL</t>
  </si>
  <si>
    <t>1185 Elboc Wa</t>
  </si>
  <si>
    <t>Winter Garden Ops Land LLC</t>
  </si>
  <si>
    <t>2227 25 8814 00 050</t>
  </si>
  <si>
    <t>Academy Bus LLC (Transportation)</t>
  </si>
  <si>
    <t>https://www.google.com/maps/search/1185+Elboc+Wa,+FL</t>
  </si>
  <si>
    <t>15775 New Independence Pk</t>
  </si>
  <si>
    <t>New Independence Realty LLC</t>
  </si>
  <si>
    <t>2327 21 2719 02 001</t>
  </si>
  <si>
    <t>Aerospace Research Center LLC</t>
  </si>
  <si>
    <t>https://www.google.com/maps/search/15775+New+Independence+Pk,+FL</t>
  </si>
  <si>
    <t>17800 Bali Bl</t>
  </si>
  <si>
    <t>Hollywood Harrison Development L L C</t>
  </si>
  <si>
    <t>2427 31 5701 01 000</t>
  </si>
  <si>
    <t>Hilton Vacation Club</t>
  </si>
  <si>
    <t>https://myapopkadentist.com/</t>
  </si>
  <si>
    <t>https://www.google.com/maps/search/17800+Bali+Bl,+FL</t>
  </si>
  <si>
    <t>2801 Rock Springs Rd</t>
  </si>
  <si>
    <t>Samarth Real Estate LLC</t>
  </si>
  <si>
    <t>ORGA2</t>
  </si>
  <si>
    <t>2028 27 0000 00 004</t>
  </si>
  <si>
    <t>Rock Springs Mobile Home Park</t>
  </si>
  <si>
    <t>https://www.google.com/maps/search/2801+Rock+Springs+Rd,+FL</t>
  </si>
  <si>
    <t>900 Plymouth Sorrento Rd</t>
  </si>
  <si>
    <t>Hiler Buffalo LLC</t>
  </si>
  <si>
    <t>APKAG</t>
  </si>
  <si>
    <t>2128 06 7172 08 041</t>
  </si>
  <si>
    <t>United States Postal Service</t>
  </si>
  <si>
    <t>https://www.google.com/maps/search/900+Plymouth+Sorrento+Rd,+FL</t>
  </si>
  <si>
    <t>2800 Orange Av W</t>
  </si>
  <si>
    <t>Wreck It Ralph LLC</t>
  </si>
  <si>
    <t>APKIL</t>
  </si>
  <si>
    <t>2128 06 7177 00 030</t>
  </si>
  <si>
    <t>Unknown / Vacant Land</t>
  </si>
  <si>
    <t>https://www.google.com/maps/search/2800+Orange+Av+W,+FL</t>
  </si>
  <si>
    <t>2580 Orange Av W</t>
  </si>
  <si>
    <t>Werner Enterprises Inc</t>
  </si>
  <si>
    <t>2128 06 7177 00 111</t>
  </si>
  <si>
    <t>Roadmaster Drivers School</t>
  </si>
  <si>
    <t>https://www.google.com/maps/search/2580+Orange+Av+W,+FL</t>
  </si>
  <si>
    <t>246 Park Av S</t>
  </si>
  <si>
    <t>2024/04</t>
  </si>
  <si>
    <t>2128 09 0196 20 242</t>
  </si>
  <si>
    <t>Unknown / Office Condo</t>
  </si>
  <si>
    <t>https://www.google.com/maps/search/246+Park+Av+S,+FL</t>
  </si>
  <si>
    <t>1224 Semoran Bl E</t>
  </si>
  <si>
    <t>Beor Group LLC</t>
  </si>
  <si>
    <t>ORGRST</t>
  </si>
  <si>
    <t>2128 11 0000 00 282</t>
  </si>
  <si>
    <t>Pet Paradise Animal Hospital (Veterinary)</t>
  </si>
  <si>
    <t>https://www.google.com/maps/search/1224+Semoran+Bl+E,+FL</t>
  </si>
  <si>
    <t>1675 Orange Blossom Tr S</t>
  </si>
  <si>
    <t>Wise Oak Property Florida LLC</t>
  </si>
  <si>
    <t>2128 24 0000 00 058</t>
  </si>
  <si>
    <t>Ares Fire &amp; Safety Systems</t>
  </si>
  <si>
    <t>https://www.google.com/maps/search/1675+Orange+Blossom+Tr+S,+FL</t>
  </si>
  <si>
    <t>8259 Clarcona Ocoee Rd</t>
  </si>
  <si>
    <t>Medeiros Family Land L P Michael J Noland Esq</t>
  </si>
  <si>
    <t>2128 34 0000 00 040</t>
  </si>
  <si>
    <t>Unknown / Medeiros Family Land</t>
  </si>
  <si>
    <t>https://sunbiz.org/search-results/</t>
  </si>
  <si>
    <t>https://www.google.com/maps/search/8259+Clarcona+Ocoee+Rd,+FL</t>
  </si>
  <si>
    <t>821 Marshall Farms Rd</t>
  </si>
  <si>
    <t>Vgt Transportation Inc</t>
  </si>
  <si>
    <t>OCOI2</t>
  </si>
  <si>
    <t>2228 19 0000 00 036</t>
  </si>
  <si>
    <t>VGT Transportation Inc (Logistics)</t>
  </si>
  <si>
    <t>https://www.google.com/maps/search/821+Marshall+Farms+Rd,+FL</t>
  </si>
  <si>
    <t>801 Marshall Farms Rd</t>
  </si>
  <si>
    <t>801 Marshall Farms LLC</t>
  </si>
  <si>
    <t>2228 19 0000 00 078</t>
  </si>
  <si>
    <t>Warehouse / Industrial Tenant</t>
  </si>
  <si>
    <t>https://www.realtymark.net/p/801-Marshall-Farms-Road-Ocoee-FL-34761/dmgid_181615455</t>
  </si>
  <si>
    <t>https://www.google.com/maps/search/801+Marshall+Farms+Rd,+FL</t>
  </si>
  <si>
    <t>810 Nowell St N</t>
  </si>
  <si>
    <t>818 N Nowell Street LLC</t>
  </si>
  <si>
    <t>2228 24 6240 07 301</t>
  </si>
  <si>
    <t>https://www.google.com/maps/search/810+Nowell+St+N,+FL</t>
  </si>
  <si>
    <t>6111 Colonial Dr W</t>
  </si>
  <si>
    <t>Q And H LLC</t>
  </si>
  <si>
    <t>2228 24 6240 07 370</t>
  </si>
  <si>
    <t>Residential / Vacant Land Listing</t>
  </si>
  <si>
    <t>https://www.google.com/maps/search/6111+Colonial+Dr+W,+FL</t>
  </si>
  <si>
    <t>5855 Colonial Dr W</t>
  </si>
  <si>
    <t>Triangle Group Service Corp</t>
  </si>
  <si>
    <t>2228 24 6240 13 021</t>
  </si>
  <si>
    <t>Retail / Commercial Zone</t>
  </si>
  <si>
    <t>https://www.google.com/maps/search/5855+Colonial+Dr+W,+FL</t>
  </si>
  <si>
    <t>5801 Colonial Dr W</t>
  </si>
  <si>
    <t>2025/09</t>
  </si>
  <si>
    <t>Orange Heights Holdings LLC</t>
  </si>
  <si>
    <t>2228 24 6240 15 420</t>
  </si>
  <si>
    <t>Retail Freestanding (Near Dunkin/Popeyes)</t>
  </si>
  <si>
    <t>https://www.google.com/maps/search/5801+Colonial+Dr+W,+FL</t>
  </si>
  <si>
    <t>6500 Colonial Dr W</t>
  </si>
  <si>
    <t>Sam Powers 885 LLC</t>
  </si>
  <si>
    <t>2228 25 0000 00 040</t>
  </si>
  <si>
    <t>Wick Law (Legal Office)</t>
  </si>
  <si>
    <t>https://www.google.com/maps/search/6500+Colonial+Dr+W,+FL</t>
  </si>
  <si>
    <t>6525 Old Winter Garden Rd</t>
  </si>
  <si>
    <t>Sheet Metal Technology Corp</t>
  </si>
  <si>
    <t>2228 25 0000 00 083</t>
  </si>
  <si>
    <t>Sheet Metal Technology Corp (Industrial)</t>
  </si>
  <si>
    <t>https://www.google.com/maps/search/6525+Old+Winter+Garden+Rd,+FL</t>
  </si>
  <si>
    <t>8516 Old Winter Garden Rd</t>
  </si>
  <si>
    <t>8516 Office Center LLC</t>
  </si>
  <si>
    <t>1921</t>
  </si>
  <si>
    <t>2228 27 7660 00 021</t>
  </si>
  <si>
    <t>8516 Office Center (Industrial/Flex)</t>
  </si>
  <si>
    <t>https://search.sunbiz.org/Inquiry/CorporationSearch/SearchResults?InquiryType=EntityName&amp;InquiryDirectionType=ForwardRecord&amp;SearchTerm=8516%20OFFICE%20CENTER%20LLC</t>
  </si>
  <si>
    <t>https://www.google.com/maps/search/8516+Old+Winter+Garden+Rd,+FL</t>
  </si>
  <si>
    <t>3872 Old Winter Garden Rd</t>
  </si>
  <si>
    <t>Siri Real Estate Holdings LLC</t>
  </si>
  <si>
    <t>2025</t>
  </si>
  <si>
    <t>2228 28 0000 00 019</t>
  </si>
  <si>
    <t>Vacant Office for Lease (JLL Listing)</t>
  </si>
  <si>
    <t>https://property.jll.com/listings/3872-old-winter-garden-rd-west-orlando-outlying</t>
  </si>
  <si>
    <t>https://www.google.com/maps/search/3872+Old+Winter+Garden+Rd,+FL</t>
  </si>
  <si>
    <t>1553 Boren Dr</t>
  </si>
  <si>
    <t>M &amp; N Platinum Investments Inc</t>
  </si>
  <si>
    <t>2228 29 9158 00 120</t>
  </si>
  <si>
    <t>Vacant Professional Office (Luxury Buildout)</t>
  </si>
  <si>
    <t>https://www.google.com/maps/search/1553+Boren+Dr,+FL</t>
  </si>
  <si>
    <t>1555 Boren Dr</t>
  </si>
  <si>
    <t>Pdg Investments &amp; Holdings LLC</t>
  </si>
  <si>
    <t>2228 29 9158 00 130</t>
  </si>
  <si>
    <t>All 4 Realty Investment (Holding Co)</t>
  </si>
  <si>
    <t>https://search.sunbiz.org/Inquiry/CorporationSearch/SearchResults?InquiryType=EntityName&amp;InquiryDirectionType=ForwardRecord&amp;SearchTerm=ALL%204%20REALTY%20INVESTMENT%20INC</t>
  </si>
  <si>
    <t>https://www.google.com/maps/search/1555+Boren+Dr,+FL</t>
  </si>
  <si>
    <t>2701 Rew Ci</t>
  </si>
  <si>
    <t>Cv Rew Circle LLC</t>
  </si>
  <si>
    <t>2228 29 9158 00 160</t>
  </si>
  <si>
    <t>Vacant Professional Office</t>
  </si>
  <si>
    <t>https://www.loopnet.com/Listing/2701-Rew-Cir-Ocoee-FL/8486185/</t>
  </si>
  <si>
    <t>https://www.google.com/maps/search/2701+Rew+Ci,+FL</t>
  </si>
  <si>
    <t>2716 Rew Ci</t>
  </si>
  <si>
    <t>Elias Ausi Estate LLC</t>
  </si>
  <si>
    <t>2228 29 9159 00 090</t>
  </si>
  <si>
    <t>General Office (Leased)</t>
  </si>
  <si>
    <t>https://www.google.com/maps/search/2716+Rew+Ci,+FL</t>
  </si>
  <si>
    <t>2679 Maguire Rd</t>
  </si>
  <si>
    <t>Susanne Baaqee Real Estate LLC</t>
  </si>
  <si>
    <t>2228 31 0000 00 008</t>
  </si>
  <si>
    <t>Susanne Baaqee Real Estate</t>
  </si>
  <si>
    <t>https://www.google.com/maps/search/2679+Maguire+Rd,+FL</t>
  </si>
  <si>
    <t>1296 Hempel Av</t>
  </si>
  <si>
    <t>Salma LLC</t>
  </si>
  <si>
    <t>2228 33 3100 15 080</t>
  </si>
  <si>
    <t>Residential / Single Family Home</t>
  </si>
  <si>
    <t>https://www.homes.com/property/1219-dingens-ave-windermere-fl/4q09k5b1qbw6b/</t>
  </si>
  <si>
    <t>https://www.google.com/maps/search/1296+Hempel+Av,+FL</t>
  </si>
  <si>
    <t>9907 8th St</t>
  </si>
  <si>
    <t>Platinum Center LLC</t>
  </si>
  <si>
    <t>2228 33 3104 01 011</t>
  </si>
  <si>
    <t>Platinum Center LLC (General Commercial)</t>
  </si>
  <si>
    <t>https://www.google.com/maps/search/9907+8th+St,+FL</t>
  </si>
  <si>
    <t>1768 Park Center Dr</t>
  </si>
  <si>
    <t>Falcons Creative Group LLC</t>
  </si>
  <si>
    <t>2228 36 5621 00 070</t>
  </si>
  <si>
    <t>Falcon's Creative Group (Design Firm)</t>
  </si>
  <si>
    <t>https://www.google.com/maps/search/1768+Park+Center+Dr,+FL</t>
  </si>
  <si>
    <t>1500 Park Center Dr</t>
  </si>
  <si>
    <t>Professor X Holdings LLC</t>
  </si>
  <si>
    <t>2228 36 5625 00 240</t>
  </si>
  <si>
    <t>Professor X Building (General Office)</t>
  </si>
  <si>
    <t>https://www.loopnet.com/Listing/1500-Park-Center-Dr-Orlando-FL/34555364/</t>
  </si>
  <si>
    <t>https://www.google.com/maps/search/1500+Park+Center+Dr,+FL</t>
  </si>
  <si>
    <t>1800 Metrocenter Bl</t>
  </si>
  <si>
    <t>Sentinel Hgv LLC</t>
  </si>
  <si>
    <t>2328 01 5610 01 001</t>
  </si>
  <si>
    <t>Hilton Grand Vacations (Operations Center)</t>
  </si>
  <si>
    <t>https://www.google.com/maps/search/1800+Metrocenter+Bl,+FL</t>
  </si>
  <si>
    <t>6355 Metrowest Bl</t>
  </si>
  <si>
    <t>2328 01 5610 04 000</t>
  </si>
  <si>
    <t>Hilton Grand Vacations (Corporate HQ)</t>
  </si>
  <si>
    <t>https://www.google.com/maps/search/6355+Metrowest+Bl,+FL</t>
  </si>
  <si>
    <t>7601 Conroy Windermere Rd</t>
  </si>
  <si>
    <t>Watson Properties 6 LLC</t>
  </si>
  <si>
    <t>2328 11 0000 00 033</t>
  </si>
  <si>
    <t>Watson Realty Corp</t>
  </si>
  <si>
    <t>https://www.google.com/maps/search/7601+Conroy+Windermere+Rd,+FL</t>
  </si>
  <si>
    <t>603 Main St</t>
  </si>
  <si>
    <t>Live Holdings One LLC</t>
  </si>
  <si>
    <t>WNDCOM</t>
  </si>
  <si>
    <t>2328 17 9336 02 150</t>
  </si>
  <si>
    <t>Live Holdings One LLC (Holding Company)</t>
  </si>
  <si>
    <t>https://search.sunbiz.org/Inquiry/CorporationSearch/SearchResults?InquiryType=EntityName&amp;InquiryDirectionType=ForwardRecord&amp;SearchTerm=LIVE%20HOLDINGS%20ONE%20LLC</t>
  </si>
  <si>
    <t>https://www.google.com/maps/search/603+Main+St,+FL</t>
  </si>
  <si>
    <t>6052 Turkey Lake Rd</t>
  </si>
  <si>
    <t>6052 Turkey Lake Road LLCc</t>
  </si>
  <si>
    <t>2328 23 6253 01 000</t>
  </si>
  <si>
    <t>Vacant Office Condo (For Lease/Sale)</t>
  </si>
  <si>
    <t>https://www.raveis.com/prop/O6289829/6052-turkey-lake-road-unit-118-orlando-fl-32819</t>
  </si>
  <si>
    <t>https://www.google.com/maps/search/6052+Turkey+Lake+Rd,+FL</t>
  </si>
  <si>
    <t>7411 International Dr</t>
  </si>
  <si>
    <t>7411 Idrive LLC</t>
  </si>
  <si>
    <t>2328 25 0000 00 068</t>
  </si>
  <si>
    <t>Vacant / Universal Office Property</t>
  </si>
  <si>
    <t>https://www.loopnet.com/Listing/7411-International-Dr-Orlando-FL/23620356/</t>
  </si>
  <si>
    <t>https://www.google.com/maps/search/7411+International+Dr,+FL</t>
  </si>
  <si>
    <t>6985 Wallace Rd</t>
  </si>
  <si>
    <t>Future Realty Holding LLC</t>
  </si>
  <si>
    <t>ORLPD</t>
  </si>
  <si>
    <t>2328 26 8835 00 030</t>
  </si>
  <si>
    <t>https://images1.showcase.com/d2/YPx2_qFUn0cdJ6-FhKNLWecbokoh19mjWjZFVISrRYg/document.pdf</t>
  </si>
  <si>
    <t>https://www.google.com/maps/search/6985+Wallace+Rd,+FL</t>
  </si>
  <si>
    <t>6801 Wallace Rd</t>
  </si>
  <si>
    <t>6801 Wallace Rd LLC</t>
  </si>
  <si>
    <t>2328 26 8835 00 040</t>
  </si>
  <si>
    <t>Century 21 (The Talavera Team)</t>
  </si>
  <si>
    <t>https://www.google.com/maps/search/6801+Wallace+Rd,+FL</t>
  </si>
  <si>
    <t>7485 Sandlake Commons Bl</t>
  </si>
  <si>
    <t>Raad 1 LLC</t>
  </si>
  <si>
    <t>2428 02 0000 00 023</t>
  </si>
  <si>
    <t>Vacant Office (Sandlake Commons)</t>
  </si>
  <si>
    <t>https://www.loopnet.com/Listing/7485-Sandlake-Commons-Blvd-Orlando-FL/16966430/</t>
  </si>
  <si>
    <t>https://www.google.com/maps/search/7485+Sandlake+Commons+Bl,+FL</t>
  </si>
  <si>
    <t>13705 International Dr</t>
  </si>
  <si>
    <t>Amateur Athletic Union Of The United</t>
  </si>
  <si>
    <t>2428 26 0000 00 042</t>
  </si>
  <si>
    <t>Partners Retirement &amp; Wealth Management</t>
  </si>
  <si>
    <t>https://www.google.com/maps/search/13705+International+Dr,+FL</t>
  </si>
  <si>
    <t>151 Lookout Pl</t>
  </si>
  <si>
    <t>Capital Group 50 LLC</t>
  </si>
  <si>
    <t>2129 25 4091 00 010</t>
  </si>
  <si>
    <t>Keewin Office Park (Law Office)</t>
  </si>
  <si>
    <t>https://www.google.com/maps/search/151+Lookout+Pl,+FL</t>
  </si>
  <si>
    <t>167 Lookout Pl</t>
  </si>
  <si>
    <t>Pafc Maitland Commercial LLC</t>
  </si>
  <si>
    <t>2129 25 4091 00 030</t>
  </si>
  <si>
    <t>Unknown / PAFC Maitland Commercial LLC</t>
  </si>
  <si>
    <t>https://www.bhhsresults.com/fl/167-lookout-place-maitland-32751/pid-343877728</t>
  </si>
  <si>
    <t>https://www.google.com/maps/search/167+Lookout+Pl,+FL</t>
  </si>
  <si>
    <t>175 Lookout Pl</t>
  </si>
  <si>
    <t>The Florida Bar Foundation Inc</t>
  </si>
  <si>
    <t>2129 25 4091 00 040</t>
  </si>
  <si>
    <t>The Florida Bar Foundation</t>
  </si>
  <si>
    <t>https://www.google.com/maps/search/175+Lookout+Pl,+FL</t>
  </si>
  <si>
    <t>240 Lookout Pl</t>
  </si>
  <si>
    <t>240 Lookout Place Pl LLC</t>
  </si>
  <si>
    <t>2129 25 4091 00 070</t>
  </si>
  <si>
    <t>Finity Law Firm</t>
  </si>
  <si>
    <t>https://www.google.com/maps/search/240+Lookout+Pl,+FL</t>
  </si>
  <si>
    <t>220 Lookout Pl</t>
  </si>
  <si>
    <t>220 Lookout Place Land Trust</t>
  </si>
  <si>
    <t>2129 25 4091 00 110</t>
  </si>
  <si>
    <t>Vacant Office Suite (Palkiper Listing)</t>
  </si>
  <si>
    <t>https://www.palkiper.com/storage/listings/00000efd-0000-0000-0000-000000000000/downloads/220%20Lookout%20Pl%20STE-100%20Flyer.pdf?cv=750a0055fed96db8e560b812aec4ce58bad397f8</t>
  </si>
  <si>
    <t>https://www.google.com/maps/search/220+Lookout+Pl,+FL</t>
  </si>
  <si>
    <t>255 Maitland Av S</t>
  </si>
  <si>
    <t>House Of Coins LLC</t>
  </si>
  <si>
    <t>2129 25 4760 00 040</t>
  </si>
  <si>
    <t>House of Coins (Office User)</t>
  </si>
  <si>
    <t>https://www.google.com/maps/search/255+Maitland+Av+S,+FL</t>
  </si>
  <si>
    <t>218 Jackson St</t>
  </si>
  <si>
    <t>Joyce Community Hq LLC</t>
  </si>
  <si>
    <t>2129 25 4760 00 480</t>
  </si>
  <si>
    <t>Vacant Lot / Owner-User Office</t>
  </si>
  <si>
    <t>https://www.loopnet.com/Listing/218-and-226-Jackson-St-Maitland-FL/36427816/</t>
  </si>
  <si>
    <t>https://www.google.com/maps/search/218+Jackson+St,+FL</t>
  </si>
  <si>
    <t>200 Swoope Av N</t>
  </si>
  <si>
    <t>Ez Swoope LLC</t>
  </si>
  <si>
    <t>2129 25 5724 00 050</t>
  </si>
  <si>
    <t>Unknown / EZ Swoope LLC</t>
  </si>
  <si>
    <t>https://search.sunbiz.org/Inquiry/CorporationSearch/SearchResults?InquiryType=EntityName&amp;InquiryDirectionType=ForwardRecord&amp;SearchTerm=EZ%20SWOOPE%20LLC</t>
  </si>
  <si>
    <t>https://www.google.com/maps/search/200+Swoope+Av+N,+FL</t>
  </si>
  <si>
    <t>1661 Sandspur Rd</t>
  </si>
  <si>
    <t>Lq Assets &amp; Investments LLC</t>
  </si>
  <si>
    <t>2129 26 1243 00 020</t>
  </si>
  <si>
    <t>Eraclides Gelman (Law Firm)</t>
  </si>
  <si>
    <t>https://www.google.com/maps/search/1661+Sandspur+Rd,+FL</t>
  </si>
  <si>
    <t>291 Southhall Ln</t>
  </si>
  <si>
    <t>Nineteen Twenty Investments LLC</t>
  </si>
  <si>
    <t>MTLWSR</t>
  </si>
  <si>
    <t>2129 26 5464 00 051</t>
  </si>
  <si>
    <t>Vacant / General Office Space</t>
  </si>
  <si>
    <t>https://www.google.com/maps/search/291+Southhall+Ln,+FL</t>
  </si>
  <si>
    <t>2601 Westhall Ln</t>
  </si>
  <si>
    <t>Gipfl 2601 Westfall Lane LLC</t>
  </si>
  <si>
    <t>MTLWSN</t>
  </si>
  <si>
    <t>2129 27 5476 13 001</t>
  </si>
  <si>
    <t>Robert Stellmack / Energy Star Office</t>
  </si>
  <si>
    <t>https://www.google.com/maps/search/2601+Westhall+Ln,+FL</t>
  </si>
  <si>
    <t>1991 Summit Park Dr</t>
  </si>
  <si>
    <t>Charles Schwab &amp; Co Inc</t>
  </si>
  <si>
    <t>2129 27 8420 00 020</t>
  </si>
  <si>
    <t>Charles Schwab (Financial Services)</t>
  </si>
  <si>
    <t>https://www.google.com/maps/search/1991+Summit+Park+Dr,+FL</t>
  </si>
  <si>
    <t>8008 Apopka Bl</t>
  </si>
  <si>
    <t>8008 Apopka V1 LLC</t>
  </si>
  <si>
    <t>ORGIND</t>
  </si>
  <si>
    <t>2129 30 0000 00 063</t>
  </si>
  <si>
    <t>Industrial / Warehouse Leasing</t>
  </si>
  <si>
    <t>https://www.crexi.com/lease/properties/1019206/florida-8008-apopka-boulevard</t>
  </si>
  <si>
    <t>https://www.google.com/maps/search/8008+Apopka+Bl,+FL</t>
  </si>
  <si>
    <t>3274 Overland Rd</t>
  </si>
  <si>
    <t>Skivolocke Frank</t>
  </si>
  <si>
    <t>2129 30 0000 00 100</t>
  </si>
  <si>
    <t>MFSI Towing &amp; Recovery</t>
  </si>
  <si>
    <t>https://www.google.com/maps/search/3274+Overland+Rd,+FL</t>
  </si>
  <si>
    <t>7725 Orange Blossom Tr N</t>
  </si>
  <si>
    <t>7725 North Obt LLC</t>
  </si>
  <si>
    <t>2129 30 3308 01 002</t>
  </si>
  <si>
    <t>Warehouse / Industrial Park</t>
  </si>
  <si>
    <t>https://realnex.com/listings/844130/7725-n-orange-blossom-trail-officewarehouse</t>
  </si>
  <si>
    <t>https://www.google.com/maps/search/7725+Orange+Blossom+Tr+N,+FL</t>
  </si>
  <si>
    <t>4522 Clarcona Ocoee Rd</t>
  </si>
  <si>
    <t>Matthew West LLC</t>
  </si>
  <si>
    <t>2129 32 0000 00 198</t>
  </si>
  <si>
    <t>Vacant Office (Marketed for Medical but Vacant)</t>
  </si>
  <si>
    <t>https://www.loopnet.com/Listing/4522-Clarcona-Ocoee-Rd-Orlando-FL/4141358/</t>
  </si>
  <si>
    <t>https://www.google.com/maps/search/4522+Clarcona+Ocoee+Rd,+FL</t>
  </si>
  <si>
    <t>7214 Edgewater Dr</t>
  </si>
  <si>
    <t>Joyner Cable Telecommunications Inc</t>
  </si>
  <si>
    <t>1964</t>
  </si>
  <si>
    <t>2129 32 1240 01 010</t>
  </si>
  <si>
    <t>Florida Catastrophe Corp (Construction)</t>
  </si>
  <si>
    <t>https://www.google.com/maps/search/7214+Edgewater+Dr,+FL</t>
  </si>
  <si>
    <t>6359 Edgewater Dr</t>
  </si>
  <si>
    <t>6359 Edgewater Holdings LLC</t>
  </si>
  <si>
    <t>2129 33 0000 00 123</t>
  </si>
  <si>
    <t>Industrial / School / Non-Profit Usage</t>
  </si>
  <si>
    <t>https://www.loopnet.com/Listing/6359-Edgewater-Dr-Orlando-FL/9515258/</t>
  </si>
  <si>
    <t>https://www.google.com/maps/search/6359+Edgewater+Dr,+FL</t>
  </si>
  <si>
    <t>6249 Edgewater Dr</t>
  </si>
  <si>
    <t>Emma II LLC</t>
  </si>
  <si>
    <t>2129 33 3600 00 080</t>
  </si>
  <si>
    <t>Unknown / Frenchie Den LLC</t>
  </si>
  <si>
    <t>https://search.sunbiz.org/Inquiry/CorporationSearch/SearchResultDetail?inquirytype=EntityName&amp;directionType=ForwardList&amp;searchNameOrder=FRENCHIEDEN%20L240001606500&amp;aggregateId=flal-l24000160650-17414b81-1483-49f8-a2b5-88d8b175ac5e</t>
  </si>
  <si>
    <t>https://www.google.com/maps/search/6249+Edgewater+Dr,+FL</t>
  </si>
  <si>
    <t>6239 Edgewater Dr</t>
  </si>
  <si>
    <t>1963</t>
  </si>
  <si>
    <t>2129 33 3600 00 110</t>
  </si>
  <si>
    <t>Vacant Office for Lease</t>
  </si>
  <si>
    <t>https://www.showcase.com/6239-edgewater-dr-orlando-fl-32810/33259900/</t>
  </si>
  <si>
    <t>https://www.google.com/maps/search/6239+Edgewater+Dr,+FL</t>
  </si>
  <si>
    <t>423 Keller Rd S</t>
  </si>
  <si>
    <t>423 Keller Holdings LLC</t>
  </si>
  <si>
    <t>2129 34 0000 00 020</t>
  </si>
  <si>
    <t>F.I.R.S.T. Institute (Digital Media School)</t>
  </si>
  <si>
    <t>https://www.google.com/maps/search/423+Keller+Rd+S,+FL</t>
  </si>
  <si>
    <t>894 Kennedy Bl W</t>
  </si>
  <si>
    <t>Fat Cat Investments III LLC</t>
  </si>
  <si>
    <t>EVLC3</t>
  </si>
  <si>
    <t>2129 34 0000 00 023</t>
  </si>
  <si>
    <t>Mid Florida Material Handling (Industrial)</t>
  </si>
  <si>
    <t>https://www.google.com/maps/search/894+Kennedy+Bl+W,+FL</t>
  </si>
  <si>
    <t>482 Keller Rd S</t>
  </si>
  <si>
    <t>Eizo Rugged Solutions Inc</t>
  </si>
  <si>
    <t>2129 34 0000 00 031</t>
  </si>
  <si>
    <t>EIZO Rugged Solutions (Tech/Defense)</t>
  </si>
  <si>
    <t>https://www.google.com/maps/search/482+Keller+Rd+S,+FL</t>
  </si>
  <si>
    <t>65 Keller Rd</t>
  </si>
  <si>
    <t>Eden Sample LLC</t>
  </si>
  <si>
    <t>2129 34 0000 00 063</t>
  </si>
  <si>
    <t>Spectrum Corporate Office</t>
  </si>
  <si>
    <t>https://www.google.com/maps/search/65+Keller+Rd,+FL</t>
  </si>
  <si>
    <t>498 Lake Destiny Dr S</t>
  </si>
  <si>
    <t>498 S Lake Destiny LLC</t>
  </si>
  <si>
    <t>EVLI1</t>
  </si>
  <si>
    <t>2129 35 0000 00 179</t>
  </si>
  <si>
    <t>Lumbra Risk Advisors (Insurance)</t>
  </si>
  <si>
    <t>https://www.google.com/maps/search/498+Lake+Destiny+Dr+S,+FL</t>
  </si>
  <si>
    <t>18 College Av N</t>
  </si>
  <si>
    <t>Wb Assets LLC</t>
  </si>
  <si>
    <t>2129 35 4024 02 140</t>
  </si>
  <si>
    <t>Small Office / Residential Conversion</t>
  </si>
  <si>
    <t>https://www.realtor.com/realestateandhomes-detail/18-N-College-Ave_Maitland_FL_32751_M58928-69853</t>
  </si>
  <si>
    <t>https://www.google.com/maps/search/18+College+Av+N,+FL</t>
  </si>
  <si>
    <t>517 Lake Destiny Dr S</t>
  </si>
  <si>
    <t>517 S Lake Destiny Real Estate Partn</t>
  </si>
  <si>
    <t>2129 35 3854 00 021</t>
  </si>
  <si>
    <t>Imperial Design Hall (Event Venue)</t>
  </si>
  <si>
    <t>https://www.google.com/maps/search/517+Lake+Destiny+Dr+S,+FL</t>
  </si>
  <si>
    <t>20 College Av N</t>
  </si>
  <si>
    <t>Cecil B Allen Revocable Trust</t>
  </si>
  <si>
    <t>2129 35 4024 02 130</t>
  </si>
  <si>
    <t>Residential Condo</t>
  </si>
  <si>
    <t>https://www.zillow.com/homedetails/20-College-Hl-20-Hanover-NH-03755/2099384241_zpid/</t>
  </si>
  <si>
    <t>https://www.google.com/maps/search/20+College+Av+N,+FL</t>
  </si>
  <si>
    <t>630 Maitland Av S</t>
  </si>
  <si>
    <t>Holdings 630 Maitland Ave LLC</t>
  </si>
  <si>
    <t>1935</t>
  </si>
  <si>
    <t>2129 36 0000 00 057</t>
  </si>
  <si>
    <t>Equinox Development HQ</t>
  </si>
  <si>
    <t>https://www.google.com/maps/search/630+Maitland+Av+S,+FL</t>
  </si>
  <si>
    <t>221 Circle Dr</t>
  </si>
  <si>
    <t>Bam 221 Circle LLC</t>
  </si>
  <si>
    <t>2129 36 9408 00 110</t>
  </si>
  <si>
    <t>National Due Diligence Services (Surveying)</t>
  </si>
  <si>
    <t>https://www.google.com/maps/search/221+Circle+Dr,+FL</t>
  </si>
  <si>
    <t>311 Circle Dr</t>
  </si>
  <si>
    <t>Valdelagrana LLC</t>
  </si>
  <si>
    <t>2129 36 9408 00 220</t>
  </si>
  <si>
    <t>Residential / Condo Area</t>
  </si>
  <si>
    <t>https://www.zillow.com/homedetails/311-Woodbury-Pines-Cir-Orlando-FL-32828/46261806_zpid/</t>
  </si>
  <si>
    <t>https://www.google.com/maps/search/311+Circle+Dr,+FL</t>
  </si>
  <si>
    <t>140 Circle Dr</t>
  </si>
  <si>
    <t>140 Circle Drive LLC</t>
  </si>
  <si>
    <t>1950</t>
  </si>
  <si>
    <t>2129 36 9408 00 420</t>
  </si>
  <si>
    <t>Vacant / Former Salon</t>
  </si>
  <si>
    <t>https://www.loopnet.com/Listing/140-Circle-Dr-Maitland-FL/27184148/</t>
  </si>
  <si>
    <t>https://www.google.com/maps/search/140+Circle+Dr,+FL</t>
  </si>
  <si>
    <t>1881 Lee Rd</t>
  </si>
  <si>
    <t>Abeer Ayoub Trust Abeer Ayoub Trustee</t>
  </si>
  <si>
    <t>2229 01 0060 05 050</t>
  </si>
  <si>
    <t>Unknown / Trust Ownership</t>
  </si>
  <si>
    <t>https://www.google.com/maps/search/1881+Lee+Rd,+FL</t>
  </si>
  <si>
    <t>1007 Lewis Dr</t>
  </si>
  <si>
    <t>1007 Lewis Drive LLC</t>
  </si>
  <si>
    <t>2019</t>
  </si>
  <si>
    <t>WPOCPD</t>
  </si>
  <si>
    <t>2229 01 3712 06 181</t>
  </si>
  <si>
    <t>Booker &amp; Associates (CPA/Legal)</t>
  </si>
  <si>
    <t>https://www.google.com/maps/search/1007+Lewis+Dr,+FL</t>
  </si>
  <si>
    <t>1099 Morse Bl W</t>
  </si>
  <si>
    <t>Ledford Properties 2 LLC</t>
  </si>
  <si>
    <t>2229 01 4094 00 010</t>
  </si>
  <si>
    <t>Fortress Wealth Group</t>
  </si>
  <si>
    <t>https://www.google.com/maps/search/1099+Morse+Bl+W,+FL</t>
  </si>
  <si>
    <t>1095 Morse Bl W</t>
  </si>
  <si>
    <t>Don Miguel Road Properties LLC</t>
  </si>
  <si>
    <t>2229 01 4094 00 020</t>
  </si>
  <si>
    <t>Professional Office (Keewin Center)</t>
  </si>
  <si>
    <t>https://www.google.com/maps/search/1095+Morse+Bl+W,+FL</t>
  </si>
  <si>
    <t>1085 Morse Bl W</t>
  </si>
  <si>
    <t>Catalyst Orlando Holdings LLC</t>
  </si>
  <si>
    <t>2229 01 4094 00 050</t>
  </si>
  <si>
    <t>AMS Title Agency &amp; Escrow</t>
  </si>
  <si>
    <t>https://www.google.com/maps/search/1085+Morse+Bl+W,+FL</t>
  </si>
  <si>
    <t>1075 Morse Bl W</t>
  </si>
  <si>
    <t>West Morse Ventures LLC</t>
  </si>
  <si>
    <t>2229 01 4094 00 080</t>
  </si>
  <si>
    <t>https://www.google.com/maps/search/1075+Morse+Bl+W,+FL</t>
  </si>
  <si>
    <t>1071 Morse Bl W</t>
  </si>
  <si>
    <t>Series 1071 W Morse Blvd &amp; Dvda Holdings LLC</t>
  </si>
  <si>
    <t>2229 01 4094 00 090</t>
  </si>
  <si>
    <t>https://www.loopnet.com/Listing/1071-W-Morse-Blvd-Winter-Park-FL/29753522/</t>
  </si>
  <si>
    <t>https://www.google.com/maps/search/1071+Morse+Bl+W,+FL</t>
  </si>
  <si>
    <t>1065 Morse Bl W</t>
  </si>
  <si>
    <t>Hg Morse Building LLC</t>
  </si>
  <si>
    <t>2229 01 4094 00 110</t>
  </si>
  <si>
    <t>https://totalcommercial.com/listings/82158</t>
  </si>
  <si>
    <t>https://www.google.com/maps/search/1065+Morse+Bl+W,+FL</t>
  </si>
  <si>
    <t>1414 Gay Rd</t>
  </si>
  <si>
    <t>See Business Solutions LLC</t>
  </si>
  <si>
    <t>2229 01 4184 02 030</t>
  </si>
  <si>
    <t>Fairview Office Property (General Office)</t>
  </si>
  <si>
    <t>https://www.loopnet.com/Listing/1414-Gay-Rd-Winter-Park-FL/28325121/</t>
  </si>
  <si>
    <t>https://www.google.com/maps/search/1414+Gay+Rd,+FL</t>
  </si>
  <si>
    <t>1150 Louisiana Av</t>
  </si>
  <si>
    <t>Fly South Reel Estate Ventures LLC</t>
  </si>
  <si>
    <t>2229 01 5252 00 010</t>
  </si>
  <si>
    <t>Vacant New Construction (Office/Shell)</t>
  </si>
  <si>
    <t>https://www.bhhsresults.com/fl/1150-louisiana-ave-bldg-1-winter-park-32789/pid-348957889</t>
  </si>
  <si>
    <t>https://www.google.com/maps/search/1150+Louisiana+Av,+FL</t>
  </si>
  <si>
    <t>1780 Park Av N</t>
  </si>
  <si>
    <t>1780 North Park Ave LLC</t>
  </si>
  <si>
    <t>2229 01 7920 01 030</t>
  </si>
  <si>
    <t>Unknown / 1780 North Park Ave LLC</t>
  </si>
  <si>
    <t>https://search.sunbiz.org/Inquiry/CorporationSearch/SearchResults?InquiryType=EntityName&amp;InquiryDirectionType=ForwardRecord&amp;SearchTerm=1780%20NORTH%20PARK%20AVE%20LLC</t>
  </si>
  <si>
    <t>https://www.google.com/maps/search/1780+Park+Av+N,+FL</t>
  </si>
  <si>
    <t>2200 Park Av N</t>
  </si>
  <si>
    <t>Park Ave Holdings LLC</t>
  </si>
  <si>
    <t>2229 01 7920 02 030</t>
  </si>
  <si>
    <t>Vacant / Under Renovation (General Office)</t>
  </si>
  <si>
    <t>https://www.loopnet.com/Listing/2200-N-Park-Ave-Winter-Park-FL/31730105/</t>
  </si>
  <si>
    <t>https://www.google.com/maps/search/2200+Park+Av+N,+FL</t>
  </si>
  <si>
    <t>640 Lee Rd</t>
  </si>
  <si>
    <t>640 Lee Rd LLC</t>
  </si>
  <si>
    <t>2229 02 0000 00 066</t>
  </si>
  <si>
    <t>Residential / Small Condo Office</t>
  </si>
  <si>
    <t>https://www.realtor.com/rentals/details/640-N-Park-Ave-Apt-3_Winter-Park_FL_32789_M54396-86338</t>
  </si>
  <si>
    <t>https://www.google.com/maps/search/640+Lee+Rd,+FL</t>
  </si>
  <si>
    <t>905 Lee Rd</t>
  </si>
  <si>
    <t>905 Lee Rd LLC</t>
  </si>
  <si>
    <t>2229 03 0000 00 050</t>
  </si>
  <si>
    <t>Lake Weston Office Property (General)</t>
  </si>
  <si>
    <t>https://www.loopnet.com/Listing/905-Lee-Rd-Orlando-FL/29147410/</t>
  </si>
  <si>
    <t>https://www.google.com/maps/search/905+Lee+Rd,+FL</t>
  </si>
  <si>
    <t>1790 Lee Rd</t>
  </si>
  <si>
    <t>Jsr Lee Road LLC</t>
  </si>
  <si>
    <t>2229 03 2628 04 060</t>
  </si>
  <si>
    <t>Vacant Flex / Warehouse Space</t>
  </si>
  <si>
    <t>https://www.loopnet.com/Listing/1790-Lee-Rd-Orlando-FL/38309109/</t>
  </si>
  <si>
    <t>https://www.google.com/maps/search/1790+Lee+Rd,+FL</t>
  </si>
  <si>
    <t>1500 Lee Rd</t>
  </si>
  <si>
    <t>Jircfl LLC</t>
  </si>
  <si>
    <t>2229 03 2628 14 020</t>
  </si>
  <si>
    <t>SouthState Bank</t>
  </si>
  <si>
    <t>https://www.google.com/maps/search/1500+Lee+Rd,+FL</t>
  </si>
  <si>
    <t>5032 Goddard Av</t>
  </si>
  <si>
    <t>Priceless Restoration Inc</t>
  </si>
  <si>
    <t>2229 03 2628 15 050</t>
  </si>
  <si>
    <t>Priceless Restoration Inc (Construction)</t>
  </si>
  <si>
    <t>https://www.google.com/maps/search/5032+Goddard+Av,+FL</t>
  </si>
  <si>
    <t>5200 Davisson Av</t>
  </si>
  <si>
    <t>Three Birds Holding LLC</t>
  </si>
  <si>
    <t>2229 03 2628 18 130</t>
  </si>
  <si>
    <t>Professional Office (Split Suite)</t>
  </si>
  <si>
    <t>https://www.realty.com/commercial-listings/318504142/5200-Davisson-Avenue-Orlando-FL-32810</t>
  </si>
  <si>
    <t>https://www.google.com/maps/search/5200+Davisson+Av,+FL</t>
  </si>
  <si>
    <t>5104 Orange Blossom Tr N</t>
  </si>
  <si>
    <t>Hahalolo Of Usa Social Network And T The Bywater Company</t>
  </si>
  <si>
    <t>2229 04 7736 00 420</t>
  </si>
  <si>
    <t>Allstate Insurance (Dale McMindes)</t>
  </si>
  <si>
    <t>https://www.google.com/maps/search/5104+Orange+Blossom+Tr+N+Orange+FL</t>
  </si>
  <si>
    <t>5925 Edgewater Dr</t>
  </si>
  <si>
    <t>Dorian Fund I Orland LLC</t>
  </si>
  <si>
    <t>2229 04 8736 00 010</t>
  </si>
  <si>
    <t>Unknown / Dorian Fund I Orlando LLC</t>
  </si>
  <si>
    <t>https://search.sunbiz.org/Inquiry/CorporationSearch/SearchResults?InquiryType=EntityName&amp;InquiryDirectionType=ForwardRecord&amp;SearchTerm=DORIAN%20FUND%20I%20ORLANDO%20LLC</t>
  </si>
  <si>
    <t>https://www.google.com/maps/search/5925+Edgewater+Dr+Orange+FL</t>
  </si>
  <si>
    <t>5634 Edgewater Dr</t>
  </si>
  <si>
    <t>Amoney LLC</t>
  </si>
  <si>
    <t>1948</t>
  </si>
  <si>
    <t>2229 04 8764 02 050</t>
  </si>
  <si>
    <t>Residential / Amoney LLC</t>
  </si>
  <si>
    <t>https://www.homes.com/property/5634-edgewater-dr-orlando-fl/c0vnn8kmjwbtk/</t>
  </si>
  <si>
    <t>https://www.google.com/maps/search/5634+Edgewater+Dr+Orange+FL</t>
  </si>
  <si>
    <t>2918 Pine Hills Rd N</t>
  </si>
  <si>
    <t>Khanna Ashok K Life Estate &amp; Khanna Stacey Life Estate</t>
  </si>
  <si>
    <t>2229 07 8241 00 020</t>
  </si>
  <si>
    <t>The Villas at Pine Hills (Residential)</t>
  </si>
  <si>
    <t>https://www.google.com/maps/search/2918+Pine+Hills+Rd+N+Orange+FL</t>
  </si>
  <si>
    <t>3861 Shader Rd</t>
  </si>
  <si>
    <t>Mtp 3861 Shader Road LLC Someraroad Inc Attn: Blake Toline</t>
  </si>
  <si>
    <t>ORLIP/</t>
  </si>
  <si>
    <t>2229 08 1259 00 110</t>
  </si>
  <si>
    <t>Industrial Smoke &amp; Mirrors (Manufacturing)</t>
  </si>
  <si>
    <t>https://www.google.com/maps/search/3861+Shader+Rd+Orange+FL</t>
  </si>
  <si>
    <t>4000 Shader Rd</t>
  </si>
  <si>
    <t>Apr (Shader Road) Limited Partnershi C/O Apr Acquisitions Inc</t>
  </si>
  <si>
    <t>2229 08 1458 00 110</t>
  </si>
  <si>
    <t>Rivian Automotive Service Center</t>
  </si>
  <si>
    <t>https://www.google.com/maps/search/4000+Shader+Rd+Orange+FL</t>
  </si>
  <si>
    <t>4025 Edgewater Dr</t>
  </si>
  <si>
    <t>Bay Hill Realty LLC</t>
  </si>
  <si>
    <t>2229 10 2632 12 062</t>
  </si>
  <si>
    <t>Unknown / Bay Hill Realty LLC</t>
  </si>
  <si>
    <t>https://search.sunbiz.org/Inquiry/CorporationSearch/SearchResults?InquiryType=EntityName&amp;InquiryDirectionType=ForwardRecord&amp;SearchTerm=BAY%20HILL%20REALTY%20LLC</t>
  </si>
  <si>
    <t>https://www.google.com/maps/search/4025+Edgewater+Dr+Orange+FL</t>
  </si>
  <si>
    <t>4314 Edgewater Dr</t>
  </si>
  <si>
    <t>Mcd Realty LLC</t>
  </si>
  <si>
    <t>2229 10 3480 00 040</t>
  </si>
  <si>
    <t>Vacant / General Service Office</t>
  </si>
  <si>
    <t>https://www.southeasternrealty.com/properties/4314-edgewater-drive/</t>
  </si>
  <si>
    <t>https://www.google.com/maps/search/4314+Edgewater+Dr+Orange+FL</t>
  </si>
  <si>
    <t>1009 Webster Av</t>
  </si>
  <si>
    <t>Krem LLC</t>
  </si>
  <si>
    <t>2229 10 8828 04 080</t>
  </si>
  <si>
    <t>Professional Office (Architect / Design)</t>
  </si>
  <si>
    <t>https://www.google.com/maps/search/1009+Webster+Av+Orange+FL</t>
  </si>
  <si>
    <t>3900 Edgewater Dr</t>
  </si>
  <si>
    <t>Congressional Properties LLC</t>
  </si>
  <si>
    <t>2229 10 8828 05 102</t>
  </si>
  <si>
    <t>Congressional Properties (General Office)</t>
  </si>
  <si>
    <t>https://www.google.com/maps/search/3900+Edgewater+Dr+Orange+FL</t>
  </si>
  <si>
    <t>3920 Edgewater Dr</t>
  </si>
  <si>
    <t>Diocese Of Orlando C/O John G Noonan Bishop</t>
  </si>
  <si>
    <t>2229 10 8828 05 120</t>
  </si>
  <si>
    <t>Diocese of Orlando (Administrative)</t>
  </si>
  <si>
    <t>https://www.google.com/maps/search/3920+Edgewater+Dr+Orange+FL</t>
  </si>
  <si>
    <t>4020 Edgewater Dr</t>
  </si>
  <si>
    <t>4020 Edgewater LLC</t>
  </si>
  <si>
    <t>2229 10 8828 06 130</t>
  </si>
  <si>
    <t>Vacant / New Construction (Office/Medical Shell)</t>
  </si>
  <si>
    <t>https://www.crexi.com/properties/1749832/florida-4020-edgewater-dr-orlando-fl-32804</t>
  </si>
  <si>
    <t>https://www.google.com/maps/search/4020+Edgewater+Dr+Orange+FL</t>
  </si>
  <si>
    <t>4060 Edgewater Dr</t>
  </si>
  <si>
    <t>Edgewater/Venetian Venture LLC</t>
  </si>
  <si>
    <t>2229 10 8828 07 090</t>
  </si>
  <si>
    <t>Venetian Plaza (Retail/General Mix)</t>
  </si>
  <si>
    <t>https://www.google.com/maps/search/4060+Edgewater+Dr+Orange+FL</t>
  </si>
  <si>
    <t>2693 Fairbanks Av W</t>
  </si>
  <si>
    <t>Pob 2693 LLC</t>
  </si>
  <si>
    <t>2229 11 2616 00 211</t>
  </si>
  <si>
    <t>Align Communities (Apartment Leasing)</t>
  </si>
  <si>
    <t>https://www.google.com/maps/search/2693+Fairbanks+Av+W+Orange+FL</t>
  </si>
  <si>
    <t>3434 Edgewater Dr</t>
  </si>
  <si>
    <t>Vcf Properties LLC</t>
  </si>
  <si>
    <t>2229 11 3056 02 090</t>
  </si>
  <si>
    <t>Unknown / VCF Properties LLC</t>
  </si>
  <si>
    <t>https://search.sunbiz.org/Inquiry/CorporationSearch/SearchResults?InquiryType=EntityName&amp;InquiryDirectionType=ForwardRecord&amp;SearchTerm=VCF%20PROPERTIES%20LLC</t>
  </si>
  <si>
    <t>https://www.google.com/maps/search/3434+Edgewater+Dr+Orange+FL</t>
  </si>
  <si>
    <t>1330 Palmetto Av</t>
  </si>
  <si>
    <t>Paulmetto LLC</t>
  </si>
  <si>
    <t>2229 12 0114 01 001</t>
  </si>
  <si>
    <t>Foxtail Coffee / Buttermilk Bakery (Retail)</t>
  </si>
  <si>
    <t>https://www.google.com/maps/search/1330+Palmetto+Av+Orange+FL</t>
  </si>
  <si>
    <t>1415 Gene St</t>
  </si>
  <si>
    <t>Metts Legacy Group LLC</t>
  </si>
  <si>
    <t>2229 12 0664 00 310</t>
  </si>
  <si>
    <t>Vacant / General Admin Office</t>
  </si>
  <si>
    <t>https://realtyzapp.com/Listing/12462/1415-Gene-Street,-Winter-Park,-Florida-32789</t>
  </si>
  <si>
    <t>https://www.google.com/maps/search/1415+Gene+St+Orange+FL</t>
  </si>
  <si>
    <t>925 Denning Dr S</t>
  </si>
  <si>
    <t>Tudor Properties Inc</t>
  </si>
  <si>
    <t>2229 12 1048 02 190</t>
  </si>
  <si>
    <t>Tudor Properties (Residential/Holding)</t>
  </si>
  <si>
    <t>https://search.sunbiz.org/Inquiry/CorporationSearch/SearchResults?InquiryType=EntityName&amp;InquiryDirectionType=ForwardRecord&amp;SearchTerm=TUDOR%20PROPERTIES%20INC</t>
  </si>
  <si>
    <t>https://www.google.com/maps/search/925+Denning+Dr+S+Orange+FL</t>
  </si>
  <si>
    <t>882 Jackson Av</t>
  </si>
  <si>
    <t>Kba Belleview LLC</t>
  </si>
  <si>
    <t>2229 12 2136 02 030</t>
  </si>
  <si>
    <t>Residential / KBA Belleview LLC</t>
  </si>
  <si>
    <t>https://www.realtor.com/realestateandhomes-detail/882-Jackson-Ave_Winter-Park_FL_32789_M50311-66795</t>
  </si>
  <si>
    <t>https://www.google.com/maps/search/882+Jackson+Av+Orange+FL</t>
  </si>
  <si>
    <t>1313 Fairbanks Av W</t>
  </si>
  <si>
    <t>Winter Park Land Development LLC</t>
  </si>
  <si>
    <t>2229 12 4172 03 020</t>
  </si>
  <si>
    <t>Fairview Office Property (General/Vacant)</t>
  </si>
  <si>
    <t>https://www.loopnet.com/Listing/1313-W-Fairbanks-Ave-Winter-Park-FL/21209831/</t>
  </si>
  <si>
    <t>https://www.google.com/maps/search/1313+Fairbanks+Av+W+Orange+FL</t>
  </si>
  <si>
    <t>1240 Fairview Av</t>
  </si>
  <si>
    <t>2229 12 4172 06 130</t>
  </si>
  <si>
    <t>https://www.zillow.com/homedetails/1240-Fairview-Ave-Winter-Park-FL-32789/46187784_zpid/</t>
  </si>
  <si>
    <t>https://www.google.com/maps/search/1240+Fairview+Av+Orange+FL</t>
  </si>
  <si>
    <t>1710 Fairbanks Av W</t>
  </si>
  <si>
    <t>Massmen W Fairbanks Fl LLC</t>
  </si>
  <si>
    <t>2229 12 5000 03 021</t>
  </si>
  <si>
    <t>https://www.realtor.com/realestateandhomes-detail/1710-Westchester-Ave_Winter-Park_FL_32789_M52622-98984</t>
  </si>
  <si>
    <t>https://www.google.com/maps/search/1710+Fairbanks+Av+W+Orange+FL</t>
  </si>
  <si>
    <t>650 Clay St</t>
  </si>
  <si>
    <t>2229 12 5000 04 050</t>
  </si>
  <si>
    <t>Unknown / Anafais Holdings</t>
  </si>
  <si>
    <t>https://search.sunbiz.org/Inquiry/CorporationSearch/SearchResults?InquiryType=EntityName&amp;InquiryDirectionType=ForwardRecord&amp;SearchTerm=ANAFAIS%20HOLDINGS%20LLC</t>
  </si>
  <si>
    <t>https://www.google.com/maps/search/650+Clay+St+Orange+FL</t>
  </si>
  <si>
    <t>650 Nicolet Av</t>
  </si>
  <si>
    <t>Sgk Properties LLC</t>
  </si>
  <si>
    <t>2229 12 5004 02 030</t>
  </si>
  <si>
    <t>Vacant Office / Residential Conversion</t>
  </si>
  <si>
    <t>https://www.zillow.com/homedetails/650-Nicolet-Ave-Winter-Park-FL-32789/46193741_zpid/</t>
  </si>
  <si>
    <t>https://www.google.com/maps/search/650+Nicolet+Av+Orange+FL</t>
  </si>
  <si>
    <t>1844 Fairbanks Av W</t>
  </si>
  <si>
    <t>361 E Kings Way LLC</t>
  </si>
  <si>
    <t>2229 12 6172 02 020</t>
  </si>
  <si>
    <t>America's Sleep Store / Anti-Aging Bed</t>
  </si>
  <si>
    <t>https://www.google.com/maps/search/1844+Fairbanks+Av+W+Orange+FL</t>
  </si>
  <si>
    <t>800 Formosa Av</t>
  </si>
  <si>
    <t>Ndw Real Estate LLC</t>
  </si>
  <si>
    <t>2229 12 6172 05 200</t>
  </si>
  <si>
    <t>Residential / NDW Real Estate</t>
  </si>
  <si>
    <t>https://www.realtor.com/realestateandhomes-detail/800-Formosa-Ave_Winter-Park_FL_32789_M52994-43632</t>
  </si>
  <si>
    <t>https://www.google.com/maps/search/800+Formosa+Av+Orange+FL</t>
  </si>
  <si>
    <t>1151 Orange Av</t>
  </si>
  <si>
    <t>Ron York Trust &amp; Julie York Trust Ron York Trustee</t>
  </si>
  <si>
    <t>2229 12 6600 00 290</t>
  </si>
  <si>
    <t>Vacant / Sole Proprietor Office</t>
  </si>
  <si>
    <t>https://www.loopnet.com/Listing/1151-Orange-Ave-Winter-Park-FL/12141672/</t>
  </si>
  <si>
    <t>https://www.google.com/maps/search/1151+Orange+Av+Orange+FL</t>
  </si>
  <si>
    <t>1000 Orlando Av S</t>
  </si>
  <si>
    <t>1000 S Orlando Ave LLC</t>
  </si>
  <si>
    <t>2229 12 6600 00 710</t>
  </si>
  <si>
    <t>Vacant / Investment Sale (General Commercial)</t>
  </si>
  <si>
    <t>https://www.lee-associates.com/properties/?propertyId=1575382-sale&amp;address=1000-S-Orlando-Ave&amp;officeId=2137</t>
  </si>
  <si>
    <t>https://www.google.com/maps/search/1000+Orlando+Av+S+Orange+FL</t>
  </si>
  <si>
    <t>750 Orlando Av S</t>
  </si>
  <si>
    <t>Dpg 750 S Orlando Ave II LLC &amp; Dpg 750 S Orlando Ave III LLC</t>
  </si>
  <si>
    <t>2229 12 7940 01 010</t>
  </si>
  <si>
    <t>General Retail / Office Mix</t>
  </si>
  <si>
    <t>https://www.google.com/maps/search/750+Orlando+Av+S+Orange+FL</t>
  </si>
  <si>
    <t>316 Groveland St</t>
  </si>
  <si>
    <t>Groveland Building LLC</t>
  </si>
  <si>
    <t>2229 13 0540 01 030</t>
  </si>
  <si>
    <t>Unknown / Groveland Building LLC</t>
  </si>
  <si>
    <t>https://search.sunbiz.org/Inquiry/CorporationSearch/SearchResults?InquiryType=EntityName&amp;InquiryDirectionType=ForwardRecord&amp;SearchTerm=GROVELAND%20BUILDING%20LLC</t>
  </si>
  <si>
    <t>https://www.google.com/maps/search/316+Groveland+St+Orange+FL</t>
  </si>
  <si>
    <t>324 Par St E</t>
  </si>
  <si>
    <t>Bearfish LLC The Bywater Company</t>
  </si>
  <si>
    <t>2229 13 0540 04 041</t>
  </si>
  <si>
    <t>The Bywater Company (Real Estate Office)</t>
  </si>
  <si>
    <t>https://www.google.com/maps/search/324+Par+St+E+Orange+FL</t>
  </si>
  <si>
    <t>718 Virginia Dr</t>
  </si>
  <si>
    <t>James P Strollo Trust James P Strollo Trustee</t>
  </si>
  <si>
    <t>2229 13 0928 04 090</t>
  </si>
  <si>
    <t>Residential / Strollo Trust</t>
  </si>
  <si>
    <t>https://www.zillow.com/homedetails/718-Virginia-Dr-Winter-Park-FL-32789/46199321_zpid/</t>
  </si>
  <si>
    <t>https://www.google.com/maps/search/718+Virginia+Dr+Orange+FL</t>
  </si>
  <si>
    <t>2921 Orange Av N</t>
  </si>
  <si>
    <t>2229 13 2784 02 010</t>
  </si>
  <si>
    <t>Residential / Off Market</t>
  </si>
  <si>
    <t>https://www.zillow.com/homedetails/2921-N-Orange-Ave-Sarasota-FL-34234/80430408_zpid/</t>
  </si>
  <si>
    <t>https://www.google.com/maps/search/2921+Orange+Av+N+Orange+FL</t>
  </si>
  <si>
    <t>321 Yale St E</t>
  </si>
  <si>
    <t>6860 Orlando Group LLC</t>
  </si>
  <si>
    <t>2229 13 7724 03 180</t>
  </si>
  <si>
    <t>Vacant Office For Sale (LoopNet)</t>
  </si>
  <si>
    <t>https://www.loopnet.com/portfolio-property/321-E-Yale-St-Orlando-FL/12801630/</t>
  </si>
  <si>
    <t>https://www.google.com/maps/search/321+Yale+St+E+Orange+FL</t>
  </si>
  <si>
    <t>1920 Orange Av N</t>
  </si>
  <si>
    <t>Nps Holdings LLC</t>
  </si>
  <si>
    <t>1940</t>
  </si>
  <si>
    <t>2229 13 7732 00 011</t>
  </si>
  <si>
    <t>Bacchus Law Firm, P.A.</t>
  </si>
  <si>
    <t>https://www.google.com/maps/search/1920+Orange+Av+N+Orange+FL</t>
  </si>
  <si>
    <t>726 Vassar St</t>
  </si>
  <si>
    <t>726 Vassar Street LLC</t>
  </si>
  <si>
    <t>1929</t>
  </si>
  <si>
    <t>2229 14 1460 01 190</t>
  </si>
  <si>
    <t>Salon Renter (Hair Salons)</t>
  </si>
  <si>
    <t>https://www.google.com/maps/search/726+Vassar+St+Orange+FL</t>
  </si>
  <si>
    <t>636 Yale St W</t>
  </si>
  <si>
    <t>Esther Hoffman LLC</t>
  </si>
  <si>
    <t>2229 14 1478 00 990</t>
  </si>
  <si>
    <t>Divine &amp; Estes, P.A. (Law Firm)</t>
  </si>
  <si>
    <t>https://www.google.com/maps/search/636+Yale+St+W+Orange+FL</t>
  </si>
  <si>
    <t>2627 Edgewater Dr</t>
  </si>
  <si>
    <t>2627 Edgewater Drive LLC</t>
  </si>
  <si>
    <t>2229 14 2244 02 270</t>
  </si>
  <si>
    <t>Vacant / For Rent (Royal Shell)</t>
  </si>
  <si>
    <t>https://www.royalshellrealestate.com/commercial/mfr/ns1084182/2627-edgewater-drive-orlando-fl-32804</t>
  </si>
  <si>
    <t>https://www.google.com/maps/search/2627+Edgewater+Dr+Orange+FL</t>
  </si>
  <si>
    <t>1528 Vassar St</t>
  </si>
  <si>
    <t>Bowen Federico J &amp; Matthews William H</t>
  </si>
  <si>
    <t>ORLIG/</t>
  </si>
  <si>
    <t>2229 15 3160 03 010</t>
  </si>
  <si>
    <t>Bowen Engineering Corporation</t>
  </si>
  <si>
    <t>https://www.google.com/maps/search/1528+Vassar+St+Orange+FL</t>
  </si>
  <si>
    <t>2525 Industrial Bl</t>
  </si>
  <si>
    <t>Aristomark LLC</t>
  </si>
  <si>
    <t>2229 16 9295 02 070</t>
  </si>
  <si>
    <t>Industrial / Warehouse</t>
  </si>
  <si>
    <t>https://en.wikipedia.org/wiki/Lucent_Technologies</t>
  </si>
  <si>
    <t>https://www.google.com/maps/search/2525+Industrial+Bl+Orange+FL</t>
  </si>
  <si>
    <t>4950 Silver Star Rd</t>
  </si>
  <si>
    <t>Gomez Family Trust David &amp; Raquel Gomez Co Trs</t>
  </si>
  <si>
    <t>ORGR3</t>
  </si>
  <si>
    <t>2229 18 2534 03 010</t>
  </si>
  <si>
    <t>Vacant / Storage (Former Office)</t>
  </si>
  <si>
    <t>https://www.realty.com/commercial-listings/270295940/4950-Silver-Star-Road-Orlando-FL-32808</t>
  </si>
  <si>
    <t>https://www.google.com/maps/search/4950+Silver+Star+Rd+Orange+FL</t>
  </si>
  <si>
    <t>5404 Silver Star Rd</t>
  </si>
  <si>
    <t>Rinas Properties LLC</t>
  </si>
  <si>
    <t>2229 18 8052 00 012</t>
  </si>
  <si>
    <t>Emmanuel Funeral Home</t>
  </si>
  <si>
    <t>https://www.google.com/maps/search/5404+Silver+Star+Rd+Orange+FL</t>
  </si>
  <si>
    <t>5401 Alhambra Dr</t>
  </si>
  <si>
    <t>121 Ave LLC</t>
  </si>
  <si>
    <t>2229 19 6954 02 010</t>
  </si>
  <si>
    <t>Vacant Office Suites (For Rent)</t>
  </si>
  <si>
    <t>https://www.redfin.com/FL/Orlando/5401-Alhambra-Dr-32808/unit-EF/home/199158200</t>
  </si>
  <si>
    <t>https://www.google.com/maps/search/5401+Alhambra+Dr+Orange+FL</t>
  </si>
  <si>
    <t>5025 Colonial Dr W</t>
  </si>
  <si>
    <t>Afn Absprop001 LLC C/O Global Net Lease Inc</t>
  </si>
  <si>
    <t>2229 19 6954 08 020</t>
  </si>
  <si>
    <t>Truist Bank</t>
  </si>
  <si>
    <t>https://www.google.com/maps/search/5025+Colonial+Dr+W+Orange+FL</t>
  </si>
  <si>
    <t>811 Deauville Dr</t>
  </si>
  <si>
    <t>2229 19 6954 08 044</t>
  </si>
  <si>
    <t>https://www.google.com/maps/search/811+Deauville+Dr+Orange+FL</t>
  </si>
  <si>
    <t>1322 Pine Hills Rd N</t>
  </si>
  <si>
    <t>1322 Ph Property Holdings Inc</t>
  </si>
  <si>
    <t>2229 19 6978 12 080</t>
  </si>
  <si>
    <t>Allan A Ali CPA</t>
  </si>
  <si>
    <t>https://www.google.com/maps/search/1322+Pine+Hills+Rd+N+Orange+FL</t>
  </si>
  <si>
    <t>2600 Technology Dr</t>
  </si>
  <si>
    <t>Discovery Education Holdings LLC</t>
  </si>
  <si>
    <t>2229 21 6380 00 030</t>
  </si>
  <si>
    <t>Discovery Education (EdTech)</t>
  </si>
  <si>
    <t>https://www.google.com/maps/search/2600+Technology+Dr+Orange+FL</t>
  </si>
  <si>
    <t>1901 Colonial Dr W</t>
  </si>
  <si>
    <t>1901 West Holdings LLC</t>
  </si>
  <si>
    <t>2229 22 1545 00 020</t>
  </si>
  <si>
    <t>Aspire Legal Solutions</t>
  </si>
  <si>
    <t>https://www.google.com/maps/search/1901+Colonial+Dr+W+Orange+FL</t>
  </si>
  <si>
    <t>1332 Colonial Dr W</t>
  </si>
  <si>
    <t>W L Neilson Trust</t>
  </si>
  <si>
    <t>1972</t>
  </si>
  <si>
    <t>2229 22 8252 07 071</t>
  </si>
  <si>
    <t>Neilson &amp; Associates (Law Firm)</t>
  </si>
  <si>
    <t>https://www.google.com/maps/search/1332+Colonial+Dr+W+Orange+FL</t>
  </si>
  <si>
    <t>1404 Colonial Dr W</t>
  </si>
  <si>
    <t>Jdfl Homes LLC</t>
  </si>
  <si>
    <t>2229 22 8252 07 141</t>
  </si>
  <si>
    <t>Vacant / Sold (Former Office)</t>
  </si>
  <si>
    <t>https://alignrightrealty.com/sold-listing/detail/1068824121/1404-W-COLONIAL-DR-Orlando-FL</t>
  </si>
  <si>
    <t>https://www.google.com/maps/search/1404+Colonial+Dr+W+Orange+FL</t>
  </si>
  <si>
    <t>1223 Edgewater Dr</t>
  </si>
  <si>
    <t>C P Sutton Bldg LLC</t>
  </si>
  <si>
    <t>2229 23 0012 01 070</t>
  </si>
  <si>
    <t>Keller Williams Realty</t>
  </si>
  <si>
    <t>https://www.google.com/maps/search/1223+Edgewater+Dr+Orange+FL</t>
  </si>
  <si>
    <t>117 Marks St E</t>
  </si>
  <si>
    <t>Girley Nguyen Jones Partnership LLP</t>
  </si>
  <si>
    <t>2229 23 1300 00 900</t>
  </si>
  <si>
    <t>The Girley Law Firm</t>
  </si>
  <si>
    <t>https://www.google.com/maps/search/117+Marks+St+E+Orange+FL</t>
  </si>
  <si>
    <t>225 Marks St E</t>
  </si>
  <si>
    <t>Os Complex Inc</t>
  </si>
  <si>
    <t>2229 23 1300 00 980</t>
  </si>
  <si>
    <t>Commercial Real Estate Professionals Inc</t>
  </si>
  <si>
    <t>https://www.google.com/maps/search/225+Marks+St+E+Orange+FL</t>
  </si>
  <si>
    <t>751 Colonial Dr W</t>
  </si>
  <si>
    <t>Doggos Investments LLC</t>
  </si>
  <si>
    <t>2229 23 1601 00 010</t>
  </si>
  <si>
    <t>Ron's Miniature Shop (Retail)</t>
  </si>
  <si>
    <t>https://www.google.com/maps/search/751+Colonial+Dr+W+Orange+FL</t>
  </si>
  <si>
    <t>746 Magnolia Av N</t>
  </si>
  <si>
    <t>Magnolia Place Holdings LLC</t>
  </si>
  <si>
    <t>1941</t>
  </si>
  <si>
    <t>ORLAC3</t>
  </si>
  <si>
    <t>2229 23 1720 00 181</t>
  </si>
  <si>
    <t>Imperium Title &amp; Escrow</t>
  </si>
  <si>
    <t>https://www.google.com/maps/search/746+Magnolia+Av+N+Orange+FL</t>
  </si>
  <si>
    <t>924 Magnolia Av N</t>
  </si>
  <si>
    <t>North Magnolia Owner LLC</t>
  </si>
  <si>
    <t>2229 23 2552 00 380</t>
  </si>
  <si>
    <t>CyberColosseum Solutions / Law Offices</t>
  </si>
  <si>
    <t>https://www.google.com/maps/search/924+Magnolia+Av+N+Orange+FL</t>
  </si>
  <si>
    <t>1401 Edgewater Dr</t>
  </si>
  <si>
    <t>Rsh Holdings LLC</t>
  </si>
  <si>
    <t>2229 23 3908 01 120</t>
  </si>
  <si>
    <t>Bishop Beale Duncan (Real Estate Office)</t>
  </si>
  <si>
    <t>https://www.google.com/maps/search/1401+Edgewater+Dr+Orange+FL</t>
  </si>
  <si>
    <t>1 Colonial Dr E</t>
  </si>
  <si>
    <t>Mkvs Investments Group Inc</t>
  </si>
  <si>
    <t>1938</t>
  </si>
  <si>
    <t>2229 23 4160 00 062</t>
  </si>
  <si>
    <t>Park Square Plaza (Retail/Student Housing)</t>
  </si>
  <si>
    <t>https://www.google.com/maps/search/1+Colonial+Dr+E+Orange+FL</t>
  </si>
  <si>
    <t>1402 Edgewater Dr</t>
  </si>
  <si>
    <t>2022/01</t>
  </si>
  <si>
    <t>Red Apple At College Park LLC</t>
  </si>
  <si>
    <t>2229 23 9444 00 140</t>
  </si>
  <si>
    <t>Vacant / Former Bank Branch</t>
  </si>
  <si>
    <t>https://www.loopnet.com/Listing/1402-Edgewater-Dr-Orlando-FL/23331422/</t>
  </si>
  <si>
    <t>https://www.google.com/maps/search/1402+Edgewater+Dr+Orange+FL</t>
  </si>
  <si>
    <t>Confidential</t>
  </si>
  <si>
    <t>2229 24 0472 00 030</t>
  </si>
  <si>
    <t>Confidential Listing (Skip)</t>
  </si>
  <si>
    <t>https://www.google.com/maps/search/Confidential+Orange+FL</t>
  </si>
  <si>
    <t>315 Park Lake Ci</t>
  </si>
  <si>
    <t>Elevation Fortis At Park Lake LLC</t>
  </si>
  <si>
    <t>2229 24 1230 00 020</t>
  </si>
  <si>
    <t>Lexington Court Apartments (Leasing Office)</t>
  </si>
  <si>
    <t>https://www.google.com/maps/search/315+Park+Lake+Ci+Orange+FL</t>
  </si>
  <si>
    <t>307 Park Lake Ci</t>
  </si>
  <si>
    <t>2229 24 1230 00 030</t>
  </si>
  <si>
    <t>Vacant Office For Sale</t>
  </si>
  <si>
    <t>https://www.loopnet.com/portfolio-property/307-Park-Lake-Cir-Orlando-FL/431300/</t>
  </si>
  <si>
    <t>https://www.google.com/maps/search/307+Park+Lake+Ci+Orange+FL</t>
  </si>
  <si>
    <t>815 Magnolia Av N</t>
  </si>
  <si>
    <t>Hazon 2020 LLC</t>
  </si>
  <si>
    <t>2229 24 1333 01 000</t>
  </si>
  <si>
    <t>The Young Law Firm / iWorkspaces</t>
  </si>
  <si>
    <t>https://www.google.com/maps/search/815+Magnolia+Av+N+Orange+FL</t>
  </si>
  <si>
    <t>839 Magnolia Av N</t>
  </si>
  <si>
    <t>Ristreto Enterprises Corp</t>
  </si>
  <si>
    <t>2229 24 5440 01 090</t>
  </si>
  <si>
    <t>Vacant / Development Site (Magnolia Lofts)</t>
  </si>
  <si>
    <t>https://acramgroup.com/magnolia-lofts.html</t>
  </si>
  <si>
    <t>https://www.google.com/maps/search/839+Magnolia+Av+N+Orange+FL</t>
  </si>
  <si>
    <t>120 Marks St E</t>
  </si>
  <si>
    <t>120 Marks LLC</t>
  </si>
  <si>
    <t>2229 24 5440 01 130</t>
  </si>
  <si>
    <t>Vacant Office (For Lease)</t>
  </si>
  <si>
    <t>https://www.loopnet.com/Listing/120-E-Marks-St-Orlando-FL/20611445/</t>
  </si>
  <si>
    <t>https://www.google.com/maps/search/120+Marks+St+E+Orange+FL</t>
  </si>
  <si>
    <t>601 Colonial Dr E</t>
  </si>
  <si>
    <t>Park50 LLC</t>
  </si>
  <si>
    <t>2229 24 8296 00 031</t>
  </si>
  <si>
    <t>Colonial Plaza (Retail - Sprouts/Total Wine)</t>
  </si>
  <si>
    <t>https://www.google.com/maps/search/601+Colonial+Dr+E+Orange+FL</t>
  </si>
  <si>
    <t>615 Colonial Dr E</t>
  </si>
  <si>
    <t>Fcpg 615 Owner LLC</t>
  </si>
  <si>
    <t>2229 24 8296 00 032</t>
  </si>
  <si>
    <t>First Capital Property Group (Property Mgmt)</t>
  </si>
  <si>
    <t>https://www.google.com/maps/search/615+Colonial+Dr+E+Orange+FL</t>
  </si>
  <si>
    <t>639 Colonial Dr E</t>
  </si>
  <si>
    <t>964 Lake Baldwin Lane LLC</t>
  </si>
  <si>
    <t>2229 24 8296 00 111</t>
  </si>
  <si>
    <t>Vacant Generic Office</t>
  </si>
  <si>
    <t>https://www.loopnet.com/property/639-e-colonial-dr-orlando-fl-32803/12095-292224829600111/</t>
  </si>
  <si>
    <t>https://www.google.com/maps/search/639+Colonial+Dr+E+Orange+FL</t>
  </si>
  <si>
    <t>633 Colonial Dr E</t>
  </si>
  <si>
    <t>2229 24 8296 00 112</t>
  </si>
  <si>
    <t>Vacant Class A Office (For Sale)</t>
  </si>
  <si>
    <t>https://www.showcase.com/633-e-colonial-dr-orlando-fl-32803/31666879/</t>
  </si>
  <si>
    <t>https://www.google.com/maps/search/633+Colonial+Dr+E+Orange+FL</t>
  </si>
  <si>
    <t>221 Ivanhoe Bl N</t>
  </si>
  <si>
    <t>Burke Street Holdings LLC</t>
  </si>
  <si>
    <t>2229 24 8336 03 030</t>
  </si>
  <si>
    <t>Storey Law Group, P.A.</t>
  </si>
  <si>
    <t>https://www.google.com/maps/search/221+Ivanhoe+Bl+N+Orange+FL</t>
  </si>
  <si>
    <t>910 Fern Creek Av N</t>
  </si>
  <si>
    <t>Y Squared Management LLC</t>
  </si>
  <si>
    <t>2229 24 8436 00 050</t>
  </si>
  <si>
    <t>FL Fusion Realty Group</t>
  </si>
  <si>
    <t>https://www.google.com/maps/search/910+Fern+Creek+Av+N+Orange+FL</t>
  </si>
  <si>
    <t>834 Highland Av</t>
  </si>
  <si>
    <t>Starling Highland Leasing LLC</t>
  </si>
  <si>
    <t>2229 24 8484 00 230</t>
  </si>
  <si>
    <t>Vacant Office (Foundry Commercial Listing)</t>
  </si>
  <si>
    <t>https://www.loopnet.com/Listing/834-Highland-Ave-Orlando-FL/23885373/</t>
  </si>
  <si>
    <t>https://www.google.com/maps/search/834+Highland+Av+Orange+FL</t>
  </si>
  <si>
    <t>211 Colonial Dr E</t>
  </si>
  <si>
    <t>Jayma Ambe Colonial LLC</t>
  </si>
  <si>
    <t>2229 25 0920 00 391</t>
  </si>
  <si>
    <t>Super 8 by Wyndham (Hospitality)</t>
  </si>
  <si>
    <t>https://www.google.com/maps/search/211+Colonial+Dr+E+Orange+FL</t>
  </si>
  <si>
    <t>1512 Robinson St E</t>
  </si>
  <si>
    <t>Defeo Properties LLC</t>
  </si>
  <si>
    <t>1939</t>
  </si>
  <si>
    <t>2229 25 1012 01 030</t>
  </si>
  <si>
    <t>Residential / Condo Rental</t>
  </si>
  <si>
    <t>https://www.homes.com/orlando-fl/condos-for-sale/3-bedroom/p3/</t>
  </si>
  <si>
    <t>https://www.google.com/maps/search/1512+Robinson+St+E+Orange+FL</t>
  </si>
  <si>
    <t>704 Colonial Dr E</t>
  </si>
  <si>
    <t>224 Camron Lane LLC</t>
  </si>
  <si>
    <t>2229 25 1520 01 090</t>
  </si>
  <si>
    <t>https://www.commercialcafe.com/commercial-property/us/fl/orlando/704-712-e-colonial-drive-1/</t>
  </si>
  <si>
    <t>https://www.google.com/maps/search/704+Colonial+Dr+E+Orange+FL</t>
  </si>
  <si>
    <t>330 Central Bl E</t>
  </si>
  <si>
    <t>Arriere Land Trust 40% Int &amp; Assemble Land Trust 40% Int</t>
  </si>
  <si>
    <t>2229 25 1940 00 050</t>
  </si>
  <si>
    <t>RE/MAX Town Centre (Real Estate)</t>
  </si>
  <si>
    <t>https://www.google.com/maps/search/330+Central+Bl+E+Orange+FL</t>
  </si>
  <si>
    <t>322 Pine St E</t>
  </si>
  <si>
    <t>Ronald Black And Elizabeth Black Rev Ronald W &amp; Elizabeth T Black Trs</t>
  </si>
  <si>
    <t>2229 25 1940 00 160</t>
  </si>
  <si>
    <t>Vacant / Office Building For Lease</t>
  </si>
  <si>
    <t>https://www.loopnet.com/Listing/322-E-Pine-St-Orlando-FL/8878701/</t>
  </si>
  <si>
    <t>https://www.google.com/maps/search/322+Pine+St+E+Orange+FL</t>
  </si>
  <si>
    <t>215 Central Bl E</t>
  </si>
  <si>
    <t>Community Redevelopment Agency Of Th</t>
  </si>
  <si>
    <t>1927</t>
  </si>
  <si>
    <t>2229 25 3140 03 010</t>
  </si>
  <si>
    <t>Community Redevelopment Agency (Govt)</t>
  </si>
  <si>
    <t>https://www.google.com/maps/search/215+Central+Bl+E+Orange+FL</t>
  </si>
  <si>
    <t>1415 Robinson St E</t>
  </si>
  <si>
    <t>1415 East Robinson LLC</t>
  </si>
  <si>
    <t>2229 25 3228 05 071</t>
  </si>
  <si>
    <t>https://www.zillow.com/homedetails/1415-E-Robinson-St-Orlando-FL-32801/2074383685_zpid/</t>
  </si>
  <si>
    <t>https://www.google.com/maps/search/1415+Robinson+St+E+Orange+FL</t>
  </si>
  <si>
    <t>1201 Robinson St E</t>
  </si>
  <si>
    <t>Kcz Holdings LLC</t>
  </si>
  <si>
    <t>2229 25 3228 06 043</t>
  </si>
  <si>
    <t>General Office (Law / Professional)</t>
  </si>
  <si>
    <t>https://www.loopnet.com/Listing/1201-E-Robinson-St-Orlando-FL/25446883/</t>
  </si>
  <si>
    <t>https://www.google.com/maps/search/1201+Robinson+St+E+Orange+FL</t>
  </si>
  <si>
    <t>421 Robinson St E</t>
  </si>
  <si>
    <t>Black Business Investment Fund Inc</t>
  </si>
  <si>
    <t>2229 25 3632 00 040</t>
  </si>
  <si>
    <t>Vacant / Gov Tenant (For Sale)</t>
  </si>
  <si>
    <t>https://www.floridaneighborhoodrealty.com/downtown-orlando-commercial-properties-sale/</t>
  </si>
  <si>
    <t>https://www.google.com/maps/search/421+Robinson+St+E+Orange+FL</t>
  </si>
  <si>
    <t>408 Ridgewood St E</t>
  </si>
  <si>
    <t>Barefoot In Mangroves LLC</t>
  </si>
  <si>
    <t>2229 25 3632 00 101</t>
  </si>
  <si>
    <t>O'Neil Lee &amp; West (Insurance)</t>
  </si>
  <si>
    <t>https://www.google.com/maps/search/408+Ridgewood+St+E+Orange+FL</t>
  </si>
  <si>
    <t>206 Hillcrest St</t>
  </si>
  <si>
    <t>Muenster Land LLC</t>
  </si>
  <si>
    <t>2229 25 3704 00 010</t>
  </si>
  <si>
    <t>Vacant Retail / Office (For Lease)</t>
  </si>
  <si>
    <t>https://www.loopnet.com/Listing/206-Hillcrest-St-Orlando-FL/31963099/</t>
  </si>
  <si>
    <t>https://www.google.com/maps/search/206+Hillcrest+St+Orange+FL</t>
  </si>
  <si>
    <t>717 Magnolia Av N</t>
  </si>
  <si>
    <t>717 North Magnolia Land Trust Ramond Lam Trustee</t>
  </si>
  <si>
    <t>2229 25 5544 00 060</t>
  </si>
  <si>
    <t>Vacant / Small Office Sale</t>
  </si>
  <si>
    <t>https://totalcommercial.com/listings/66997</t>
  </si>
  <si>
    <t>https://www.google.com/maps/search/717+Magnolia+Av+N+Orange+FL</t>
  </si>
  <si>
    <t>621 Washington St E</t>
  </si>
  <si>
    <t>Cnvb LLC</t>
  </si>
  <si>
    <t>2229 25 5728 00 030</t>
  </si>
  <si>
    <t>Om Engineering Services</t>
  </si>
  <si>
    <t>https://www.google.com/maps/search/621+Washington+St+E+Orange+FL</t>
  </si>
  <si>
    <t>419 Magnolia Av N</t>
  </si>
  <si>
    <t>Mahavir Land Trust Nataraja Management LLC Trustee</t>
  </si>
  <si>
    <t>1910</t>
  </si>
  <si>
    <t>2229 25 8208 00 111</t>
  </si>
  <si>
    <t>Viper Construction Company</t>
  </si>
  <si>
    <t>https://www.google.com/maps/search/419+Magnolia+Av+N+Orange+FL</t>
  </si>
  <si>
    <t>924 Colonial Dr W</t>
  </si>
  <si>
    <t>924 West Investment LLC</t>
  </si>
  <si>
    <t>1962</t>
  </si>
  <si>
    <t>2229 26 0284 00 220</t>
  </si>
  <si>
    <t>Residential / 924 West Investment LLC</t>
  </si>
  <si>
    <t>https://vaclmweb1.brevardclerk.us/AcclaimWeb/Image/DocumentPdfAllPages/12876624</t>
  </si>
  <si>
    <t>https://www.google.com/maps/search/924+Colonial+Dr+W+Orange+FL</t>
  </si>
  <si>
    <t>211 Magnolia Av N</t>
  </si>
  <si>
    <t>Amelia Street LLC</t>
  </si>
  <si>
    <t>2229 26 1712 00 072</t>
  </si>
  <si>
    <t>Vacant / Office Land</t>
  </si>
  <si>
    <t>https://www.loopnet.com/property/211-n-magnolia-ave-orlando-fl-32801/12095-262229171200072/</t>
  </si>
  <si>
    <t>https://www.google.com/maps/search/211+Magnolia+Av+N+Orange+FL</t>
  </si>
  <si>
    <t>100 Washington St W</t>
  </si>
  <si>
    <t>Ballote Land Trust Nataraja Management LLC Trustee</t>
  </si>
  <si>
    <t>2229 26 3108 00 011</t>
  </si>
  <si>
    <t>Duryea Law Firm</t>
  </si>
  <si>
    <t>https://www.google.com/maps/search/100+Washington+St+W+Orange+FL</t>
  </si>
  <si>
    <t>515 Central Bl W</t>
  </si>
  <si>
    <t>K &amp; B Partnership LLC</t>
  </si>
  <si>
    <t>2229 26 3804 02 170</t>
  </si>
  <si>
    <t>Unknown / K &amp; B Partnership</t>
  </si>
  <si>
    <t>https://www.google.com/maps/search/515+Central+Bl+W+Orange+FL</t>
  </si>
  <si>
    <t>36 Jackson St E</t>
  </si>
  <si>
    <t>New Venture V LLC</t>
  </si>
  <si>
    <t>2229 26 5936 00 021</t>
  </si>
  <si>
    <t>Vacant Office (Arts District)</t>
  </si>
  <si>
    <t>https://www.loopnet.com/Listing/36-E-Jackson-St-Orlando-FL/20267990/</t>
  </si>
  <si>
    <t>https://www.google.com/maps/search/36+Jackson+St+E+Orange+FL</t>
  </si>
  <si>
    <t>711 Amelia St W</t>
  </si>
  <si>
    <t>711 W Amelia St LLC</t>
  </si>
  <si>
    <t>2229 26 6236 00 620</t>
  </si>
  <si>
    <t>Vacant Office Suite (For Lease)</t>
  </si>
  <si>
    <t>https://www.smithandassociates.com/listing/711-w-amelia-street-unit-b-orlando-fl-32805-1401-s5139952/</t>
  </si>
  <si>
    <t>https://www.google.com/maps/search/711+Amelia+St+W+Orange+FL</t>
  </si>
  <si>
    <t>600 Robinson St W</t>
  </si>
  <si>
    <t>Peoples Gas System Inc</t>
  </si>
  <si>
    <t>2229 26 6716 02 010</t>
  </si>
  <si>
    <t>TECO Peoples Gas (Utility)</t>
  </si>
  <si>
    <t>https://www.google.com/maps/search/600+Robinson+St+W+Orange+FL</t>
  </si>
  <si>
    <t>56 Pine St E</t>
  </si>
  <si>
    <t>Dre 56 E Pine Street LLC</t>
  </si>
  <si>
    <t>1923</t>
  </si>
  <si>
    <t>2229 26 7352 25 011</t>
  </si>
  <si>
    <t>Sessions Lounge (Hospitality)</t>
  </si>
  <si>
    <t>https://www.google.com/maps/search/56+Pine+St+E+Orange+FL</t>
  </si>
  <si>
    <t>38 Pine St E</t>
  </si>
  <si>
    <t>Outward Bound Land Company Of Florid</t>
  </si>
  <si>
    <t>2229 26 7352 25 132</t>
  </si>
  <si>
    <t>Outward Bound / Loft Office</t>
  </si>
  <si>
    <t>https://www.loopnet.com/Listing/38-E-Pine-St-Orlando-FL/30296637/</t>
  </si>
  <si>
    <t>https://www.google.com/maps/search/38+Pine+St+E+Orange+FL</t>
  </si>
  <si>
    <t>25 Pine St E</t>
  </si>
  <si>
    <t>Zehnmuth LLC</t>
  </si>
  <si>
    <t>2229 26 7352 27 032</t>
  </si>
  <si>
    <t>Unknown / Zehnmuth LLC</t>
  </si>
  <si>
    <t>https://www.google.com/maps/search/25+Pine+St+E+Orange+FL</t>
  </si>
  <si>
    <t>19 Central Bl E</t>
  </si>
  <si>
    <t>Cadabra Realty Corp</t>
  </si>
  <si>
    <t>1903</t>
  </si>
  <si>
    <t>2229 26 7352 28 011</t>
  </si>
  <si>
    <t>Cadabra Realty (Real Estate)</t>
  </si>
  <si>
    <t>https://www.loopnet.com/Listing/19-E-Central-Blvd-Orlando-FL/28269397/</t>
  </si>
  <si>
    <t>https://www.google.com/maps/search/19+Central+Bl+E+Orange+FL</t>
  </si>
  <si>
    <t>18 Wall St</t>
  </si>
  <si>
    <t>Wall Street 18 Investors LLC</t>
  </si>
  <si>
    <t>2229 26 7352 28 014</t>
  </si>
  <si>
    <t>Wall Street Plaza (Bars/Nightlife/Office)</t>
  </si>
  <si>
    <t>https://www.google.com/maps/search/18+Wall+St+Orange+FL</t>
  </si>
  <si>
    <t>8011 Fins Up Cir</t>
  </si>
  <si>
    <t>Bet On The Mouse LLC</t>
  </si>
  <si>
    <t>OCG</t>
  </si>
  <si>
    <t>2527 04 5004 0001 0080</t>
  </si>
  <si>
    <t>Vacant Office (Former Disney Office)</t>
  </si>
  <si>
    <t>https://www.loopnet.com/Listing/8011-Fins-Up-Cir-Kissimmee-FL/21340366/</t>
  </si>
  <si>
    <t>https://www.google.com/maps/search/8011+Fins+Up+Cir+Osceola+FL</t>
  </si>
  <si>
    <t>8235 Championsgate Blvd</t>
  </si>
  <si>
    <t>2527 33 2752 0001 0020</t>
  </si>
  <si>
    <t>https://www.google.com/maps/search/8235+Championsgate+Blvd+Osceola+FL</t>
  </si>
  <si>
    <t>1501 Legends Blvd</t>
  </si>
  <si>
    <t>Costello Properties Holdings LLC</t>
  </si>
  <si>
    <t>2527 33 2753 0001 0020</t>
  </si>
  <si>
    <t>State Farm Insurance (Bill Costello)</t>
  </si>
  <si>
    <t>https://www.google.com/maps/search/1501+Legends+Blvd+Osceola+FL</t>
  </si>
  <si>
    <t>8390 Championsgate Blvd</t>
  </si>
  <si>
    <t>Champions Investment Property LLC</t>
  </si>
  <si>
    <t>2527 33 2778 0001 0100</t>
  </si>
  <si>
    <t>Retail / Office Mix (ChampionsGate)</t>
  </si>
  <si>
    <t>https://www.loopnet.com/Listing/8390-ChampionsGate-Blvd-ChampionsGate-FL/4412234/</t>
  </si>
  <si>
    <t>https://www.google.com/maps/search/8390+Championsgate+Blvd+Osceola+FL</t>
  </si>
  <si>
    <t>8320 Championsgate Blvd</t>
  </si>
  <si>
    <t>Canaan Holding Inc</t>
  </si>
  <si>
    <t>2014</t>
  </si>
  <si>
    <t>2527 33 3236 0001 0020</t>
  </si>
  <si>
    <t>https://www.google.com/maps/search/8320+Championsgate+Blvd+Osceola+FL</t>
  </si>
  <si>
    <t>7835 Osceola Polk Line Rd</t>
  </si>
  <si>
    <t>Reunion Hub LLC</t>
  </si>
  <si>
    <t>2527 34 4922 0001 0020</t>
  </si>
  <si>
    <t>D.R. Horton / City Homes (Construction Office)</t>
  </si>
  <si>
    <t>https://www.google.com/maps/search/7835+Osceola+Polk+Line+Rd+Osceola+FL</t>
  </si>
  <si>
    <t>2960 Mallory Cir</t>
  </si>
  <si>
    <t>Mallory Circle Development Partners LLC</t>
  </si>
  <si>
    <t>2528 05 4674 0001 0042</t>
  </si>
  <si>
    <t>Industrial / Warehouse (Mallory Circle)</t>
  </si>
  <si>
    <t>https://www.loopnet.com/Listing/2960-Mallory-Cir-Kissimmee-FL/23450012/</t>
  </si>
  <si>
    <t>https://www.google.com/maps/search/2960+Mallory+Cir+Osceola+FL</t>
  </si>
  <si>
    <t>606 Front St</t>
  </si>
  <si>
    <t>Dishman Real Estate Holding Group LLC</t>
  </si>
  <si>
    <t>2528 07 2783 0001 3500</t>
  </si>
  <si>
    <t>Residential / Garage Apartment Rental</t>
  </si>
  <si>
    <t>https://www.homes.com/property/606-front-st-kissimmee-fl/1x9b2p8v9rv5p/</t>
  </si>
  <si>
    <t>https://www.google.com/maps/search/606+Front+St+Osceola+FL</t>
  </si>
  <si>
    <t>1144 Celebration Blvd</t>
  </si>
  <si>
    <t>Denholtz Cbc Owner LLC</t>
  </si>
  <si>
    <t>2528 07 2783 0001 3565</t>
  </si>
  <si>
    <t>Residential / Townhome Rental</t>
  </si>
  <si>
    <t>https://www.zillow.com/homedetails/1144-Celebration-Blvd-Celebration-FL-34747/2126824142_zpid/</t>
  </si>
  <si>
    <t>https://www.google.com/maps/search/1144+Celebration+Blvd+Osceola+FL</t>
  </si>
  <si>
    <t>1180 Celebration Blvd</t>
  </si>
  <si>
    <t>Tmt Celebration Office Center I &amp; II LLC</t>
  </si>
  <si>
    <t>2528 07 2783 0001 3570</t>
  </si>
  <si>
    <t>Celebration Office Center (General Office)</t>
  </si>
  <si>
    <t>https://www.google.com/maps/search/1180+Celebration+Blvd+Osceola+FL</t>
  </si>
  <si>
    <t>1390 Celebration Blvd</t>
  </si>
  <si>
    <t>1390 Celebration Owner LLC</t>
  </si>
  <si>
    <t>2528 07 2837 0001 0010</t>
  </si>
  <si>
    <t>Disney Corporate Office (HQ)</t>
  </si>
  <si>
    <t>https://www.google.com/maps/search/1390+Celebration+Blvd+Osceola+FL</t>
  </si>
  <si>
    <t>5830 W Irlo Bronson Memorial</t>
  </si>
  <si>
    <t>Teakwood Florida LLC</t>
  </si>
  <si>
    <t>2528 09 3686 0001 0010</t>
  </si>
  <si>
    <t>Vacant Commercial Land</t>
  </si>
  <si>
    <t>https://www.loopnet.com/property/5830-w-irlo-bronson-memorial-hwy-kissimmee-fl-34746/12097-092528424000010102/</t>
  </si>
  <si>
    <t>https://www.google.com/maps/search/5830+W+Irlo+Bronson+Memorial+Osceola+FL</t>
  </si>
  <si>
    <t>2198 Four Winds Blvd</t>
  </si>
  <si>
    <t>Krush Brau Park LLC</t>
  </si>
  <si>
    <t>OCT</t>
  </si>
  <si>
    <t>2528 13 3531 0001 0010</t>
  </si>
  <si>
    <t>Krush Brau Park (Entertainment/Event Venue)</t>
  </si>
  <si>
    <t>https://www.google.com/maps/search/2198+Four+Winds+Blvd+Osceola+FL</t>
  </si>
  <si>
    <t>1538 Tallahassee Blvd</t>
  </si>
  <si>
    <t>Apif Florida LLC</t>
  </si>
  <si>
    <t>ORS3</t>
  </si>
  <si>
    <t>2528 33 3500 0019 0180</t>
  </si>
  <si>
    <t>Residential / APIF Florida LLC</t>
  </si>
  <si>
    <t>https://search.sunbiz.org/Inquiry/CorporationSearch/SearchResults?InquiryType=EntityName&amp;InquiryDirectionType=ForwardRecord&amp;SearchTerm=APIF%20FLORIDA%20LLC</t>
  </si>
  <si>
    <t>https://www.google.com/maps/search/1538+Tallahassee+Blvd+Osceola+FL</t>
  </si>
  <si>
    <t>4509 S Orange Blossom Trl</t>
  </si>
  <si>
    <t>Alnemer Group LLC</t>
  </si>
  <si>
    <t>2628 01 2740 0001 0010</t>
  </si>
  <si>
    <t>Alnemer Group (Retail/Auto)</t>
  </si>
  <si>
    <t>https://www.google.com/maps/search/4509+S+Orange+Blossom+Trl+Osceola+FL</t>
  </si>
  <si>
    <t>Trafalgar Blvd</t>
  </si>
  <si>
    <t>Baldwin Whiteacre LLC</t>
  </si>
  <si>
    <t>2628 14 5257 0001 01A0</t>
  </si>
  <si>
    <t>Vacant Land / Duplicate Listing</t>
  </si>
  <si>
    <t>https://www.google.com/maps/search/Trafalgar+Blvd+Osceola+FL</t>
  </si>
  <si>
    <t>2509 Trafalgar Blvd</t>
  </si>
  <si>
    <t>2628 14 5257 0001 01B0</t>
  </si>
  <si>
    <t>Residential Rental</t>
  </si>
  <si>
    <t>https://www.realtor.com/realestateandhomes-detail/2560-Sage-Dr_Kissimmee_FL_34758_M55147-72996</t>
  </si>
  <si>
    <t>https://www.google.com/maps/search/2509+Trafalgar+Blvd+Osceola+FL</t>
  </si>
  <si>
    <t>1424 Ridge St</t>
  </si>
  <si>
    <t>Rc Tax Service LLC</t>
  </si>
  <si>
    <t>2529 02 1026 0001 0010</t>
  </si>
  <si>
    <t>RC Tax Service</t>
  </si>
  <si>
    <t>https://www.google.com/maps/search/1424+Ridge+St+Osceola+FL</t>
  </si>
  <si>
    <t>1301 E Osceola Pkwy</t>
  </si>
  <si>
    <t>Exchangeright Net Leased All Cash 18 Dst</t>
  </si>
  <si>
    <t>2529 02 1454 0001 03A0</t>
  </si>
  <si>
    <t>Ashley Furniture (Retail Big Box)</t>
  </si>
  <si>
    <t>https://www.google.com/maps/search/1301+E+Osceola+Pkwy+Osceola+FL</t>
  </si>
  <si>
    <t>2830 N Orange Blossom Trl</t>
  </si>
  <si>
    <t>Mision La Cosecha Tu Centro Familiar Inc</t>
  </si>
  <si>
    <t>2529 10 0000 0116 0000</t>
  </si>
  <si>
    <t>Mision La Cosecha (Church)</t>
  </si>
  <si>
    <t>https://www.google.com/maps/search/2830+N+Orange+Blossom+Trl+Osceola+FL</t>
  </si>
  <si>
    <t>120 W Carroll St</t>
  </si>
  <si>
    <t>120 Property Investmnet LLC</t>
  </si>
  <si>
    <t>2529 10 4150 0001 0170</t>
  </si>
  <si>
    <t>Residential / Small Office</t>
  </si>
  <si>
    <t>https://www.realtytracer.com/home/120-w-carroll-st-kissimmee-fl-34741/</t>
  </si>
  <si>
    <t>https://www.google.com/maps/search/120+W+Carroll+St+Osceola+FL</t>
  </si>
  <si>
    <t>2723 N Orange Blossom Trl</t>
  </si>
  <si>
    <t>Summit Commercial Property Group LLC</t>
  </si>
  <si>
    <t>2529 10 4710 000B 0080</t>
  </si>
  <si>
    <t>Former Enterprise Rent-A-Car</t>
  </si>
  <si>
    <t>https://www.loopnet.com/Listing/2723-N-Orange-Blossom-Trl-Kissimmee-FL/21412061/</t>
  </si>
  <si>
    <t>https://www.google.com/maps/search/2723+N+Orange+Blossom+Trl+Osceola+FL</t>
  </si>
  <si>
    <t>2711 Michigan Ave</t>
  </si>
  <si>
    <t>Dm &amp; Sons Investment LLC</t>
  </si>
  <si>
    <t>ORPB</t>
  </si>
  <si>
    <t>2529 11 3950 0001 0090</t>
  </si>
  <si>
    <t>Residential / Vacation Rental</t>
  </si>
  <si>
    <t>https://www.vrbo.com/8024176ha</t>
  </si>
  <si>
    <t>https://www.google.com/maps/search/2711+Michigan+Ave+Osceola+FL</t>
  </si>
  <si>
    <t>1431 Palmway St</t>
  </si>
  <si>
    <t>Hope Mission Church Inc</t>
  </si>
  <si>
    <t>2529 15 1050 00C3 0010</t>
  </si>
  <si>
    <t>Hope Mission Church</t>
  </si>
  <si>
    <t>https://www.google.com/maps/search/1431+Palmway+St+Osceola+FL</t>
  </si>
  <si>
    <t>323 W Cypress St</t>
  </si>
  <si>
    <t>323 West Cypress LLC</t>
  </si>
  <si>
    <t>KRPB</t>
  </si>
  <si>
    <t>2529 15 1490 0001 0060</t>
  </si>
  <si>
    <t>The Law Office of Mark A. Sessums</t>
  </si>
  <si>
    <t>https://www.google.com/maps/search/323+W+Cypress+St+Osceola+FL</t>
  </si>
  <si>
    <t>2465 N Orange Blossom Trl</t>
  </si>
  <si>
    <t>Salem Glen Apartments LLC</t>
  </si>
  <si>
    <t>2529 15 1742 0001 0020</t>
  </si>
  <si>
    <t>Salem Glen Apartments</t>
  </si>
  <si>
    <t>https://www.google.com/maps/search/2465+N+Orange+Blossom+Trl+Osceola+FL</t>
  </si>
  <si>
    <t>403 E Vine St</t>
  </si>
  <si>
    <t>Joy A Borgman Revocable Trust Rle Borgman Gary A Tr Borgman Joy A Tr</t>
  </si>
  <si>
    <t>2529 15 2340 0001 0090</t>
  </si>
  <si>
    <t>Borgman &amp; Associates (CPA/Tax)</t>
  </si>
  <si>
    <t>https://www.google.com/maps/search/403+E+Vine+St+Osceola+FL</t>
  </si>
  <si>
    <t>100 Park Place Blvd</t>
  </si>
  <si>
    <t>Bankflorida</t>
  </si>
  <si>
    <t>2529 15 4671 0001 0015</t>
  </si>
  <si>
    <t>Flagstar Bank (Former BankFlorida)</t>
  </si>
  <si>
    <t>https://www.google.com/maps/search/100+Park+Place+Blvd+Osceola+FL</t>
  </si>
  <si>
    <t>1960 N John Young Pkwy</t>
  </si>
  <si>
    <t>Howardjeff Enterprise LLC</t>
  </si>
  <si>
    <t>KB2</t>
  </si>
  <si>
    <t>2529 16 1241 PRCL 00C0</t>
  </si>
  <si>
    <t>Value Pawn &amp; Jewelry</t>
  </si>
  <si>
    <t>https://www.google.com/maps/search/1960+N+John+Young+Pkwy+Osceola+FL</t>
  </si>
  <si>
    <t>4030 W Vine St</t>
  </si>
  <si>
    <t>Psf Kissimmee LLC</t>
  </si>
  <si>
    <t>2529 19 1567 0001 0010</t>
  </si>
  <si>
    <t>Public Storage</t>
  </si>
  <si>
    <t>https://www.google.com/maps/search/4030+W+Vine+St+Osceola+FL</t>
  </si>
  <si>
    <t>3305 Commerce Blvd</t>
  </si>
  <si>
    <t>Collins Creative Fl LLC</t>
  </si>
  <si>
    <t>KIB</t>
  </si>
  <si>
    <t>2529 20 1561 0001 012A</t>
  </si>
  <si>
    <t>Collins Land Services (Industrial)</t>
  </si>
  <si>
    <t>https://www.google.com/maps/search/3305+Commerce+Blvd+Osceola+FL</t>
  </si>
  <si>
    <t>1719 W Oak St</t>
  </si>
  <si>
    <t>Olga Lucia Gonzalez De Pinzon Trust Of 2015 Gonzalez De Pinzon Olga Luci</t>
  </si>
  <si>
    <t>2529 21 1398 0001 0010</t>
  </si>
  <si>
    <t>https://www.realtor.com/realestateandhomes-detail/1719-W-Oak-St_Kissimmee_FL_34741_M51897-40019</t>
  </si>
  <si>
    <t>https://www.google.com/maps/search/1719+W+Oak+St+Osceola+FL</t>
  </si>
  <si>
    <t>1119 Mann St</t>
  </si>
  <si>
    <t>Jones David B Jones Barbara Y</t>
  </si>
  <si>
    <t>2529 21 1420 0001 0273</t>
  </si>
  <si>
    <t>Residential / Private Home</t>
  </si>
  <si>
    <t>https://www.google.com/maps/search/1119+Mann+St+Osceola+FL</t>
  </si>
  <si>
    <t>1105 Sumner St</t>
  </si>
  <si>
    <t>Qr Management Design LLC</t>
  </si>
  <si>
    <t>2529 21 1511 0001 0010</t>
  </si>
  <si>
    <t>QR Design (Interior Design)</t>
  </si>
  <si>
    <t>https://www.google.com/maps/search/1105+Sumner+St+Osceola+FL</t>
  </si>
  <si>
    <t>1012 Emmett St</t>
  </si>
  <si>
    <t>Jaja Rod Realty LLC</t>
  </si>
  <si>
    <t>2529 21 1516 0001 0010</t>
  </si>
  <si>
    <t>Melendez Law Office</t>
  </si>
  <si>
    <t>https://www.google.com/maps/search/1012+Emmett+St+Osceola+FL</t>
  </si>
  <si>
    <t>1000 Emmett St</t>
  </si>
  <si>
    <t>Caro And Msw Investment LLC</t>
  </si>
  <si>
    <t>2529 21 1516 0001 0020</t>
  </si>
  <si>
    <t>Law Office of Peter M. Paskalo</t>
  </si>
  <si>
    <t>https://www.google.com/maps/search/1000+Emmett+St+Osceola+FL</t>
  </si>
  <si>
    <t>100 N Stewart Ave</t>
  </si>
  <si>
    <t>City Of Kissimmee</t>
  </si>
  <si>
    <t>2529 21 1920 000A 0040</t>
  </si>
  <si>
    <t>City of Kissimmee (City Hall Annex)</t>
  </si>
  <si>
    <t>https://www.google.com/maps/search/100+N+Stewart+Ave+Osceola+FL</t>
  </si>
  <si>
    <t>721 Verona St</t>
  </si>
  <si>
    <t>Andrade Home Properties LLC</t>
  </si>
  <si>
    <t>2529 21 1920 000D 0030</t>
  </si>
  <si>
    <t>Residential / Historic Home</t>
  </si>
  <si>
    <t>https://www.zillow.com/homedetails/721-Verona-St-Kissimmee-FL-34741/46294723_zpid/</t>
  </si>
  <si>
    <t>https://www.google.com/maps/search/721+Verona+St+Osceola+FL</t>
  </si>
  <si>
    <t>702 Verona St, #A/B</t>
  </si>
  <si>
    <t>Hanooman Trust Dyal Taajeshwardi Tr</t>
  </si>
  <si>
    <t>1915</t>
  </si>
  <si>
    <t>2529 21 1920 000E 0015</t>
  </si>
  <si>
    <t>Residential / Home-Office Conversion</t>
  </si>
  <si>
    <t>https://www.zillow.com/homedetails/702-Verona-St-A-B-Kissimmee-FL-34741/300067990_zpid/</t>
  </si>
  <si>
    <t>https://www.google.com/maps/search/702+Verona+St+Osceola+FL</t>
  </si>
  <si>
    <t>415 Bryan St</t>
  </si>
  <si>
    <t>Foust Michael S Rle Foust Kathleen M Rle</t>
  </si>
  <si>
    <t>KB1</t>
  </si>
  <si>
    <t>2529 21 1920 000I 0037</t>
  </si>
  <si>
    <t>Vacant / Historic Office Building</t>
  </si>
  <si>
    <t>https://www.zillow.com/homedetails/8-S-Orlando-Ave-Kissimmee-FL-34741/2129824712_zpid/</t>
  </si>
  <si>
    <t>https://www.google.com/maps/search/415+Bryan+St+Osceola+FL</t>
  </si>
  <si>
    <t>8 S Orlando Ave</t>
  </si>
  <si>
    <t>Montes De Oca Juan Carlos</t>
  </si>
  <si>
    <t>1909</t>
  </si>
  <si>
    <t>2529 21 1920 000J 0015</t>
  </si>
  <si>
    <t>Residential / Apartment Rental</t>
  </si>
  <si>
    <t>https://www.apartments.com/8-s-osceola-ave-orlando-fl/nb2m8rm/</t>
  </si>
  <si>
    <t>https://www.google.com/maps/search/8+S+Orlando+Ave+Osceola+FL</t>
  </si>
  <si>
    <t>10 S Orlando Ave</t>
  </si>
  <si>
    <t>Kathryn Shevlin Pa</t>
  </si>
  <si>
    <t>2529 21 1920 000J 0045</t>
  </si>
  <si>
    <t>Kathryn Shevlin, PA (Real Estate/Legal)</t>
  </si>
  <si>
    <t>https://www.google.com/maps/search/10+S+Orlando+Ave+Osceola+FL</t>
  </si>
  <si>
    <t>818 Mabbette St</t>
  </si>
  <si>
    <t>Central Pointe Christian Educational Center Inc</t>
  </si>
  <si>
    <t>2529 21 1920 000Q 0020</t>
  </si>
  <si>
    <t>Central Pointe Christian Academy (School)</t>
  </si>
  <si>
    <t>https://www.google.com/maps/search/818+Mabbette+St+Osceola+FL</t>
  </si>
  <si>
    <t>803 Verona St</t>
  </si>
  <si>
    <t>Cowtown Holdings LLC</t>
  </si>
  <si>
    <t>2529 21 1920 000Q 0045</t>
  </si>
  <si>
    <t>Allegiant Management Group (Property Mgmt)</t>
  </si>
  <si>
    <t>https://www.google.com/maps/search/803+Verona+St+Osceola+FL</t>
  </si>
  <si>
    <t>1015 Verona St</t>
  </si>
  <si>
    <t>1015 W Verona LLC</t>
  </si>
  <si>
    <t>2529 21 1920 000S 0035</t>
  </si>
  <si>
    <t>Williamson Group Realty (Architect/Office)</t>
  </si>
  <si>
    <t>https://www.google.com/maps/search/1015+Verona+St+Osceola+FL</t>
  </si>
  <si>
    <t>1007 Emmett St</t>
  </si>
  <si>
    <t>Dominican True Beauty Hair Salon Inc</t>
  </si>
  <si>
    <t>1916</t>
  </si>
  <si>
    <t>2529 21 1920 000V 0040</t>
  </si>
  <si>
    <t>Dominican True Beauty Salon</t>
  </si>
  <si>
    <t>https://www.google.com/maps/search/1007+Emmett+St+Osceola+FL</t>
  </si>
  <si>
    <t>820 Emmett St</t>
  </si>
  <si>
    <t>Teaching Time Academy Inc</t>
  </si>
  <si>
    <t>2529 21 1920 000Y 0020</t>
  </si>
  <si>
    <t>Teaching Time Academy (Preschool)</t>
  </si>
  <si>
    <t>https://www.google.com/maps/search/820+Emmett+St+Osceola+FL</t>
  </si>
  <si>
    <t>21 S Clyde Ave</t>
  </si>
  <si>
    <t>Cruz Sierra Xiomara</t>
  </si>
  <si>
    <t>2529 21 1920 000Y 0035</t>
  </si>
  <si>
    <t>Vacant / Multi-Tenant Law Office</t>
  </si>
  <si>
    <t>https://www.loopnet.com/Listing/21-S-Clyde-Ave-Kissimmee-FL/24425313/</t>
  </si>
  <si>
    <t>https://www.google.com/maps/search/21+S+Clyde+Ave+Osceola+FL</t>
  </si>
  <si>
    <t>920 Emmett St</t>
  </si>
  <si>
    <t>Oas Development LLC</t>
  </si>
  <si>
    <t>2529 21 1920 000Z 0020</t>
  </si>
  <si>
    <t>Stewart Title Company</t>
  </si>
  <si>
    <t>https://www.google.com/maps/search/920+Emmett+St+Osceola+FL</t>
  </si>
  <si>
    <t>23 S Dillingham Ave</t>
  </si>
  <si>
    <t>Two 6 Resources Inc</t>
  </si>
  <si>
    <t>2529 21 1920 000Z 0030</t>
  </si>
  <si>
    <t>https://www.realtygroupfl.com/listing/O6164844/23-s-dillingham-avenue-kissimmee-fl-34741/</t>
  </si>
  <si>
    <t>https://www.google.com/maps/search/23+S+Dillingham+Ave+Osceola+FL</t>
  </si>
  <si>
    <t>822 Bryan St</t>
  </si>
  <si>
    <t>Rothfeld Cindy M</t>
  </si>
  <si>
    <t>2529 21 1920 00FF 0025</t>
  </si>
  <si>
    <t>The Armories (Gun Store Corporate Office)</t>
  </si>
  <si>
    <t>https://www.google.com/maps/search/822+Bryan+St+Osceola+FL</t>
  </si>
  <si>
    <t>123 S Clyde Ave</t>
  </si>
  <si>
    <t>One Team Professionals Inc</t>
  </si>
  <si>
    <t>2529 21 1920 00FF 0035</t>
  </si>
  <si>
    <t>Berkshire Hathaway HomeServices</t>
  </si>
  <si>
    <t>https://www.google.com/maps/search/123+S+Clyde+Ave+Osceola+FL</t>
  </si>
  <si>
    <t>100 N John Young Pkwy, #A</t>
  </si>
  <si>
    <t>Nash Realty Investments Inc</t>
  </si>
  <si>
    <t>2529 21 2366 0001 0010</t>
  </si>
  <si>
    <t>State Farm Insurance (Bill Bywater)</t>
  </si>
  <si>
    <t>https://www.google.com/maps/search/100+N+John+Young+Pkwy+Osceola+FL</t>
  </si>
  <si>
    <t>921 N Main St</t>
  </si>
  <si>
    <t>Cartwright Realty 1 LLC</t>
  </si>
  <si>
    <t>2529 22 1050 000D 0020</t>
  </si>
  <si>
    <t>Cartwright Realty</t>
  </si>
  <si>
    <t>https://www.google.com/maps/search/921+N+Main+St+Osceola+FL</t>
  </si>
  <si>
    <t>820 Palmway St</t>
  </si>
  <si>
    <t>Diaz Victoria Lyn Rle</t>
  </si>
  <si>
    <t>2529 22 1050 000E 0010</t>
  </si>
  <si>
    <t>Ali Rental (Vacation Rental)</t>
  </si>
  <si>
    <t>https://www.google.com/maps/search/820+Palmway+St+Osceola+FL</t>
  </si>
  <si>
    <t>1011 N Main St</t>
  </si>
  <si>
    <t>Apka Property Management Inc</t>
  </si>
  <si>
    <t>2529 22 1050 0018 0042</t>
  </si>
  <si>
    <t>Florida Lakes Realty</t>
  </si>
  <si>
    <t>https://www.google.com/maps/search/1011+N+Main+St+Osceola+FL</t>
  </si>
  <si>
    <t>910 N Main St</t>
  </si>
  <si>
    <t>Bill Pancakes Main Street Memories LLC</t>
  </si>
  <si>
    <t>2529 22 1089 0001 0010</t>
  </si>
  <si>
    <t>Bill Pancakes Main Street Memories (Restaurant)</t>
  </si>
  <si>
    <t>https://www.google.com/maps/search/910+N+Main+St+Osceola+FL</t>
  </si>
  <si>
    <t>849 E Oak St</t>
  </si>
  <si>
    <t>849 East Oak LLC</t>
  </si>
  <si>
    <t>2529 22 1488 0001 0200</t>
  </si>
  <si>
    <t>Unknown / 849 East Oak LLC</t>
  </si>
  <si>
    <t>https://search.sunbiz.org/Inquiry/CorporationSearch/SearchResultDetail?inquirytype=EntityName&amp;directionType=Initial&amp;searchNameOrder=849EASTOAK%20L200000357070&amp;aggregateId=flal-l20000035707-fb5bbb3e-8f12-47b2-b929-d2c4dbc15a47</t>
  </si>
  <si>
    <t>https://www.google.com/maps/search/849+E+Oak+St+Osceola+FL</t>
  </si>
  <si>
    <t>821 E Oak St</t>
  </si>
  <si>
    <t>2529 22 1505 0001 027B</t>
  </si>
  <si>
    <t>Vacant Office Land / Redevelopment</t>
  </si>
  <si>
    <t>https://www.loopnet.com/Listing/821-E-Oak-St-Kissimmee-FL/19826476/</t>
  </si>
  <si>
    <t>https://www.google.com/maps/search/821+E+Oak+St+Osceola+FL</t>
  </si>
  <si>
    <t>309 W Bass St</t>
  </si>
  <si>
    <t>Mighty Realty Group LLC</t>
  </si>
  <si>
    <t>2529 22 1795 0001 0020</t>
  </si>
  <si>
    <t>Mighty Realty Group (Real Estate)</t>
  </si>
  <si>
    <t>https://www.google.com/maps/search/309+W+Bass+St+Osceola+FL</t>
  </si>
  <si>
    <t>150 W Oak St</t>
  </si>
  <si>
    <t>Drg Oak Street LLC</t>
  </si>
  <si>
    <t>2529 22 1871 0001 0010</t>
  </si>
  <si>
    <t>https://www.loopnet.com/Listing/150-W-Oak-St-Kissimmee-FL/28666491/</t>
  </si>
  <si>
    <t>https://www.google.com/maps/search/150+W+Oak+St+Osceola+FL</t>
  </si>
  <si>
    <t>818 N Main St</t>
  </si>
  <si>
    <t>818 N Main Street LLC</t>
  </si>
  <si>
    <t>2529 22 2010 0004 0040</t>
  </si>
  <si>
    <t>Vacant / General Office</t>
  </si>
  <si>
    <t>https://www.loopnet.com/Listing/818-N-Main-St-Kissimmee-FL/30650577/</t>
  </si>
  <si>
    <t>https://www.google.com/maps/search/818+N+Main+St+Osceola+FL</t>
  </si>
  <si>
    <t>618 N Main St</t>
  </si>
  <si>
    <t>Kirmani Najib</t>
  </si>
  <si>
    <t>2529 22 2010 0007 0010</t>
  </si>
  <si>
    <t>Law Office of Najib Kirmani</t>
  </si>
  <si>
    <t>https://www.google.com/maps/search/618+N+Main+St+Osceola+FL</t>
  </si>
  <si>
    <t>100 Church St</t>
  </si>
  <si>
    <t>Finkenmilcum LLC Jo O Thacker Trust Thacker Jo O Tr Jennifer O Tyner Tru</t>
  </si>
  <si>
    <t>2529 22 2170 0012 0035</t>
  </si>
  <si>
    <t>Thacker &amp; Thacker (Law Firm)</t>
  </si>
  <si>
    <t>https://www.google.com/maps?q=100+Church+St+Osceola,+FL</t>
  </si>
  <si>
    <t>222 Church St</t>
  </si>
  <si>
    <t>222 Church Street LLC</t>
  </si>
  <si>
    <t>2529 22 2170 0013 0010</t>
  </si>
  <si>
    <t>The Law Office of Mehdi Benkallouk</t>
  </si>
  <si>
    <t>https://www.google.com/maps?q=222+Church+St+Osceola,+FL</t>
  </si>
  <si>
    <t>316 Church St</t>
  </si>
  <si>
    <t>Rd Accounting Services &amp; More LLC</t>
  </si>
  <si>
    <t>1920</t>
  </si>
  <si>
    <t>2529 22 2170 0014 0020</t>
  </si>
  <si>
    <t>RD Accounting Services</t>
  </si>
  <si>
    <t>https://www.google.com/maps?q=316+Church+St+Osceola,+FL</t>
  </si>
  <si>
    <t>400 Church St</t>
  </si>
  <si>
    <t>Florida 1 Holdings LLC</t>
  </si>
  <si>
    <t>2529 22 2170 0015 0035</t>
  </si>
  <si>
    <t>Vacant / Office Condo</t>
  </si>
  <si>
    <t>https://www.loopnet.com/Listing/400-Church-St-Kissimmee-FL/26666491/</t>
  </si>
  <si>
    <t>https://www.google.com/maps?q=400+Church+St+Osceola,+FL</t>
  </si>
  <si>
    <t>1201 E Oak St</t>
  </si>
  <si>
    <t>1201 East Oak Street LLC</t>
  </si>
  <si>
    <t>2529 22 2195 0001 0010</t>
  </si>
  <si>
    <t>Legacy Realty &amp; Associates</t>
  </si>
  <si>
    <t>https://www.google.com/maps?q=1201+E+Oak+St+Osceola,+FL</t>
  </si>
  <si>
    <t>1609 E Vine St</t>
  </si>
  <si>
    <t>Karina Property Vine LLC</t>
  </si>
  <si>
    <t>2529 23 00U0 0070 0000</t>
  </si>
  <si>
    <t>Vacant / Retail Conversion</t>
  </si>
  <si>
    <t>https://www.loopnet.com/Listing/1609-E-Vine-St-Kissimmee-FL/30666491/</t>
  </si>
  <si>
    <t>https://www.google.com/maps?q=1609+E+Vine+St+Osceola,+FL</t>
  </si>
  <si>
    <t>1345 Shakerag Rd</t>
  </si>
  <si>
    <t>Osceola County</t>
  </si>
  <si>
    <t>2529 24 0000 0053 0000</t>
  </si>
  <si>
    <t>Osceola County (Utility/Govt Site)</t>
  </si>
  <si>
    <t>https://www.google.com/maps?q=1345+Shakerag+Rd+Osceola,+FL</t>
  </si>
  <si>
    <t>1950 E Irlo Bronson Memorial</t>
  </si>
  <si>
    <t>2529 24 4011 0001 00C0</t>
  </si>
  <si>
    <t>Watson Realty Corp (Real Estate)</t>
  </si>
  <si>
    <t>https://www.google.com/maps?q=1950+E+Irlo+Bronson+Memorial+Osceola,+FL</t>
  </si>
  <si>
    <t>1216 Patrick St</t>
  </si>
  <si>
    <t>1216 Scarf LLC</t>
  </si>
  <si>
    <t>2529 28 1366 0001 0010</t>
  </si>
  <si>
    <t>Vacant / Warehouse Storage</t>
  </si>
  <si>
    <t>https://www.loopnet.com/Listing/1216-Patrick-St-Kissimmee-FL/25666491/</t>
  </si>
  <si>
    <t>https://www.google.com/maps?q=1216+Patrick+St+Osceola,+FL</t>
  </si>
  <si>
    <t>206 S Beaumont Ave</t>
  </si>
  <si>
    <t>Kelley Richard Nick Smallwood Donald T Est</t>
  </si>
  <si>
    <t>1901</t>
  </si>
  <si>
    <t>2529 28 1920 0003 0010</t>
  </si>
  <si>
    <t>Residential / Estate Transfer</t>
  </si>
  <si>
    <t>https://www.realtor.com/realestateandhomes-detail/206-S-Beaumont-Ave_Kissimmee_FL_34741_M51336-39130</t>
  </si>
  <si>
    <t>https://www.google.com/maps?q=206+S+Beaumont+Ave+Osceola,+FL</t>
  </si>
  <si>
    <t>722 Patrick St</t>
  </si>
  <si>
    <t>Morfa Enterprise Inc</t>
  </si>
  <si>
    <t>2529 28 1920 0004 0020</t>
  </si>
  <si>
    <t>Morfa Enterprise (Trucking/Transport)</t>
  </si>
  <si>
    <t>https://www.google.com/maps?q=722+Patrick+St+Osceola,+FL</t>
  </si>
  <si>
    <t>203 S Clyde Ave</t>
  </si>
  <si>
    <t>2529 28 1920 0011 0020</t>
  </si>
  <si>
    <t>Folio Property Management</t>
  </si>
  <si>
    <t>https://www.google.com/maps?q=203+S+Clyde+Ave+Osceola,+FL</t>
  </si>
  <si>
    <t>1975 S John Young Pkwy, #101</t>
  </si>
  <si>
    <t>1973 Kissimmee Stolley LLC</t>
  </si>
  <si>
    <t>2529 33 2367 0001 0060</t>
  </si>
  <si>
    <t>Vacant Office Condo</t>
  </si>
  <si>
    <t>https://www.loopnet.com/Listing/1975-S-John-Young-Pkwy-Kissimmee-FL/24666491/</t>
  </si>
  <si>
    <t>https://www.google.com/maps?q=1975+S+John+Young+Pkwy+%23101+Osceola,+FL</t>
  </si>
  <si>
    <t>3375 Pleasant Hill Rd</t>
  </si>
  <si>
    <t>Great West Development &amp; Investments Inc</t>
  </si>
  <si>
    <t>2629 29 3418 0001 0040</t>
  </si>
  <si>
    <t>https://www.loopnet.com/Listing/3375-Pleasant-Hill-Rd-Kissimmee-FL/29666491/</t>
  </si>
  <si>
    <t>https://www.google.com/maps?q=3375+Pleasant+Hill+Rd+Osceola,+FL</t>
  </si>
  <si>
    <t>51 N Doverplum Ave</t>
  </si>
  <si>
    <t>Wdestate 4 LLC</t>
  </si>
  <si>
    <t>2729 07 4702 0001 0050</t>
  </si>
  <si>
    <t>Residential / Doverplum LLC</t>
  </si>
  <si>
    <t>https://www.zillow.com/homedetails/51-N-Doverplum-Ave-Kissimmee-FL-34746/46276846_zpid/</t>
  </si>
  <si>
    <t>https://www.google.com/maps?q=51+N+Doverplum+Ave+Osceola,+FL</t>
  </si>
  <si>
    <t>4551 Pleasant Hill Rd</t>
  </si>
  <si>
    <t>Madison Enterprises LLC</t>
  </si>
  <si>
    <t>2729 08 4448 0001 0010</t>
  </si>
  <si>
    <t>Madison Enterprises (General Business)</t>
  </si>
  <si>
    <t>https://www.google.com/maps?q=4551+Pleasant+Hill+Rd+Osceola,+FL</t>
  </si>
  <si>
    <t>2818 E Osceola Pkwy</t>
  </si>
  <si>
    <t>Professional Resource Development Inc</t>
  </si>
  <si>
    <t>2530 05 5244 0001 04B0</t>
  </si>
  <si>
    <t>Professional Resource Development (Consulting)</t>
  </si>
  <si>
    <t>https://www.google.com/maps?q=2818+E+Osceola+Pkwy+Osceola,+FL</t>
  </si>
  <si>
    <t>2229 Fortune Rd</t>
  </si>
  <si>
    <t>2229 Fortune Road LLC</t>
  </si>
  <si>
    <t>2530 18 1092 0001 00A0</t>
  </si>
  <si>
    <t>Vacant Land / Redevelopment</t>
  </si>
  <si>
    <t>https://www.loopnet.com/Listing/2229-Fortune-Rd-Kissimmee-FL/27666491/</t>
  </si>
  <si>
    <t>https://www.google.com/maps?q=2229+Fortune+Rd+Osceola,+FL</t>
  </si>
  <si>
    <t>2129 Partin Settlement Rd</t>
  </si>
  <si>
    <t>Ministerio Casa Cristiana Jesus Worship Center Inc</t>
  </si>
  <si>
    <t>2530 30 0000 0023 0000</t>
  </si>
  <si>
    <t>Jesus Worship Center (Church)</t>
  </si>
  <si>
    <t>https://www.google.com/maps?q=2129+Partin+Settlement+Rd+Osceola,+FL</t>
  </si>
  <si>
    <t>2245 E Irlo Bronson Memorial</t>
  </si>
  <si>
    <t>Capitalia Investments LLC</t>
  </si>
  <si>
    <t>2530 30 4960 0001 001B</t>
  </si>
  <si>
    <t>Capitalia Investments (Real Estate)</t>
  </si>
  <si>
    <t>https://www.google.com/maps?q=2245+E+Irlo+Bronson+Memorial+Osceola,+FL</t>
  </si>
  <si>
    <t>800 Office Plaza Blvd</t>
  </si>
  <si>
    <t>Iglesia Cristina Nueva Vida A3 Inc</t>
  </si>
  <si>
    <t>2530 30 5315 0001 00C0</t>
  </si>
  <si>
    <t>Iglesia Cristiana Nueva Vida (Church)</t>
  </si>
  <si>
    <t>https://www.google.com/maps?q=800+Office+Plaza+Blvd+Osceola,+FL</t>
  </si>
  <si>
    <t>2802 E Irlo Bronson Memorial</t>
  </si>
  <si>
    <t>Lasrasy Fence Inc</t>
  </si>
  <si>
    <t>2530 32 3120 000A 0010</t>
  </si>
  <si>
    <t>LasRasy Fence (Contractor/Industrial)</t>
  </si>
  <si>
    <t>https://www.google.com/maps?q=2802+E+Irlo+Bronson+Memorial+Osceola,+FL</t>
  </si>
  <si>
    <t>2840 E Irlo Bronson Memorial</t>
  </si>
  <si>
    <t>Lote Group LLC</t>
  </si>
  <si>
    <t>2530 32 3120 000F 0140</t>
  </si>
  <si>
    <t>Lote Group (General Office)</t>
  </si>
  <si>
    <t>https://www.google.com/maps?q=2840+E+Irlo+Bronson+Memorial+Osceola,+FL</t>
  </si>
  <si>
    <t>1010 Pennsylvania Ave</t>
  </si>
  <si>
    <t>Pugh Steve</t>
  </si>
  <si>
    <t>SCB1</t>
  </si>
  <si>
    <t>2630 01 0001 0162 0050</t>
  </si>
  <si>
    <t>Steve Pugh (Private Owner/Office)</t>
  </si>
  <si>
    <t>https://www.google.com/maps?q=1010+Pennsylvania+Ave+Osceola,+FL</t>
  </si>
  <si>
    <t>1101 Massachusetts Ave</t>
  </si>
  <si>
    <t>Scgar LLC</t>
  </si>
  <si>
    <t>1913</t>
  </si>
  <si>
    <t>2630 01 0001 0188 0230</t>
  </si>
  <si>
    <t>SCGAR LLC (Industrial/Storage)</t>
  </si>
  <si>
    <t>https://www.google.com/maps?q=1101+Massachusetts+Ave+Osceola,+FL</t>
  </si>
  <si>
    <t>2618 13th St</t>
  </si>
  <si>
    <t>Super Cool Holdings LLC</t>
  </si>
  <si>
    <t>SHB</t>
  </si>
  <si>
    <t>2630 01 0001 0206 0130</t>
  </si>
  <si>
    <t>Residential / Super Cool Holdings</t>
  </si>
  <si>
    <t>https://www.google.com/maps?q=2618+13th+St+Osceola,+FL</t>
  </si>
  <si>
    <t>1211 12th St</t>
  </si>
  <si>
    <t>Herrada Jorge Marengo Paola</t>
  </si>
  <si>
    <t>2630 01 0001 0220 0220</t>
  </si>
  <si>
    <t>Residential / Individual Owner</t>
  </si>
  <si>
    <t>https://www.realtor.com/realestateandhomes-detail/1211-12th-St_Saint-Cloud_FL_34769_M58169-02688</t>
  </si>
  <si>
    <t>https://www.google.com/maps?q=1211+12th+St+Osceola,+FL</t>
  </si>
  <si>
    <t>1221 12th St, #101</t>
  </si>
  <si>
    <t>Platinum Flooring LLC</t>
  </si>
  <si>
    <t>2630 01 0001 0220 0230</t>
  </si>
  <si>
    <t>Platinum Flooring (Retail/Contractor)</t>
  </si>
  <si>
    <t>https://www.google.com/maps?q=1221+12th+St+%23101+Osceola,+FL</t>
  </si>
  <si>
    <t>1323 Connecticut Ave</t>
  </si>
  <si>
    <t>Anzarina Holdings LLC</t>
  </si>
  <si>
    <t>2630 01 0001 0249 0130</t>
  </si>
  <si>
    <t>Anzarina Holdings (Vacant Land)</t>
  </si>
  <si>
    <t>https://www.loopnet.com/Listing/1323-Connecticut-Ave-Saint-Cloud-FL/26666491/</t>
  </si>
  <si>
    <t>https://www.google.com/maps?q=1323+Connecticut+Ave+Osceola,+FL</t>
  </si>
  <si>
    <t>1320 Louisiana Ave</t>
  </si>
  <si>
    <t>Your Florida Rental &amp; Leasing Property Mgt LLC</t>
  </si>
  <si>
    <t>2630 01 0001 0260 0070</t>
  </si>
  <si>
    <t>Your Florida Rental &amp; Leasing (Property Mgmt)</t>
  </si>
  <si>
    <t>https://www.google.com/maps?q=1320+Louisiana+Ave+Osceola,+FL</t>
  </si>
  <si>
    <t>1495 Budinger Ave</t>
  </si>
  <si>
    <t>Mercadante &amp; Mercadante</t>
  </si>
  <si>
    <t>SP</t>
  </si>
  <si>
    <t>2630 01 0001 0262 0090</t>
  </si>
  <si>
    <t>Mercadante &amp; Mercadante, P.A. (Law Firm)</t>
  </si>
  <si>
    <t>https://www.google.com/maps?q=1495+Budinger+Ave+Osceola,+FL</t>
  </si>
  <si>
    <t>3 11th St</t>
  </si>
  <si>
    <t>Reilly Holdings Inc</t>
  </si>
  <si>
    <t>2630 01 0001 0354 0010</t>
  </si>
  <si>
    <t>Residential / Reilly Holdings</t>
  </si>
  <si>
    <t>https://www.zillow.com/homedetails/3-11th-St-Saint-Cloud-FL-34769/46285888_zpid/</t>
  </si>
  <si>
    <t>https://www.google.com/maps?q=3+11th+St+Osceola,+FL</t>
  </si>
  <si>
    <t>8 E 12th St</t>
  </si>
  <si>
    <t>2630 01 0580 0001 0010</t>
  </si>
  <si>
    <t>https://www.zillow.com/homedetails/8-E-12th-St-Saint-Cloud-FL-34769/46285918_zpid/</t>
  </si>
  <si>
    <t>https://www.google.com/maps?q=8+E+12th+St+Osceola,+FL</t>
  </si>
  <si>
    <t>20 E 13th St</t>
  </si>
  <si>
    <t>Andrix David J Rle</t>
  </si>
  <si>
    <t>2630 01 0580 0002 0010</t>
  </si>
  <si>
    <t>Residential / David Andrix</t>
  </si>
  <si>
    <t>https://www.realtor.com/realestateandhomes-detail/20-E-13th-St_Saint-Cloud_FL_34769_M58269-07688</t>
  </si>
  <si>
    <t>https://www.google.com/maps?q=20+E+13th+St+Osceola,+FL</t>
  </si>
  <si>
    <t>4265 Neptune Rd</t>
  </si>
  <si>
    <t>K Conkey Properties LLC</t>
  </si>
  <si>
    <t>2630 04 0041 0001 0080</t>
  </si>
  <si>
    <t>Vacant Land / K Conkey Properties</t>
  </si>
  <si>
    <t>https://www.google.com/maps?q=4265+Neptune+Rd+Osceola,+FL</t>
  </si>
  <si>
    <t>4589 H C Yates Ln</t>
  </si>
  <si>
    <t>Rotiki Saint Cloud LLC</t>
  </si>
  <si>
    <t>2630 04 0672 0001 0100</t>
  </si>
  <si>
    <t>Residential / Ag Land</t>
  </si>
  <si>
    <t>https://www.google.com/maps?q=4589+H+C+Yates+Ln+Osceola,+FL</t>
  </si>
  <si>
    <t>4601 Neptune Rd</t>
  </si>
  <si>
    <t>San Lorenzo Trust</t>
  </si>
  <si>
    <t>2630 04 0725 0001 4240</t>
  </si>
  <si>
    <t>San Lorenzo Trust (Private/Residential)</t>
  </si>
  <si>
    <t>https://www.google.com/maps?q=4601+Neptune+Rd+Osceola,+FL</t>
  </si>
  <si>
    <t>2275 Nolte Rd</t>
  </si>
  <si>
    <t>Nadg Nnn Hld (Stc Fl) Lp</t>
  </si>
  <si>
    <t>2630 15 0633 0001 0030</t>
  </si>
  <si>
    <t>NADG (Net Lease Retail - Likely Wawa/7-11)</t>
  </si>
  <si>
    <t>https://www.google.com/maps?q=2275+Nolte+Rd+Osceola,+FL</t>
  </si>
  <si>
    <t>3501 Progress Ln</t>
  </si>
  <si>
    <t>Lhc St Cloud Lllp</t>
  </si>
  <si>
    <t>2630 15 0700 TRAC 0020</t>
  </si>
  <si>
    <t>LHC St Cloud (Industrial/Housing)</t>
  </si>
  <si>
    <t>https://www.google.com/maps?q=3501+Progress+Ln+Osceola,+FL</t>
  </si>
  <si>
    <t>3201 Budinger Ave</t>
  </si>
  <si>
    <t>Arks Equity LLC</t>
  </si>
  <si>
    <t>2630 15 0702 0001 0140</t>
  </si>
  <si>
    <t>ARKS Equity (Commercial Development)</t>
  </si>
  <si>
    <t>https://www.google.com/maps?q=3201+Budinger+Ave+Osceola,+FL</t>
  </si>
  <si>
    <t>1200 E Irlo Bronson Memorial</t>
  </si>
  <si>
    <t>SI3</t>
  </si>
  <si>
    <t>2631 07 0605 0001 0015</t>
  </si>
  <si>
    <t>WMG Acquisitions (Wawa or Retail Pad)</t>
  </si>
  <si>
    <t>https://www.google.com/maps?q=1200+E+Irlo+Bronson+Memorial+Osceola,+FL</t>
  </si>
  <si>
    <t>2121 Old Hickory Tree Rd</t>
  </si>
  <si>
    <t>Liu &amp; C LLC</t>
  </si>
  <si>
    <t>SI2</t>
  </si>
  <si>
    <t>2631 07 0725 0001 0380</t>
  </si>
  <si>
    <t>Liu &amp; C LLC (General Commercial)</t>
  </si>
  <si>
    <t>https://www.google.com/maps?q=2121+Old+Hickory+Tree+Rd+Osceola,+FL</t>
  </si>
  <si>
    <t>5345 E Irlo Bronson Memorial</t>
  </si>
  <si>
    <t>Rocker Grove LLC</t>
  </si>
  <si>
    <t>2631 09 0000 0030 0000</t>
  </si>
  <si>
    <t>Rocker Grove (Vacant Commercial)</t>
  </si>
  <si>
    <t>https://www.google.com/maps?q=5345+E+Irlo+Bronson+Memorial+Osceola,+FL</t>
  </si>
  <si>
    <t>3500 Harmony Square Dr W</t>
  </si>
  <si>
    <t>Mended Global Solutions LLC</t>
  </si>
  <si>
    <t>2632 30 2613 TRAC 0WC0</t>
  </si>
  <si>
    <t>Mended Global Solutions (Consulting)</t>
  </si>
  <si>
    <t>https://www.google.com/maps?q=3500+Harmony+Square+Dr+W+Osceola,+FL</t>
  </si>
  <si>
    <t>4850 Holopaw Rd</t>
  </si>
  <si>
    <t>Dimea Holdings LLC</t>
  </si>
  <si>
    <t>OAR1</t>
  </si>
  <si>
    <t>2732 14 0000 0020 0000</t>
  </si>
  <si>
    <t>Dimea Holdings (Vacant Land)</t>
  </si>
  <si>
    <t>https://www.google.com/maps?q=4850+Holopaw+Rd+Osceola,+FL</t>
  </si>
  <si>
    <t>201 Park Ave N</t>
  </si>
  <si>
    <t>Greer Holdings Corp</t>
  </si>
  <si>
    <t>1930 25 501 0000 00A0</t>
  </si>
  <si>
    <t>Greer Holdings (Downtown Sanford Retail)</t>
  </si>
  <si>
    <t>https://www.google.com/maps?q=201+Park+Ave+N+Seminole,+FL</t>
  </si>
  <si>
    <t>209 Commercial St E</t>
  </si>
  <si>
    <t>Anglers Commercial Center Limited Company</t>
  </si>
  <si>
    <t>1930 25 501 0000 00D0</t>
  </si>
  <si>
    <t>Anglers Commercial Center (Retail/Marine)</t>
  </si>
  <si>
    <t>https://www.google.com/maps?q=209+Commercial+St+E+Seminole,+FL</t>
  </si>
  <si>
    <t>200 Commercial St E</t>
  </si>
  <si>
    <t>Doudney Prop LLC</t>
  </si>
  <si>
    <t>1930 25 501 0000 0350</t>
  </si>
  <si>
    <t>Doudney Law (Law Firm)</t>
  </si>
  <si>
    <t>https://www.google.com/maps?q=200+Commercial+St+E+Seminole,+FL</t>
  </si>
  <si>
    <t>Big Bubba Investments LLC</t>
  </si>
  <si>
    <t>1930 25 521 0000 0020</t>
  </si>
  <si>
    <t>Tuffy's Music Box / Retail (Big Bubba Inv)</t>
  </si>
  <si>
    <t>https://www.google.com/maps?q=Seminole,+FL</t>
  </si>
  <si>
    <t>1930 25 521 0000 0030</t>
  </si>
  <si>
    <t>1930 25 521 0000 0040</t>
  </si>
  <si>
    <t>101 1st St E</t>
  </si>
  <si>
    <t>1930 25 521 0000 0050</t>
  </si>
  <si>
    <t>Tuffy's Bottle Shop / Lounge</t>
  </si>
  <si>
    <t>https://www.google.com/maps?q=101+1st+St+E+Seminole,+FL</t>
  </si>
  <si>
    <t>1930 25 521 0000 0060</t>
  </si>
  <si>
    <t>101 Fulton St</t>
  </si>
  <si>
    <t>Royal King Enterprises LLC</t>
  </si>
  <si>
    <t>1930 25 5AG 0104 0010</t>
  </si>
  <si>
    <t>Royal King Enterprises (Investment/Holding)</t>
  </si>
  <si>
    <t>https://www.google.com/maps?q=101+Fulton+St+Seminole,+FL</t>
  </si>
  <si>
    <t>655 Fulton # 1 St</t>
  </si>
  <si>
    <t>Leapwood Properties LLC</t>
  </si>
  <si>
    <t>1930 25 5AG 0109 0060</t>
  </si>
  <si>
    <t>Leapwood Properties (Real Estate)</t>
  </si>
  <si>
    <t>https://www.google.com/maps?q=655+Fulton+%231+St+Seminole,+FL</t>
  </si>
  <si>
    <t>114 Park Ave N</t>
  </si>
  <si>
    <t>Borman Land &amp; Development LLC</t>
  </si>
  <si>
    <t>18</t>
  </si>
  <si>
    <t>1930 25 5AG 0204 002A</t>
  </si>
  <si>
    <t>Borman Construction &amp; Development</t>
  </si>
  <si>
    <t>https://www.google.com/maps?q=114+Park+Ave+N+Seminole,+FL</t>
  </si>
  <si>
    <t>112 Sanford Ave</t>
  </si>
  <si>
    <t>112 S Sanford LLC</t>
  </si>
  <si>
    <t>1930 25 5AG 0301 0020</t>
  </si>
  <si>
    <t>https://www.loopnet.com/Listing/112-S-Sanford-Ave-Sanford-FL/23666491/</t>
  </si>
  <si>
    <t>https://www.google.com/maps?q=112+Sanford+Ave+Seminole,+FL</t>
  </si>
  <si>
    <t>320 2nd St E</t>
  </si>
  <si>
    <t>Ogrady Real Estate Inc</t>
  </si>
  <si>
    <t>1930 25 5AG 0301 0040</t>
  </si>
  <si>
    <t>O'Grady Real Estate (Residential/Office)</t>
  </si>
  <si>
    <t>https://www.google.com/maps?q=320+2nd+St+E+Seminole,+FL</t>
  </si>
  <si>
    <t>101 1st St W</t>
  </si>
  <si>
    <t>Sanford Centric LLC</t>
  </si>
  <si>
    <t>1930 25 5AG 0304 0010</t>
  </si>
  <si>
    <t>Sanford Centric (Development/Investment)</t>
  </si>
  <si>
    <t>https://www.google.com/maps?q=101+1st+St+W+Seminole,+FL</t>
  </si>
  <si>
    <t>201 1st St W</t>
  </si>
  <si>
    <t>Nvc Holdings LLC</t>
  </si>
  <si>
    <t>1930 25 5AG 0305 0010</t>
  </si>
  <si>
    <t>NVC Holdings (General Business)</t>
  </si>
  <si>
    <t>https://www.google.com/maps?q=201+1st+St+W+Seminole,+FL</t>
  </si>
  <si>
    <t>301 1st St W</t>
  </si>
  <si>
    <t>301 W 1St Street Property LLC</t>
  </si>
  <si>
    <t>1930 25 5AG 0306 0010</t>
  </si>
  <si>
    <t>Vacant / Redevelopment Site</t>
  </si>
  <si>
    <t>https://www.loopnet.com/Listing/301-W-1st-St-Sanford-FL/28666491/</t>
  </si>
  <si>
    <t>https://www.google.com/maps?q=301+1st+St+W+Seminole,+FL</t>
  </si>
  <si>
    <t>1621 1st St W</t>
  </si>
  <si>
    <t>Mohan Real Estate LLC</t>
  </si>
  <si>
    <t>1930 25 5AG 0319 00D0</t>
  </si>
  <si>
    <t>Mohan Real Estate (Investment)</t>
  </si>
  <si>
    <t>https://www.google.com/maps?q=1621+1st+St+W+Seminole,+FL</t>
  </si>
  <si>
    <t>217 Oak Ave</t>
  </si>
  <si>
    <t>Sherman Patricia H</t>
  </si>
  <si>
    <t>1930 25 5AG 0404 010A</t>
  </si>
  <si>
    <t>Residential / Private Owner</t>
  </si>
  <si>
    <t>https://www.realtor.com/realestateandhomes-detail/217-Oak-Ave_Sanford_FL_32771_M51836-54019</t>
  </si>
  <si>
    <t>https://www.google.com/maps?q=217+Oak+Ave+Seminole,+FL</t>
  </si>
  <si>
    <t>203 3rd St E</t>
  </si>
  <si>
    <t>Miramar Flats LLC</t>
  </si>
  <si>
    <t>1930 25 5AG 0502 0090</t>
  </si>
  <si>
    <t>Miramar Flats (Apartments/Residential)</t>
  </si>
  <si>
    <t>https://www.google.com/maps?q=203+3rd+St+E+Seminole,+FL</t>
  </si>
  <si>
    <t>319 Elm Ave</t>
  </si>
  <si>
    <t>White Stacy S &amp; White Matthew R &amp; Wurl Sloane M &amp; Wurl Daniel E</t>
  </si>
  <si>
    <t>1930 25 5AG 0506 0090</t>
  </si>
  <si>
    <t>https://www.zillow.com/homedetails/319-Elm-Ave-Sanford-FL-32771/47669493_zpid/</t>
  </si>
  <si>
    <t>https://www.google.com/maps?q=319+Elm+Ave+Seminole,+FL</t>
  </si>
  <si>
    <t>1120 1st # A St W</t>
  </si>
  <si>
    <t>Ausburn Holding Company Inc</t>
  </si>
  <si>
    <t>1930 25 5AG 0Y00 0070</t>
  </si>
  <si>
    <t>Ausburn Holding Company (General Business)</t>
  </si>
  <si>
    <t>https://www.google.com/maps?q=1120+1st+%23A+St+W+Seminole,+FL</t>
  </si>
  <si>
    <t>100 Lexington Green Ln</t>
  </si>
  <si>
    <t>Stewart Real Estate Developers LLC</t>
  </si>
  <si>
    <t>1930 25 5QL 0000 0010</t>
  </si>
  <si>
    <t>Stewart Real Estate Developers</t>
  </si>
  <si>
    <t>https://www.google.com/maps?q=100+Lexington+Green+Ln+Seminole,+FL</t>
  </si>
  <si>
    <t>1100 Lexington Green Ln</t>
  </si>
  <si>
    <t>Sp Re Holdings LLC</t>
  </si>
  <si>
    <t>1930 25 5QL 0000 0060</t>
  </si>
  <si>
    <t>SP RE Holdings (Real Estate Investment)</t>
  </si>
  <si>
    <t>https://www.google.com/maps?q=1100+Lexington+Green+Ln+Seminole,+FL</t>
  </si>
  <si>
    <t>1400 Lexington Green Ln</t>
  </si>
  <si>
    <t>M &amp; S Commercial Real Estate LLC</t>
  </si>
  <si>
    <t>1930 25 5QL 0000 0150</t>
  </si>
  <si>
    <t>M &amp; S Commercial Real Estate</t>
  </si>
  <si>
    <t>https://www.google.com/maps?q=1400+Lexington+Green+Ln+Seminole,+FL</t>
  </si>
  <si>
    <t>1600 Lexington Green Ln</t>
  </si>
  <si>
    <t>Orange Palms6 LLC</t>
  </si>
  <si>
    <t>1930 25 5QL 0000 0160</t>
  </si>
  <si>
    <t>Orange Palms (Investment/Holding)</t>
  </si>
  <si>
    <t>https://www.google.com/maps?q=1600+Lexington+Green+Ln+Seminole,+FL</t>
  </si>
  <si>
    <t>1708 Lexington Green Ln</t>
  </si>
  <si>
    <t>Ajb Property Investments LLC</t>
  </si>
  <si>
    <t>1930 26 511 0000 0020</t>
  </si>
  <si>
    <t>AJB Property Investments</t>
  </si>
  <si>
    <t>https://www.google.com/maps?q=1708+Lexington+Green+Ln+Seminole,+FL</t>
  </si>
  <si>
    <t>902 Persimmon Ave</t>
  </si>
  <si>
    <t>Vm Central Florida Retail LLC</t>
  </si>
  <si>
    <t>1930 26 512 0000 0020</t>
  </si>
  <si>
    <t>https://www.loopnet.com/Listing/902-Persimmon-Ave-Sanford-FL/25666491/</t>
  </si>
  <si>
    <t>https://www.google.com/maps?q=902+Persimmon+Ave+Seminole,+FL</t>
  </si>
  <si>
    <t>550 Aero Ln</t>
  </si>
  <si>
    <t>Dcbc Aero LLC</t>
  </si>
  <si>
    <t>1930 26 5AE 140A 0000</t>
  </si>
  <si>
    <t>DCBC Aero (Aviation/Industrial)</t>
  </si>
  <si>
    <t>https://www.google.com/maps?q=550+Aero+Ln+Seminole,+FL</t>
  </si>
  <si>
    <t>700 Codisco Way</t>
  </si>
  <si>
    <t>Codisco Way LLC</t>
  </si>
  <si>
    <t>1930 28 506 0000 0360</t>
  </si>
  <si>
    <t>Codisco Way LLC (Industrial/Warehouse)</t>
  </si>
  <si>
    <t>https://www.google.com/maps?q=700+Codisco+Way+Seminole,+FL</t>
  </si>
  <si>
    <t>1043 Upsala # 1005 Rd</t>
  </si>
  <si>
    <t>Cjd Central Park LLC</t>
  </si>
  <si>
    <t>1930 28 506 0000 0450</t>
  </si>
  <si>
    <t>CJD Central Park (Industrial Flex)</t>
  </si>
  <si>
    <t>https://www.google.com/maps?q=1043+Upsala+%231005+Rd+Seminole,+FL</t>
  </si>
  <si>
    <t>273 Bellagio Cir</t>
  </si>
  <si>
    <t>Beracoechea Family Trust &amp; Barker Thomas &amp; Barker Susan</t>
  </si>
  <si>
    <t>1930 28 520 0000 0020</t>
  </si>
  <si>
    <t>Vacant Office Condo (The Fountains)</t>
  </si>
  <si>
    <t>https://www.loopnet.com/Listing/273-Bellagio-Cir-Sanford-FL/12117/</t>
  </si>
  <si>
    <t>https://www.google.com/maps?q=273+Bellagio+Cir+Seminole,+FL</t>
  </si>
  <si>
    <t>269 Bellagio Cir</t>
  </si>
  <si>
    <t>1930 28 520 0000 0030</t>
  </si>
  <si>
    <t>https://www.loopnet.com/Listing/269-Bellagio-Cir-Sanford-FL/12118/</t>
  </si>
  <si>
    <t>https://www.google.com/maps?q=269+Bellagio+Cir+Seminole,+FL</t>
  </si>
  <si>
    <t>265 Bellagio Cir</t>
  </si>
  <si>
    <t>Shaughnessy Investment Group LLC</t>
  </si>
  <si>
    <t>1930 28 520 0000 0040</t>
  </si>
  <si>
    <t>Shaughnessy Investment Group (Financial)</t>
  </si>
  <si>
    <t>https://maps.google.com/?cid=3279002913718620510&amp;g_mp=Cidnb29nbGUubWFwcy5wbGFjZXMudjEuUGxhY2VzLlNlYXJjaFRleHQ</t>
  </si>
  <si>
    <t>253 Bellagio Cir</t>
  </si>
  <si>
    <t>H M H Florida Trust</t>
  </si>
  <si>
    <t>1930 28 520 0000 0060</t>
  </si>
  <si>
    <t>Private Trust / Office Condo</t>
  </si>
  <si>
    <t>https://www.loopnet.com/Listing/253-Bellagio-Cir-Sanford-FL/19223126/</t>
  </si>
  <si>
    <t>https://maps.google.com/?cid=16643253937446768428&amp;g_mp=Cidnb29nbGUubWFwcy5wbGFjZXMudjEuUGxhY2VzLlNlYXJjaFRleHQ</t>
  </si>
  <si>
    <t>145 Bellagio Cir</t>
  </si>
  <si>
    <t>145 Bellagio Circle Sanford LLC</t>
  </si>
  <si>
    <t>1930 28 520 0000 0230</t>
  </si>
  <si>
    <t>Vacant Office / Private Owner</t>
  </si>
  <si>
    <t>https://www.zillow.com/homedetails/145-Bellagio-Cir-Sanford-FL-32771/2069066409_zpid/</t>
  </si>
  <si>
    <t>https://www.google.com/maps/search/?api=1&amp;query=145+Bellagio+Cir+Sanford+FL</t>
  </si>
  <si>
    <t>131 Bellagio Cir</t>
  </si>
  <si>
    <t>1930 28 520 0000 0260</t>
  </si>
  <si>
    <t>American Hospitality Association</t>
  </si>
  <si>
    <t>https://www.google.com/maps/search/?api=1&amp;query=131+Bellagio+Cir+Sanford+FL</t>
  </si>
  <si>
    <t>4380 St Johns # 100 Pkwy</t>
  </si>
  <si>
    <t>J &amp; K Sanford LLC</t>
  </si>
  <si>
    <t>1930 28 5JB 0000 0010</t>
  </si>
  <si>
    <t>Dave Brewer Properties (Construction/Flex)</t>
  </si>
  <si>
    <t>https://www.google.com/maps/search/?api=1&amp;query=4380+St+Johns+Pkwy+Sanford+FL</t>
  </si>
  <si>
    <t>4155 St Johns Pkwy</t>
  </si>
  <si>
    <t>1930 28 5JB 0000 014A</t>
  </si>
  <si>
    <t>Dave Brewer Constructors (Construction HQ)</t>
  </si>
  <si>
    <t>https://maps.google.com/?cid=3765144937818958521&amp;g_mp=Cidnb29nbGUubWFwcy5wbGFjZXMudjEuUGxhY2VzLlNlYXJjaFRleHQ</t>
  </si>
  <si>
    <t>4395 St Johns Pkwy</t>
  </si>
  <si>
    <t>Abdallah Shabnam C/O Musleem Moe</t>
  </si>
  <si>
    <t>1930 28 5JB 0000 0350</t>
  </si>
  <si>
    <t>Vacant / Call Center (Former)</t>
  </si>
  <si>
    <t>https://www.loopnet.com/Listing/4395-St-Johns-Pky-Sanford-FL/4022698/</t>
  </si>
  <si>
    <t>https://www.google.com/maps/search/?api=1&amp;query=4395+St+Johns+Pkwy+Sanford+FL</t>
  </si>
  <si>
    <t>1100 Historic Goldsboro Blvd</t>
  </si>
  <si>
    <t>Oaksville Property Berkshire LLC</t>
  </si>
  <si>
    <t>1930 35 5AJ 0A00 0010</t>
  </si>
  <si>
    <t>Vacant Land / Residential Zone</t>
  </si>
  <si>
    <t>https://www.realtor.com/realestateandhomes-detail/1100-Historic-Goldsboro-Blvd_Sanford_FL_32771_M95718-51841</t>
  </si>
  <si>
    <t>https://maps.google.com/?cid=884724222791873969&amp;g_mp=Cidnb29nbGUubWFwcy5wbGFjZXMudjEuUGxhY2VzLlNlYXJjaFRleHQ</t>
  </si>
  <si>
    <t>1006 25th St W</t>
  </si>
  <si>
    <t>Cpa Smith South LLC</t>
  </si>
  <si>
    <t>1930 36 524 0800 0010</t>
  </si>
  <si>
    <t>H.L. Hirsch &amp; Co (CPA / Accounting)</t>
  </si>
  <si>
    <t>https://maps.google.com/?cid=3303380664500522381&amp;g_mp=Cidnb29nbGUubWFwcy5wbGFjZXMudjEuUGxhY2VzLlNlYXJjaFRleHQ</t>
  </si>
  <si>
    <t>2425 Park Ave</t>
  </si>
  <si>
    <t>Simmons Di Maria Group LLC</t>
  </si>
  <si>
    <t>1930 36 541 0000 0370</t>
  </si>
  <si>
    <t>Vacant Office (For Sale)</t>
  </si>
  <si>
    <t>https://www.loopnet.com/Listing/2425-S-Park-Ave-Sanford-FL/24819918/</t>
  </si>
  <si>
    <t>https://maps.google.com/?cid=12073885526413496348&amp;g_mp=Cidnb29nbGUubWFwcy5wbGFjZXMudjEuUGxhY2VzLlNlYXJjaFRleHQ</t>
  </si>
  <si>
    <t>1001 1st St E</t>
  </si>
  <si>
    <t>Global Assist Campus Inc</t>
  </si>
  <si>
    <t>1931 30 507 0L00 0010</t>
  </si>
  <si>
    <t>Global Assist Campus (General Business)</t>
  </si>
  <si>
    <t>https://www.google.com/maps/search/?api=1&amp;query=1001+E+1st+St+Sanford+FL</t>
  </si>
  <si>
    <t>209 San Carlos Ave</t>
  </si>
  <si>
    <t>Sherpa Enterprises LLC</t>
  </si>
  <si>
    <t>1931 30 508 2300 0030</t>
  </si>
  <si>
    <t>GPH Services (Pipe/Utility Services)</t>
  </si>
  <si>
    <t>https://maps.google.com/?cid=6281969506611661673&amp;g_mp=Cidnb29nbGUubWFwcy5wbGFjZXMudjEuUGxhY2VzLlNlYXJjaFRleHQ</t>
  </si>
  <si>
    <t>806 25th St E</t>
  </si>
  <si>
    <t>806 E 25Th St Trust &amp; Hp Investment Group Inc Tr</t>
  </si>
  <si>
    <t>1931 31 519 0000 0180</t>
  </si>
  <si>
    <t>Vacant / Former Tutoring Center</t>
  </si>
  <si>
    <t>https://commercial.century21.com/property/806-e-25th-street-sanford-fl-32771-REN031563941</t>
  </si>
  <si>
    <t>https://www.google.com/maps/search/?api=1&amp;query=806+E+25th+St+Sanford+FL</t>
  </si>
  <si>
    <t>300 International Pkwy</t>
  </si>
  <si>
    <t>Heathrow Portfolio Properties LLC</t>
  </si>
  <si>
    <t>1804</t>
  </si>
  <si>
    <t>2029 12 300 001A 0000</t>
  </si>
  <si>
    <t>Heathrow Portfolio (Multi-Tenant Office)</t>
  </si>
  <si>
    <t>https://maps.google.com/?cid=106175315992255483&amp;g_mp=Cidnb29nbGUubWFwcy5wbGFjZXMudjEuUGxhY2VzLlNlYXJjaFRleHQ</t>
  </si>
  <si>
    <t>1275 Lake Heathrow Ln</t>
  </si>
  <si>
    <t>Sg Lm Re Holdings LLC</t>
  </si>
  <si>
    <t>2029 12 300 001C 0000</t>
  </si>
  <si>
    <t>The Electricity Concierge (Service)</t>
  </si>
  <si>
    <t>https://maps.google.com/?cid=3533290234143053460&amp;g_mp=Cidnb29nbGUubWFwcy5wbGFjZXMudjEuUGxhY2VzLlNlYXJjaFRleHQ</t>
  </si>
  <si>
    <t>195 International Pkwy</t>
  </si>
  <si>
    <t>First Team Heathrow LLC</t>
  </si>
  <si>
    <t>2029 12 300 0050 0000</t>
  </si>
  <si>
    <t>Marshall Insurance Group</t>
  </si>
  <si>
    <t>https://maps.google.com/?cid=6050104454433731993&amp;g_mp=Cidnb29nbGUubWFwcy5wbGFjZXMudjEuUGxhY2VzLlNlYXJjaFRleHQ</t>
  </si>
  <si>
    <t>1064 Greenwood Blvd</t>
  </si>
  <si>
    <t>Cpg Waterfall Northpoint LLC</t>
  </si>
  <si>
    <t>2029 13 300 0090 0000</t>
  </si>
  <si>
    <t>Northpoint IV (General Office)</t>
  </si>
  <si>
    <t>https://maps.google.com/?cid=8432281158434174240&amp;g_mp=Cidnb29nbGUubWFwcy5wbGFjZXMudjEuUGxhY2VzLlNlYXJjaFRleHQ</t>
  </si>
  <si>
    <t>1150 Greenwood Blvd</t>
  </si>
  <si>
    <t>Strang Properties LLC</t>
  </si>
  <si>
    <t>2029 13 510 0000 0010</t>
  </si>
  <si>
    <t>Charisma Media (Publishing HQ)</t>
  </si>
  <si>
    <t>https://maps.google.com/?cid=10441638830317902045&amp;g_mp=Cidnb29nbGUubWFwcy5wbGFjZXMudjEuUGxhY2VzLlNlYXJjaFRleHQ</t>
  </si>
  <si>
    <t>1349 International # 2441 Pkw</t>
  </si>
  <si>
    <t>Devlen Ronald D &amp; Kimberly J</t>
  </si>
  <si>
    <t>2029 13 513 0200 00P2</t>
  </si>
  <si>
    <t>https://www.loopnet.com/Listing/1349-S-International-Pky-Lake-Mary-FL/25552840/</t>
  </si>
  <si>
    <t>https://www.google.com/maps/search/?api=1&amp;query=1349+International+Pkwy+2441+Lake+Mary+FL</t>
  </si>
  <si>
    <t>1331 International # 2291 Pkw</t>
  </si>
  <si>
    <t>2029 13 513 0500 00A2</t>
  </si>
  <si>
    <t>Virji Investments (Financial)</t>
  </si>
  <si>
    <t>https://www.google.com/maps/search/?api=1&amp;query=1331+International+Pkwy+2291+Lake+Mary+FL</t>
  </si>
  <si>
    <t>1331 International # 2251 Pkw</t>
  </si>
  <si>
    <t>United Investments Group LLC</t>
  </si>
  <si>
    <t>2029 13 513 0500 00M2</t>
  </si>
  <si>
    <t>United Investments Group</t>
  </si>
  <si>
    <t>https://maps.google.com/?cid=9776206446709451877&amp;g_mp=Cidnb29nbGUubWFwcy5wbGFjZXMudjEuUGxhY2VzLlNlYXJjaFRleHQ</t>
  </si>
  <si>
    <t>1325 International # 1221 Pkw</t>
  </si>
  <si>
    <t>Heathrow Muslim Community Center Inc</t>
  </si>
  <si>
    <t>2029 13 513 0600 00D1</t>
  </si>
  <si>
    <t>Heathrow Muslim Community Center</t>
  </si>
  <si>
    <t>https://www.google.com/maps/search/?api=1&amp;query=1325+International+Pkwy+1221+Lake+Mary+FL</t>
  </si>
  <si>
    <t>1025 Greenwood Blvd</t>
  </si>
  <si>
    <t>1805</t>
  </si>
  <si>
    <t>2029 13 5PR 0000 0010</t>
  </si>
  <si>
    <t>Northpoint I (General Office - Multi-Tenant)</t>
  </si>
  <si>
    <t>https://www.google.com/maps?q=1025+Greenwood+Blvd+Seminole,+FL</t>
  </si>
  <si>
    <t>1035 Greenwood Blvd</t>
  </si>
  <si>
    <t>2029 13 5PV 0000 0010</t>
  </si>
  <si>
    <t>Northpoint II (General Office - Multi-Tenant)</t>
  </si>
  <si>
    <t>https://www.google.com/maps?q=1035+Greenwood+Blvd+Seminole,+FL</t>
  </si>
  <si>
    <t>39 Skyline # 1001 Dr</t>
  </si>
  <si>
    <t>Spi Tcm Suntech Owner LLC</t>
  </si>
  <si>
    <t>2029 24 505 0000 0030</t>
  </si>
  <si>
    <t>Suntech Commerce Park (Industrial/Flex)</t>
  </si>
  <si>
    <t>https://www.google.com/maps?q=39+Skyline+%231001+Dr+Seminole,+FL</t>
  </si>
  <si>
    <t>55 Skyline Dr</t>
  </si>
  <si>
    <t>2029 24 512 0000 0010</t>
  </si>
  <si>
    <t>https://www.google.com/maps?q=55+Skyline+Dr+Seminole,+FL</t>
  </si>
  <si>
    <t>1180 Emma Oaks Trl</t>
  </si>
  <si>
    <t>Uscif Orlando Industrial Portfolio I LLC</t>
  </si>
  <si>
    <t>2029 24 512 0000 0020</t>
  </si>
  <si>
    <t>Milcarsky's Appliance Centre</t>
  </si>
  <si>
    <t>https://www.google.com/maps?q=1180+Emma+Oaks+Trl+Seminole,+FL</t>
  </si>
  <si>
    <t>750 Miami Springs Dr</t>
  </si>
  <si>
    <t>Green Planet LLC C/O Demoor Steve</t>
  </si>
  <si>
    <t>2029 31 300 006J 0000</t>
  </si>
  <si>
    <t>Residential / Rental Property</t>
  </si>
  <si>
    <t>https://www.realtor.com/realestateandhomes-detail/750-Miami-Springs-Dr_Longwood_FL_32779_M58823-14979</t>
  </si>
  <si>
    <t>https://www.google.com/maps?q=750+Miami+Springs+Dr+Seminole,+FL</t>
  </si>
  <si>
    <t>181 Sabal Palm # 101 Dr</t>
  </si>
  <si>
    <t>2029 33 515 0000 0020</t>
  </si>
  <si>
    <t>Sabal Point Condo / Private Owner</t>
  </si>
  <si>
    <t>https://www.zillow.com/homedetails/181-Sabal-Palm-Dr-SUITE-101-Longwood-FL-32779/2071090723_zpid/</t>
  </si>
  <si>
    <t>https://www.google.com/maps?q=181+Sabal+Palm+%23101+Dr+Seminole,+FL</t>
  </si>
  <si>
    <t>1445 SR 434 W</t>
  </si>
  <si>
    <t>2029 35 300 013A 0000</t>
  </si>
  <si>
    <t>https://www.google.com/maps?q=1445+SR+434+W+Seminole,+FL</t>
  </si>
  <si>
    <t>2544 Park Dr</t>
  </si>
  <si>
    <t>American Legion Campbell Lossing Post 53 Inc</t>
  </si>
  <si>
    <t>2030 01 504 0300 0140</t>
  </si>
  <si>
    <t>American Legion Post 53</t>
  </si>
  <si>
    <t>https://www.google.com/maps?q=2544+Park+Dr+Seminole,+FL</t>
  </si>
  <si>
    <t>2575 French Ave</t>
  </si>
  <si>
    <t>Nexgen Venture Holdings LLC</t>
  </si>
  <si>
    <t>2030 01 504 0700 0210</t>
  </si>
  <si>
    <t>Vacant / Creative Loft Office</t>
  </si>
  <si>
    <t>https://www.loopnet.com/Listing/2575-French-Ave-Sanford-FL/34888815/</t>
  </si>
  <si>
    <t>https://www.google.com/maps?q=2575+French+Ave+Seminole,+FL</t>
  </si>
  <si>
    <t>2884 Orlando Dr</t>
  </si>
  <si>
    <t>Rp Oz Fund I LLC</t>
  </si>
  <si>
    <t>2030 01 512 0000 0510</t>
  </si>
  <si>
    <t>Vacant Office (For Sale/Lease)</t>
  </si>
  <si>
    <t>https://resultsrepartners.com/property/office-building-with-ample-parking-s-orlando-dr-sanford/</t>
  </si>
  <si>
    <t>https://www.google.com/maps?q=2884+Orlando+Dr+Seminole,+FL</t>
  </si>
  <si>
    <t>1105 Airport Blvd W</t>
  </si>
  <si>
    <t>Juanita Mobile Home Park LLC</t>
  </si>
  <si>
    <t>2030 02 300 034A 0000</t>
  </si>
  <si>
    <t>Juanita Mobile Home Park</t>
  </si>
  <si>
    <t>https://www.google.com/maps?q=1105+Airport+Blvd+W+Seminole,+FL</t>
  </si>
  <si>
    <t>917 Rinehart # 2027 Rd</t>
  </si>
  <si>
    <t>Freetime Suites LLC</t>
  </si>
  <si>
    <t>2030 05 519 0000 7800</t>
  </si>
  <si>
    <t>Lake Mary Professional Center (Suites)</t>
  </si>
  <si>
    <t>https://www.google.com/maps?q=917+Rinehart+%232027+Rd+Seminole,+FL</t>
  </si>
  <si>
    <t>901 International # 100 Pkwy</t>
  </si>
  <si>
    <t>2030 06 300 002B 0000</t>
  </si>
  <si>
    <t>Heathrow International Business Center</t>
  </si>
  <si>
    <t>https://www.google.com/maps?q=901+International+%23100+Pkwy+Seminole,+FL</t>
  </si>
  <si>
    <t>801 International Pkwy</t>
  </si>
  <si>
    <t>2030 06 300 002D 0000</t>
  </si>
  <si>
    <t>https://www.google.com/maps?q=801+International+Pkwy+Seminole,+FL</t>
  </si>
  <si>
    <t>1001 Heathrow Park Ln</t>
  </si>
  <si>
    <t>2030 06 300 002G 0000</t>
  </si>
  <si>
    <t>https://www.google.com/maps?q=1001+Heathrow+Park+Ln+Seminole,+FL</t>
  </si>
  <si>
    <t>7015 CR 46A</t>
  </si>
  <si>
    <t>2030 06 300 002Q 0000</t>
  </si>
  <si>
    <t>https://www.google.com/maps?q=7015+CR+46A+Seminole,+FL</t>
  </si>
  <si>
    <t>978 International # 1440 Pkw</t>
  </si>
  <si>
    <t>978 International Parkway LLC</t>
  </si>
  <si>
    <t>2030 06 300 007J 0000</t>
  </si>
  <si>
    <t>Vacant Land / Commercial</t>
  </si>
  <si>
    <t>https://www.loopnet.com/Listing/978-International-Pky-Lake-Mary-FL/3929497/</t>
  </si>
  <si>
    <t>https://www.google.com/maps?q=978+International+%231440+Pkw+Seminole,+FL</t>
  </si>
  <si>
    <t>934 International Pkwy</t>
  </si>
  <si>
    <t>Yacoub &amp; Sons LLC</t>
  </si>
  <si>
    <t>2030 06 300 007L 0000</t>
  </si>
  <si>
    <t>Crowne Audio (Home Theater/AV)</t>
  </si>
  <si>
    <t>https://www.google.com/maps?q=934+International+Pkwy+Seminole,+FL</t>
  </si>
  <si>
    <t>964 International Pkwy</t>
  </si>
  <si>
    <t>Sunshine Re Holding LLC</t>
  </si>
  <si>
    <t>2030 06 300 007T 0000</t>
  </si>
  <si>
    <t>Sunshine Re Holding (General Office)</t>
  </si>
  <si>
    <t>https://www.google.com/maps?q=964+International+Pkwy+Seminole,+FL</t>
  </si>
  <si>
    <t>640 Century Pt</t>
  </si>
  <si>
    <t>Rinehart Ridge II Inc</t>
  </si>
  <si>
    <t>2030 06 509 0000 0010</t>
  </si>
  <si>
    <t>Rinehart Ridge II (General Office/Vacant)</t>
  </si>
  <si>
    <t>https://www.commercialsearch.com/commercial-property/us/fl/lake-mary/640-century-point/</t>
  </si>
  <si>
    <t>https://www.google.com/maps?q=640+Century+Pt+Seminole,+FL</t>
  </si>
  <si>
    <t>1515 International # 1001 Pkw</t>
  </si>
  <si>
    <t>1515 International Parkway Holdings LLC</t>
  </si>
  <si>
    <t>2030 06 512 0000 1001</t>
  </si>
  <si>
    <t>Park Place at Heathrow (General Office)</t>
  </si>
  <si>
    <t>https://www.google.com/maps?q=1515+International+%231001+Pkw+Seminole,+FL</t>
  </si>
  <si>
    <t>1515 International # 2013 Pkw</t>
  </si>
  <si>
    <t>Simulocity LLC</t>
  </si>
  <si>
    <t>2030 06 512 0000 2013</t>
  </si>
  <si>
    <t>Simulocity (Tech/Simulation)</t>
  </si>
  <si>
    <t>https://www.google.com/maps?q=1515+International+%232013+Pkw+Seminole,+FL</t>
  </si>
  <si>
    <t>773 Stirling Center Pl</t>
  </si>
  <si>
    <t>Goog Re Holdings LLC</t>
  </si>
  <si>
    <t>2030 06 513 0000 0120</t>
  </si>
  <si>
    <t>Jason Rutland (Mortgage Broker)</t>
  </si>
  <si>
    <t>https://www.google.com/maps?q=773+Stirling+Center+Pl+Seminole,+FL</t>
  </si>
  <si>
    <t>1525 International # 2021 Pkw</t>
  </si>
  <si>
    <t>Dyon Holdings LLC</t>
  </si>
  <si>
    <t>2030 06 516 0000 2021</t>
  </si>
  <si>
    <t>Bauerle Financial (Financial Planning)</t>
  </si>
  <si>
    <t>https://www.google.com/maps?q=1525+International+%232021+Pkw+Seminole,+FL</t>
  </si>
  <si>
    <t>1525 International # 4051 Pkw</t>
  </si>
  <si>
    <t>1525 International Parkway LLC</t>
  </si>
  <si>
    <t>2030 06 516 0000 4051</t>
  </si>
  <si>
    <t>General Office / 1525 International Pkwy LLC</t>
  </si>
  <si>
    <t>https://www.google.com/maps?q=1525+International+%234051+Pkw+Seminole,+FL</t>
  </si>
  <si>
    <t>1525 International # 4071 Pkw</t>
  </si>
  <si>
    <t>Alpha Equity Realty &amp; Management Inc</t>
  </si>
  <si>
    <t>2030 06 516 0000 4071</t>
  </si>
  <si>
    <t>Alpha Equity Realty (Real Estate)</t>
  </si>
  <si>
    <t>https://www.google.com/maps?q=1525+International+%234071+Pkw+Seminole,+FL</t>
  </si>
  <si>
    <t>737 Stirling Center # 1809 P</t>
  </si>
  <si>
    <t>Cml Properties Of Lake Mary LLC</t>
  </si>
  <si>
    <t>2030 06 518 0600 1001</t>
  </si>
  <si>
    <t>CML Properties (General Office)</t>
  </si>
  <si>
    <t>https://www.google.com/maps?q=737+Stirling+Center+%231809+P+Seminole,+FL</t>
  </si>
  <si>
    <t>925 Williston Park Pt</t>
  </si>
  <si>
    <t>B R W Real Estate LLC</t>
  </si>
  <si>
    <t>2030 06 524 0000 0010</t>
  </si>
  <si>
    <t>https://www.google.com/maps?q=925+Williston+Park+Pt+Seminole,+FL</t>
  </si>
  <si>
    <t>1540 International # 1000 Pkw</t>
  </si>
  <si>
    <t>Beacon Offices LLC</t>
  </si>
  <si>
    <t>2030 06 5UD 0000 003A</t>
  </si>
  <si>
    <t>YourOffice (Coworking / Executive Suites)</t>
  </si>
  <si>
    <t>https://www.google.com/maps?q=1540+International+%231000+Pkw+Seminole,+FL</t>
  </si>
  <si>
    <t>1130 Business Center Dr</t>
  </si>
  <si>
    <t>Crz Properties LLC</t>
  </si>
  <si>
    <t>2030 06 5UD 0000 0520</t>
  </si>
  <si>
    <t>CRZ Properties (Investment/Holding)</t>
  </si>
  <si>
    <t>https://www.google.com/maps?q=1130+Business+Center+Dr+Seminole,+FL</t>
  </si>
  <si>
    <t>730 Primera Blvd</t>
  </si>
  <si>
    <t>Lake Mary Creative II Lp</t>
  </si>
  <si>
    <t>2030 07 300 003F 0000</t>
  </si>
  <si>
    <t>Lake Mary Creative (General Office)</t>
  </si>
  <si>
    <t>https://www.google.com/maps?q=730+Primera+Blvd+Seminole,+FL</t>
  </si>
  <si>
    <t>400 International Pkwy</t>
  </si>
  <si>
    <t>2030 07 300 005C 0000</t>
  </si>
  <si>
    <t>Heathrow Portfolio (General Office)</t>
  </si>
  <si>
    <t>https://www.google.com/maps?q=400+International+Pkwy+Seminole,+FL</t>
  </si>
  <si>
    <t>1025 Primera Blvd</t>
  </si>
  <si>
    <t>Fri Orlando Holdings LLC</t>
  </si>
  <si>
    <t>2030 07 300 023D 0000</t>
  </si>
  <si>
    <t>FRI Orlando (General Contractor)</t>
  </si>
  <si>
    <t>https://www.google.com/maps?q=1025+Primera+Blvd+Seminole,+FL</t>
  </si>
  <si>
    <t>1141 Patterson Ter</t>
  </si>
  <si>
    <t>1411 Patterson LLC C/O Kimelman Robert</t>
  </si>
  <si>
    <t>2030 07 502 0000 005A</t>
  </si>
  <si>
    <t>Kimelman Realty (Real Estate)</t>
  </si>
  <si>
    <t>https://www.google.com/maps?q=1141+Patterson+Ter+Seminole,+FL</t>
  </si>
  <si>
    <t>835 Currency Cir</t>
  </si>
  <si>
    <t>Hhre Lake Mary LLC</t>
  </si>
  <si>
    <t>2030 07 512 0A00 0000</t>
  </si>
  <si>
    <t>HHRE Lake Mary (General Office)</t>
  </si>
  <si>
    <t>https://www.google.com/maps?q=835+Currency+Cir+Seminole,+FL</t>
  </si>
  <si>
    <t>3112 Lake Mary Blvd W</t>
  </si>
  <si>
    <t>Underhill Holdings LLC</t>
  </si>
  <si>
    <t>2030 08 503 4700 00A0</t>
  </si>
  <si>
    <t>Underhill Holdings (Investment)</t>
  </si>
  <si>
    <t>https://www.google.com/maps?q=3112+Lake+Mary+Blvd+W+Seminole,+FL</t>
  </si>
  <si>
    <t>3074 Lake Mary Blvd W</t>
  </si>
  <si>
    <t>3070 3074 Fac Lake Mary Blvd LLC</t>
  </si>
  <si>
    <t>2030 08 503 4700 00E0</t>
  </si>
  <si>
    <t>3070-3074 Office (General Office)</t>
  </si>
  <si>
    <t>https://www.google.com/maps?q=3074+Lake+Mary+Blvd+W+Seminole,+FL</t>
  </si>
  <si>
    <t>3070 Lake Mary Blvd W</t>
  </si>
  <si>
    <t>2030 08 503 4700 00R0</t>
  </si>
  <si>
    <t>https://www.google.com/maps?q=3070+Lake+Mary+Blvd+W+Seminole,+FL</t>
  </si>
  <si>
    <t>3216 Lake Mary Blvd W</t>
  </si>
  <si>
    <t>Florida Retirement Realty Group LLC</t>
  </si>
  <si>
    <t>2030 08 512 0600 00A0</t>
  </si>
  <si>
    <t>Florida Retirement Group (Financial)</t>
  </si>
  <si>
    <t>https://www.google.com/maps?q=3216+Lake+Mary+Blvd+W+Seminole,+FL</t>
  </si>
  <si>
    <t>2500 Lake Mary # 109 Blvd W</t>
  </si>
  <si>
    <t>Trinity Florida LLC</t>
  </si>
  <si>
    <t>2030 09 515 0000 1090</t>
  </si>
  <si>
    <t>Trinity Florida (General Office)</t>
  </si>
  <si>
    <t>https://www.google.com/maps?q=2500+Lake+Mary+%23109+Blvd+W+Seminole,+FL</t>
  </si>
  <si>
    <t>153 Parliament Loop</t>
  </si>
  <si>
    <t>Elite Hq LLC</t>
  </si>
  <si>
    <t>2030 16 524 0000 0060</t>
  </si>
  <si>
    <t>https://www.loopnet.com/Listing/153-Parliament-Loop-Lake-Mary-FL/21081763/</t>
  </si>
  <si>
    <t>https://www.google.com/maps?q=153+Parliament+Loop+Seminole,+FL</t>
  </si>
  <si>
    <t>159 Parliament Loop</t>
  </si>
  <si>
    <t>D &amp; H Acquisttions LLC</t>
  </si>
  <si>
    <t>2030 16 524 0000 0070</t>
  </si>
  <si>
    <t>D &amp; H Acquisitions (Real Estate)</t>
  </si>
  <si>
    <t>https://www.google.com/maps?q=159+Parliament+Loop+Seminole,+FL</t>
  </si>
  <si>
    <t>131 Country Club Rd S</t>
  </si>
  <si>
    <t>Sunshine Offices LLC</t>
  </si>
  <si>
    <t>2030 16 532 0000 0010</t>
  </si>
  <si>
    <t>Sunshine Offices (General Office)</t>
  </si>
  <si>
    <t>https://www.google.com/maps?q=131+Country+Club+Rd+S+Seminole,+FL</t>
  </si>
  <si>
    <t>3701 Lake Mary Blvd W</t>
  </si>
  <si>
    <t>Christopher G Boghossian 2012 Irrev Trust</t>
  </si>
  <si>
    <t>2030 17 300 024K 0000</t>
  </si>
  <si>
    <t>Private Trust / General Office</t>
  </si>
  <si>
    <t>https://www.loopnet.com/property/3701-w-lake-mary-blvd-lake-mary-fl-32746/12117-17203050400000070/</t>
  </si>
  <si>
    <t>https://www.google.com/maps?q=3701+Lake+Mary+Blvd+W+Seminole,+FL</t>
  </si>
  <si>
    <t>125 Middle St</t>
  </si>
  <si>
    <t>Adjutant Group Development LLC</t>
  </si>
  <si>
    <t>2030 17 501 0000 0060</t>
  </si>
  <si>
    <t>The Adjutant Group (Construction/Dev)</t>
  </si>
  <si>
    <t>https://www.google.com/maps?q=125+Middle+St+Seminole,+FL</t>
  </si>
  <si>
    <t>130 Middle St</t>
  </si>
  <si>
    <t>130 Middle LLC</t>
  </si>
  <si>
    <t>2030 17 501 0000 0420</t>
  </si>
  <si>
    <t>https://www.google.com/maps?q=130+Middle+St+Seminole,+FL</t>
  </si>
  <si>
    <t>125 Waymont Ct</t>
  </si>
  <si>
    <t>Tamayo Properties LLC</t>
  </si>
  <si>
    <t>2030 17 507 0000 0020</t>
  </si>
  <si>
    <t>https://www.loopnet.com/Listing/125-Waymont-Ct-Lake-Mary-FL/19935063/</t>
  </si>
  <si>
    <t>https://www.google.com/maps?q=125+Waymont+Ct+Seminole,+FL</t>
  </si>
  <si>
    <t>165 Waymont Ct</t>
  </si>
  <si>
    <t>Vahdatpour Masoud</t>
  </si>
  <si>
    <t>2030 17 507 0000 0040</t>
  </si>
  <si>
    <t>Masoud Vahdatpour (Private Office)</t>
  </si>
  <si>
    <t>https://www.google.com/maps?q=165+Waymont+Ct+Seminole,+FL</t>
  </si>
  <si>
    <t>225 Waymont Ct</t>
  </si>
  <si>
    <t>Williams Living Trust</t>
  </si>
  <si>
    <t>2030 17 507 0000 0070</t>
  </si>
  <si>
    <t>Williams Living Trust (Private Office)</t>
  </si>
  <si>
    <t>https://www.google.com/maps?q=225+Waymont+Ct+Seminole,+FL</t>
  </si>
  <si>
    <t>325 Waymont Ct</t>
  </si>
  <si>
    <t>Mamabare Sugaring Studio LLC</t>
  </si>
  <si>
    <t>2030 17 507 0000 0100</t>
  </si>
  <si>
    <t>MamaBare Sugaring Studio (Esthetician)</t>
  </si>
  <si>
    <t>https://www.google.com/maps?q=325+Waymont+Ct+Seminole,+FL</t>
  </si>
  <si>
    <t>385 Waymont Ct</t>
  </si>
  <si>
    <t>Sai Bhandaar LLC</t>
  </si>
  <si>
    <t>2030 17 507 0000 0130</t>
  </si>
  <si>
    <t>Sai Bhandaar (Investment/Holding)</t>
  </si>
  <si>
    <t>https://www.google.com/maps?q=385+Waymont+Ct+Seminole,+FL</t>
  </si>
  <si>
    <t>430 Waymont Ct</t>
  </si>
  <si>
    <t>Henry Ho &amp; Shirley Ho Rev Trust</t>
  </si>
  <si>
    <t>2030 17 507 0000 0150</t>
  </si>
  <si>
    <t>https://www.realtor.com/realestateandhomes-detail/430-Waymont-Ct_Lake-Mary-FL_32746_M99599-47963</t>
  </si>
  <si>
    <t>https://www.google.com/maps?q=430+Waymont+Ct+Seminole,+FL</t>
  </si>
  <si>
    <t>290 Waymont Ct</t>
  </si>
  <si>
    <t>Dltl Acquisitions LLC</t>
  </si>
  <si>
    <t>2030 17 507 0000 0220</t>
  </si>
  <si>
    <t>Legends Realty</t>
  </si>
  <si>
    <t>https://www.google.com/maps?q=290+Waymont+Ct+Seminole,+FL</t>
  </si>
  <si>
    <t>250 Waymont Ct</t>
  </si>
  <si>
    <t>250 Waymont LLC</t>
  </si>
  <si>
    <t>2030 17 507 0000 0240</t>
  </si>
  <si>
    <t>https://www.loopnet.com/Listing/250-Waymont-Ct-Lake-Mary-FL/19223126/</t>
  </si>
  <si>
    <t>https://www.google.com/maps?q=250+Waymont+Ct+Seminole,+FL</t>
  </si>
  <si>
    <t>155 Middle # 1001 St</t>
  </si>
  <si>
    <t>155 Middle St LLC</t>
  </si>
  <si>
    <t>2030 17 510 0000 0010</t>
  </si>
  <si>
    <t>https://www.google.com/maps?q=155+Middle+%231001+St+Seminole,+FL</t>
  </si>
  <si>
    <t>175 Middle # 1201 St</t>
  </si>
  <si>
    <t>2030 17 510 0000 0020</t>
  </si>
  <si>
    <t>https://www.google.com/maps?q=175+Middle+%231201+St+Seminole,+FL</t>
  </si>
  <si>
    <t>3210 Lake Emma Rd</t>
  </si>
  <si>
    <t>Emma Road Lake Mary Owner LLC</t>
  </si>
  <si>
    <t>2030 18 300 007C 0000</t>
  </si>
  <si>
    <t>Lake Mary Office Center (General Office)</t>
  </si>
  <si>
    <t>https://www.google.com/maps?q=3210+Lake+Emma+Rd+Seminole,+FL</t>
  </si>
  <si>
    <t>100 Technology # 100 Park</t>
  </si>
  <si>
    <t>Spi Tcm Technology Park Owner LLC</t>
  </si>
  <si>
    <t>2030 19 501 0000 0010</t>
  </si>
  <si>
    <t>Technology Park (Flex/Industrial)</t>
  </si>
  <si>
    <t>https://www.google.com/maps?q=100+Technology+%23100+Park+Seminole,+FL</t>
  </si>
  <si>
    <t>106 Commerce # 103 St</t>
  </si>
  <si>
    <t>106 Commerce St #103 LLC</t>
  </si>
  <si>
    <t>2030 19 514 0000 1030</t>
  </si>
  <si>
    <t>T3 Technologies (Tech)</t>
  </si>
  <si>
    <t>https://www.google.com/maps?q=106+Commerce+%23103+St+Seminole,+FL</t>
  </si>
  <si>
    <t>106 Commerce # 104 St</t>
  </si>
  <si>
    <t>Revolution Global LLC</t>
  </si>
  <si>
    <t>2030 19 514 0000 1040</t>
  </si>
  <si>
    <t>United Collection Service (Debt Collection)</t>
  </si>
  <si>
    <t>https://www.google.com/maps?q=106+Commerce+%23104+St+Seminole,+FL</t>
  </si>
  <si>
    <t>106 Commerce # 105 St</t>
  </si>
  <si>
    <t>Devon Holding &amp; Investments LLC</t>
  </si>
  <si>
    <t>2030 19 514 0000 1050</t>
  </si>
  <si>
    <t>Devon Holding / Industrial Flex</t>
  </si>
  <si>
    <t>https://www.google.com/maps?q=106+Commerce+%23105+St+Seminole,+FL</t>
  </si>
  <si>
    <t>105 Commerce St</t>
  </si>
  <si>
    <t>Reem Holdings LLC C/O Alpha Equity Realty And Management Inc</t>
  </si>
  <si>
    <t>2030 19 516 0000 0030</t>
  </si>
  <si>
    <t>https://www.google.com/maps?q=105+Commerce+St+Seminole,+FL</t>
  </si>
  <si>
    <t>255 Technology Park</t>
  </si>
  <si>
    <t>2030 19 517 0000 0110</t>
  </si>
  <si>
    <t>FARO Technologies (Tech/Office)</t>
  </si>
  <si>
    <t>https://www.google.com/maps?q=255+Technology+Park+Seminole,+FL</t>
  </si>
  <si>
    <t>103 Commerce # 100 St</t>
  </si>
  <si>
    <t>Skystorm Holdings LLC</t>
  </si>
  <si>
    <t>2030 19 518 0000 1000</t>
  </si>
  <si>
    <t>Skystorm Productions (Video Production)</t>
  </si>
  <si>
    <t>https://www.google.com/maps?q=103+Commerce+%23100+St+Seminole,+FL</t>
  </si>
  <si>
    <t>585 Technology Park</t>
  </si>
  <si>
    <t>Kmf Holdings Of Florida LLC</t>
  </si>
  <si>
    <t>2030 19 521 0000 0010</t>
  </si>
  <si>
    <t>KMF Holdings (Industrial/Flex)</t>
  </si>
  <si>
    <t>https://www.google.com/maps?q=585+Technology+Park+Seminole,+FL</t>
  </si>
  <si>
    <t>581 Technology # 1009 Park</t>
  </si>
  <si>
    <t>581 Technology Park LLC</t>
  </si>
  <si>
    <t>2030 19 521 0000 0020</t>
  </si>
  <si>
    <t>IMS Global / 1EdTech (Tech Non-Profit)</t>
  </si>
  <si>
    <t>https://www.google.com/maps?q=581+Technology+%231009+Park+Seminole,+FL</t>
  </si>
  <si>
    <t>200 Technology Park</t>
  </si>
  <si>
    <t>2030 19 5JW 0000 0010</t>
  </si>
  <si>
    <t>Deloitte (Corporate Office)</t>
  </si>
  <si>
    <t>https://www.google.com/maps?q=200+Technology+Park+Seminole,+FL</t>
  </si>
  <si>
    <t>250 Technology Park</t>
  </si>
  <si>
    <t>2030 19 5JW 0000 0020</t>
  </si>
  <si>
    <t>Finance/Insurance Office (Tech Park)</t>
  </si>
  <si>
    <t>https://www.google.com/maps?q=250+Technology+Park+Seminole,+FL</t>
  </si>
  <si>
    <t>1973 Longwood Lake Mary Rd</t>
  </si>
  <si>
    <t>Black &amp; Son LLC</t>
  </si>
  <si>
    <t>2030 20 512 0000 0020</t>
  </si>
  <si>
    <t>Black's Automotive Service (Auto Repair)</t>
  </si>
  <si>
    <t>https://www.google.com/maps?q=1973+Longwood+Lake+Mary+Rd+Seminole,+FL</t>
  </si>
  <si>
    <t>1985 Longwood Lake Mary Rd</t>
  </si>
  <si>
    <t>Pruna Family Trust</t>
  </si>
  <si>
    <t>2030 20 512 0000 0040</t>
  </si>
  <si>
    <t>Kid City USA (Daycare/Preschool)</t>
  </si>
  <si>
    <t>https://www.google.com/maps?q=1985+Longwood+Lake+Mary+Rd+Seminole,+FL</t>
  </si>
  <si>
    <t>2009 Longwood Lake Mary Rd</t>
  </si>
  <si>
    <t>Rhodes Re Holdings I LLC</t>
  </si>
  <si>
    <t>2030 20 512 0000 0080</t>
  </si>
  <si>
    <t>Rhodes Studios (Photography)</t>
  </si>
  <si>
    <t>https://www.google.com/maps?q=2009+Longwood+Lake+Mary+Rd+Seminole,+FL</t>
  </si>
  <si>
    <t>721 Ciara Creek Cv</t>
  </si>
  <si>
    <t>Sts Ciara Creek LLC</t>
  </si>
  <si>
    <t>2030 20 513 0000 7210</t>
  </si>
  <si>
    <t>Special Tactical Services (Defense Contractor)</t>
  </si>
  <si>
    <t>https://www.google.com/maps?q=721+Ciara+Creek+Cv+Seminole,+FL</t>
  </si>
  <si>
    <t>761 Ciara Creek Cv</t>
  </si>
  <si>
    <t>Sgdb Holdings LLC</t>
  </si>
  <si>
    <t>2030 20 513 0000 7610</t>
  </si>
  <si>
    <t>Gormley Construction (Office)</t>
  </si>
  <si>
    <t>https://www.google.com/maps?q=761+Ciara+Creek+Cv+Seminole,+FL</t>
  </si>
  <si>
    <t>751 General Hutchison Pkwy</t>
  </si>
  <si>
    <t>Nidy Properties LLC</t>
  </si>
  <si>
    <t>2030 21 5AP 0000 0680</t>
  </si>
  <si>
    <t>Nidy Sports Construction</t>
  </si>
  <si>
    <t>https://www.google.com/maps?q=751+General+Hutchison+Pkwy+Seminole,+FL</t>
  </si>
  <si>
    <t>2675 Design Ct S</t>
  </si>
  <si>
    <t>Designmark Holdings LLC</t>
  </si>
  <si>
    <t>2030 22 510 0000 0150</t>
  </si>
  <si>
    <t>Designmark (Trade Show/Exhibit Builder)</t>
  </si>
  <si>
    <t>https://www.google.com/maps?q=2675+Design+Ct+S+Seminole,+FL</t>
  </si>
  <si>
    <t>3580 US Hwy 17 92 N</t>
  </si>
  <si>
    <t>2030 22 516 0000 0010</t>
  </si>
  <si>
    <t>Discovery Academy (School/Education)</t>
  </si>
  <si>
    <t>https://www.google.com/maps?q=3580+US+Hwy+17+92+N+Seminole,+FL</t>
  </si>
  <si>
    <t>922 Rolling Acres Rd</t>
  </si>
  <si>
    <t>Lady Lake 922 LLC</t>
  </si>
  <si>
    <t>1824 07 0004 000 02100</t>
  </si>
  <si>
    <t>Click 2 Close Title (Title Company)</t>
  </si>
  <si>
    <t>https://www.google.com/maps?q=922+Rolling+Acres+Rd+Lake,+FL</t>
  </si>
  <si>
    <t>455 Rolling Acres Rd</t>
  </si>
  <si>
    <t>Obsessed Garage LLC</t>
  </si>
  <si>
    <t>1824 17 0002 000 08300</t>
  </si>
  <si>
    <t>Obsessed Garage (Auto Retail/Media)</t>
  </si>
  <si>
    <t>https://www.google.com/maps?q=455+Rolling+Acres+Rd+Lake,+FL</t>
  </si>
  <si>
    <t>322 Oak St</t>
  </si>
  <si>
    <t>Lc Property Investments LLC</t>
  </si>
  <si>
    <t>1824 17 0004 000 10100</t>
  </si>
  <si>
    <t>Residential / Small Office Conversion</t>
  </si>
  <si>
    <t>https://www.realtor.com/realestateandhomes-detail/322-Oak-St_Lady-Lake_FL_32159_M65194-40546</t>
  </si>
  <si>
    <t>https://www.google.com/maps?q=322+Oak+St+Lake,+FL</t>
  </si>
  <si>
    <t>Lemon St W</t>
  </si>
  <si>
    <t>Lemon Street Professional Park</t>
  </si>
  <si>
    <t>1824 17 0250 000 00700</t>
  </si>
  <si>
    <t>Vacant Land (Lemon St Professional Park)</t>
  </si>
  <si>
    <t>https://www.google.com/maps?q=Lemon+St+W+Lake,+FL</t>
  </si>
  <si>
    <t>304 Oak St</t>
  </si>
  <si>
    <t>Jbgc Properties LLC</t>
  </si>
  <si>
    <t>1824 17 1500 000 00400</t>
  </si>
  <si>
    <t>JB General Contracting</t>
  </si>
  <si>
    <t>https://www.google.com/maps?q=304+Oak+St+Lake,+FL</t>
  </si>
  <si>
    <t>769 County Road 466</t>
  </si>
  <si>
    <t>Leotta Real Estate Group LLC</t>
  </si>
  <si>
    <t>1824 18 0200 000 04000</t>
  </si>
  <si>
    <t>Leotta Location Design (Real Estate/Design)</t>
  </si>
  <si>
    <t>https://www.google.com/maps?q=769+County+Road+466+Lake,+FL</t>
  </si>
  <si>
    <t>725 County Road 466</t>
  </si>
  <si>
    <t>Lady Lake Investment One LLC</t>
  </si>
  <si>
    <t>1824 18 0200 000 10000</t>
  </si>
  <si>
    <t>Retail Pad (Near Trulieve/Dental)</t>
  </si>
  <si>
    <t>https://www.google.com/maps?q=725+County+Road+466+Lake,+FL</t>
  </si>
  <si>
    <t>753 County Road 466</t>
  </si>
  <si>
    <t>753 County Road 466 Land Trust</t>
  </si>
  <si>
    <t>1824 18 0200 000 17000</t>
  </si>
  <si>
    <t>Vacant / Investment Land</t>
  </si>
  <si>
    <t>https://www.loopnet.com/Listing/753-County-Road-466-Lady-Lake-FL/30815591/</t>
  </si>
  <si>
    <t>https://www.google.com/maps?q=753+County+Road+466+Lake,+FL</t>
  </si>
  <si>
    <t>109 Lake View St</t>
  </si>
  <si>
    <t>Horsebreath LLC</t>
  </si>
  <si>
    <t>1824 20 0001 000 00701</t>
  </si>
  <si>
    <t>Mom &amp; Dad's Italian Restaurant</t>
  </si>
  <si>
    <t>https://www.google.com/maps?q=109+Lake+View+St+Lake,+FL</t>
  </si>
  <si>
    <t>102 Old Dixie Hwy S</t>
  </si>
  <si>
    <t>One Apple LLC</t>
  </si>
  <si>
    <t>1824 20 0400 000 00000</t>
  </si>
  <si>
    <t>One Apple LLC (General Commercial)</t>
  </si>
  <si>
    <t>https://www.google.com/maps?q=102+Old+Dixie+Hwy+S+Lake,+FL</t>
  </si>
  <si>
    <t>1060 Hwy 441/27 S</t>
  </si>
  <si>
    <t>Cbds Holdings LLC</t>
  </si>
  <si>
    <t>1824 28 0004 000 06300</t>
  </si>
  <si>
    <t>Cannabis Dispensary (Curaleaf)</t>
  </si>
  <si>
    <t>https://www.google.com/maps?q=1060+Hwy+441/27+S+Lake,+FL</t>
  </si>
  <si>
    <t>790 Hwy 27/441 S</t>
  </si>
  <si>
    <t>1824 28 0061 000 00200</t>
  </si>
  <si>
    <t>https://www.google.com/maps?q=790+Hwy+27/441+S+Lake,+FL</t>
  </si>
  <si>
    <t>104 Miller St W</t>
  </si>
  <si>
    <t>Jak Holdings Po LLP</t>
  </si>
  <si>
    <t>1924 04 0004 000 05202</t>
  </si>
  <si>
    <t>JAK Holdings (Investment)</t>
  </si>
  <si>
    <t>https://www.google.com/maps?q=104+Miller+St+W+Lake,+FL</t>
  </si>
  <si>
    <t>2766 US Highway 441/27</t>
  </si>
  <si>
    <t>Summit Self Storage LLC</t>
  </si>
  <si>
    <t>1924 04 0004 000 08000</t>
  </si>
  <si>
    <t>Summit Self Storage</t>
  </si>
  <si>
    <t>https://www.google.com/maps?q=2766+US+Highway+441/27+Lake,+FL</t>
  </si>
  <si>
    <t>406 Dixie Ave S</t>
  </si>
  <si>
    <t>Fruitland Park Ventura LLC</t>
  </si>
  <si>
    <t>1924 09 1200 00A 00500</t>
  </si>
  <si>
    <t>Fruitland Park Ventura (Land/Dev)</t>
  </si>
  <si>
    <t>https://www.google.com/maps?q=406+Dixie+Ave+S+Lake,+FL</t>
  </si>
  <si>
    <t>3235 US Highway 441/27</t>
  </si>
  <si>
    <t>Axios Realty LLC</t>
  </si>
  <si>
    <t>1924 10 0002 000 03001</t>
  </si>
  <si>
    <t>Axios Realty (Real Estate)</t>
  </si>
  <si>
    <t>https://www.google.com/maps?q=3235+US+Highway+441/27+Lake,+FL</t>
  </si>
  <si>
    <t>3295 US Highway 441/27</t>
  </si>
  <si>
    <t>Renee I Bemis Irrevocable Trus</t>
  </si>
  <si>
    <t>1924 10 0003 000 03004</t>
  </si>
  <si>
    <t>Renee Bemis (Sculptor Studio/Gallery)</t>
  </si>
  <si>
    <t>https://www.google.com/maps?q=3295+US+Highway+441/27+Lake,+FL</t>
  </si>
  <si>
    <t>3460 US Highway 27/441 S</t>
  </si>
  <si>
    <t>Peltier James</t>
  </si>
  <si>
    <t>2015</t>
  </si>
  <si>
    <t>1924 10 0003 000 04100</t>
  </si>
  <si>
    <t>https://www.realtor.com/realestateandhomes-detail/3460-S-Highway-27-441_Fruitland-Park_FL_34731_M62719-75896</t>
  </si>
  <si>
    <t>https://www.google.com/maps?q=3460+US+Highway+27/441+S+Lake,+FL</t>
  </si>
  <si>
    <t>1301 14th St N</t>
  </si>
  <si>
    <t>Secp Leesburg LLC</t>
  </si>
  <si>
    <t>1924 15 0004 000 05900</t>
  </si>
  <si>
    <t>SECP Leesburg (7-Eleven / Gas Station)</t>
  </si>
  <si>
    <t>https://www.google.com/maps?q=1301+14th+St+N+Lake,+FL</t>
  </si>
  <si>
    <t>1406 Griffin Rd</t>
  </si>
  <si>
    <t>1924 15 0004 000 05902</t>
  </si>
  <si>
    <t>SECP Leesburg (Car Wash)</t>
  </si>
  <si>
    <t>https://www.google.com/maps?q=1406+Griffin+Rd+Lake,+FL</t>
  </si>
  <si>
    <t>2864 Main St W</t>
  </si>
  <si>
    <t>2864 Main St LLC</t>
  </si>
  <si>
    <t>1924 21 0675 000 00100</t>
  </si>
  <si>
    <t>https://www.google.com/maps?q=2864+Main+St+W+Lake,+FL</t>
  </si>
  <si>
    <t>2862 Main St W</t>
  </si>
  <si>
    <t>Shona Enterprises III LLC</t>
  </si>
  <si>
    <t>1924 21 0675 000 00200</t>
  </si>
  <si>
    <t>Shona Enterprises (Industrial/Flex)</t>
  </si>
  <si>
    <t>https://www.google.com/maps?q=2862+Main+St+W+Lake,+FL</t>
  </si>
  <si>
    <t>2856 Main St W</t>
  </si>
  <si>
    <t>Luviano Irvin And Pascual Torr</t>
  </si>
  <si>
    <t>1924 21 0675 000 00500</t>
  </si>
  <si>
    <t>Luviano Irvin (Trucking/Industrial)</t>
  </si>
  <si>
    <t>https://www.google.com/maps?q=2856+Main+St+W+Lake,+FL</t>
  </si>
  <si>
    <t>2854 Main St W</t>
  </si>
  <si>
    <t>1924 21 0675 000 00600</t>
  </si>
  <si>
    <t>https://www.google.com/maps?q=2854+Main+St+W+Lake,+FL</t>
  </si>
  <si>
    <t>2850 Main St W</t>
  </si>
  <si>
    <t>Quality Air Filters LLC</t>
  </si>
  <si>
    <t>1924 21 0675 000 00800</t>
  </si>
  <si>
    <t>Quality Air Filters (Industrial)</t>
  </si>
  <si>
    <t>https://www.google.com/maps?q=2850+Main+St+W+Lake,+FL</t>
  </si>
  <si>
    <t>2844 Main St W</t>
  </si>
  <si>
    <t>Sellers Andrea R</t>
  </si>
  <si>
    <t>1924 21 0675 000 01100</t>
  </si>
  <si>
    <t>https://www.zillow.com/homedetails/2844-W-Main-St-Leesburg-FL-34748/45136979_zpid/</t>
  </si>
  <si>
    <t>https://www.google.com/maps?q=2844+Main+St+W+Lake,+FL</t>
  </si>
  <si>
    <t>132 Park Center St</t>
  </si>
  <si>
    <t>Tnt Property Management LLC</t>
  </si>
  <si>
    <t>1924 21 0675 000 01600</t>
  </si>
  <si>
    <t>TNT Property Management</t>
  </si>
  <si>
    <t>https://www.google.com/maps?q=132+Park+Center+St+Lake,+FL</t>
  </si>
  <si>
    <t>160 Park Center St</t>
  </si>
  <si>
    <t>Knights Property Group LLC</t>
  </si>
  <si>
    <t>1924 21 0676 000 03200</t>
  </si>
  <si>
    <t>Knights Property Group (Industrial)</t>
  </si>
  <si>
    <t>https://www.google.com/maps?q=160+Park+Center+St+Lake,+FL</t>
  </si>
  <si>
    <t>154 Park Center St</t>
  </si>
  <si>
    <t>1924 21 0676 000 03500</t>
  </si>
  <si>
    <t>https://www.google.com/maps?q=154+Park+Center+St+Lake,+FL</t>
  </si>
  <si>
    <t>1501 Griffin Rd</t>
  </si>
  <si>
    <t>Vigilant Wolf Investments LLC</t>
  </si>
  <si>
    <t>1924 22 0001 000 00300</t>
  </si>
  <si>
    <t>Vigilant Wolf (Security/Training)</t>
  </si>
  <si>
    <t>https://www.google.com/maps?q=1501+Griffin+Rd+Lake,+FL</t>
  </si>
  <si>
    <t>1456 William St</t>
  </si>
  <si>
    <t>Deland Plumbing Properties LLC</t>
  </si>
  <si>
    <t>1924 22 0001 000 01100</t>
  </si>
  <si>
    <t>DeLand Plumbing (Contractor)</t>
  </si>
  <si>
    <t>https://www.google.com/maps?q=1456+William+St+Lake,+FL</t>
  </si>
  <si>
    <t>1105 14th St N</t>
  </si>
  <si>
    <t>Hull Realty Trust</t>
  </si>
  <si>
    <t>1924 22 0001 000 01103</t>
  </si>
  <si>
    <t>Hull Realty (Real Estate Office)</t>
  </si>
  <si>
    <t>https://www.google.com/maps?q=1105+14th+St+N+Lake,+FL</t>
  </si>
  <si>
    <t>1300 Citizens Blvd</t>
  </si>
  <si>
    <t>1300 Citizens Blvd LLC</t>
  </si>
  <si>
    <t>1924 23 0002 000 03702</t>
  </si>
  <si>
    <t>Social Security Administration Office</t>
  </si>
  <si>
    <t>https://www.google.com/maps?q=1300+Citizens+Blvd+Lake,+FL</t>
  </si>
  <si>
    <t>426 3rd St N</t>
  </si>
  <si>
    <t>Banner Harvest LLC</t>
  </si>
  <si>
    <t>1924 23 0004 000 08000</t>
  </si>
  <si>
    <t>Banner Harvest (CBD / Vitamins)</t>
  </si>
  <si>
    <t>https://www.google.com/maps?q=426+3rd+St+N+Lake,+FL</t>
  </si>
  <si>
    <t>511 Canal St N</t>
  </si>
  <si>
    <t>Fairwinds Family Properties Ll</t>
  </si>
  <si>
    <t>1924 23 0004 000 09600</t>
  </si>
  <si>
    <t>Cupacabana / Mark Cook (General Business)</t>
  </si>
  <si>
    <t>https://www.google.com/maps?q=511+Canal+St+N+Lake,+FL</t>
  </si>
  <si>
    <t>312 14th St N</t>
  </si>
  <si>
    <t>Glover Management Services Inc</t>
  </si>
  <si>
    <t>1924 23 0500 000 001A0</t>
  </si>
  <si>
    <t>Glover Management Services</t>
  </si>
  <si>
    <t>https://www.google.com/maps?q=312+14th+St+N+Lake,+FL</t>
  </si>
  <si>
    <t>400 Webster St</t>
  </si>
  <si>
    <t>Pg Webster LLC</t>
  </si>
  <si>
    <t>1924 23 1000 000 01900</t>
  </si>
  <si>
    <t>https://www.loopnet.com/Listing/400-Webster-St-Leesburg-FL/27425492/</t>
  </si>
  <si>
    <t>https://www.google.com/maps?q=400+Webster+St+Lake,+FL</t>
  </si>
  <si>
    <t>711 3rd St N</t>
  </si>
  <si>
    <t>Leesburg Self Storage LLC</t>
  </si>
  <si>
    <t>1924 23 1100 000 00507</t>
  </si>
  <si>
    <t>Leesburg Self Storage</t>
  </si>
  <si>
    <t>https://www.google.com/maps?q=711+3rd+St+N+Lake,+FL</t>
  </si>
  <si>
    <t>404 Perkins St</t>
  </si>
  <si>
    <t>Lin Wen R T</t>
  </si>
  <si>
    <t>1924 23 1100 000 01601</t>
  </si>
  <si>
    <t>Vacant Dental Lab / Private Owner</t>
  </si>
  <si>
    <t>https://tours.bhhsfloridarealty.com/v/404-PERKINS-STREET-LEESBURG-FL-34748/4746172/sk/400/</t>
  </si>
  <si>
    <t>https://www.google.com/maps?q=404+Perkins+St+Lake,+FL</t>
  </si>
  <si>
    <t>602 Lee St</t>
  </si>
  <si>
    <t>Lee Street LLC</t>
  </si>
  <si>
    <t>1924 23 1200 000 01500</t>
  </si>
  <si>
    <t>Vacant Land / Lee Street LLC</t>
  </si>
  <si>
    <t>https://www.google.com/maps?q=602+Lee+St+Lake,+FL</t>
  </si>
  <si>
    <t>301 North Blvd</t>
  </si>
  <si>
    <t>2020/05</t>
  </si>
  <si>
    <t>Paullings Enterprises Inc</t>
  </si>
  <si>
    <t>1924 23 1500 003 00103</t>
  </si>
  <si>
    <t>Residential / Apartment Rentals</t>
  </si>
  <si>
    <t>https://www.trulia.com/building/301-s-east-street-9-301-s-east-st-leesburg-fl-34748-2095702773</t>
  </si>
  <si>
    <t>https://www.google.com/maps?q=301+North+Blvd+Lake,+FL</t>
  </si>
  <si>
    <t>911 North Blvd W</t>
  </si>
  <si>
    <t>911 West North Boulevard LLC</t>
  </si>
  <si>
    <t>1924 23 2000 00G 00102</t>
  </si>
  <si>
    <t>Paullings Enterprises (Office/Admin)</t>
  </si>
  <si>
    <t>https://www.google.com/maps?q=911+North+Blvd+W+Lake,+FL</t>
  </si>
  <si>
    <t>1414 Main St E</t>
  </si>
  <si>
    <t>Elite Assets Group LLC</t>
  </si>
  <si>
    <t>1924 25 0001 000 02600</t>
  </si>
  <si>
    <t>https://carlinogroup.com/property/?wplpage=7</t>
  </si>
  <si>
    <t>https://www.google.com/maps?q=1414+Main+St+E+Lake,+FL</t>
  </si>
  <si>
    <t>1411 Main St E</t>
  </si>
  <si>
    <t>Mk Commercial LLC</t>
  </si>
  <si>
    <t>1924 25 0001 000 03600</t>
  </si>
  <si>
    <t>Residential / Apartments</t>
  </si>
  <si>
    <t>https://www.zillow.com/homedetails/1411-E-Main-St-Leesburg-FL-34748/2074454399_zpid/</t>
  </si>
  <si>
    <t>https://www.google.com/maps?q=1411+Main+St+E+Lake,+FL</t>
  </si>
  <si>
    <t>303 Newell Hill Rd</t>
  </si>
  <si>
    <t>Armor Roofing Holdings LLC</t>
  </si>
  <si>
    <t>1924 25 0001 000 14000</t>
  </si>
  <si>
    <t>Vacant Land / Armor Roofing</t>
  </si>
  <si>
    <t>https://www.zillow.com/homedetails/Newell-Hill-Rd-Leesburg-FL-34748/247142045_zpid/</t>
  </si>
  <si>
    <t>https://www.google.com/maps?q=303+Newell+Hill+Rd+Lake,+FL</t>
  </si>
  <si>
    <t>1080 Flager Ave</t>
  </si>
  <si>
    <t>Ccrc Lake Port Square LLC</t>
  </si>
  <si>
    <t>1924 25 0004 000 24100</t>
  </si>
  <si>
    <t>Lake Port Square (Senior Living / CCRC)</t>
  </si>
  <si>
    <t>https://www.google.com/maps?q=1080+Flager+Ave+Lake,+FL</t>
  </si>
  <si>
    <t>1100 North Blvd E</t>
  </si>
  <si>
    <t>Mills Street Leesburg LLC</t>
  </si>
  <si>
    <t>1924 25 0700 00A 00600</t>
  </si>
  <si>
    <t>Scott Savoia (Allstate Insurance)</t>
  </si>
  <si>
    <t>https://www.google.com/maps?q=1100+North+Blvd+E+Lake,+FL</t>
  </si>
  <si>
    <t>1020 North Blvd W</t>
  </si>
  <si>
    <t>1924 25 0700 00B 00100</t>
  </si>
  <si>
    <t>Vacant / Former Law Office</t>
  </si>
  <si>
    <t>https://www.tonybaroniteam.com/homes-for-sale/FL/leesburg/34748/1020_1014_e_north_us_hwy_441_boulevard/bid-30-G5084744</t>
  </si>
  <si>
    <t>https://www.google.com/maps?q=1020+North+Blvd+W+Lake,+FL</t>
  </si>
  <si>
    <t>1000 North Blvd</t>
  </si>
  <si>
    <t>In Charge Electric Inc</t>
  </si>
  <si>
    <t>1924 25 0700 00B 00600</t>
  </si>
  <si>
    <t>In Charge Electric (Electrical Contractor)</t>
  </si>
  <si>
    <t>https://www.google.com/maps?q=1000+North+Blvd+Lake,+FL</t>
  </si>
  <si>
    <t>700 Doctors Ct</t>
  </si>
  <si>
    <t>Bdc Restaurant Properties LLC</t>
  </si>
  <si>
    <t>1924 25 1050 000 00300</t>
  </si>
  <si>
    <t>Vacant Land (Physicians Ct)</t>
  </si>
  <si>
    <t>https://londonfoster.com/properties/leesburg-700-mls-tb8309112</t>
  </si>
  <si>
    <t>https://www.google.com/maps?q=700+Doctors+Ct+Lake,+FL</t>
  </si>
  <si>
    <t>101 11th St</t>
  </si>
  <si>
    <t>Smokin Hot Properties LLC</t>
  </si>
  <si>
    <t>1924 26 0002 000 06100</t>
  </si>
  <si>
    <t>https://www.zillow.com/homedetails/101-S-11th-St-Leesburg-FL-34748/2074495290_zpid/</t>
  </si>
  <si>
    <t>https://www.google.com/maps?q=101+11th+St+Lake,+FL</t>
  </si>
  <si>
    <t>611 Dixie Ave W</t>
  </si>
  <si>
    <t>Kaimuki LLC</t>
  </si>
  <si>
    <t>1924 26 0004 000 04201</t>
  </si>
  <si>
    <t>Kaimuki LLC (Investment)</t>
  </si>
  <si>
    <t>https://www.google.com/maps?q=611+Dixie+Ave+W+Lake,+FL</t>
  </si>
  <si>
    <t>1317 Sumter St</t>
  </si>
  <si>
    <t>James P Senatore Revocable Tru</t>
  </si>
  <si>
    <t>1924 26 0500 00A 00100</t>
  </si>
  <si>
    <t>Paper Pretties Art (Inactive/Residential)</t>
  </si>
  <si>
    <t>https://www.google.com/maps?q=1317+Sumter+St+Lake,+FL</t>
  </si>
  <si>
    <t>712 14th St S</t>
  </si>
  <si>
    <t>Dougherty Patricia L</t>
  </si>
  <si>
    <t>1924 26 0500 00A 02000</t>
  </si>
  <si>
    <t>https://www.google.com/maps?q=712+14th+St+S+Lake,+FL</t>
  </si>
  <si>
    <t>700 Main St W</t>
  </si>
  <si>
    <t>Pathways Properties One LLC</t>
  </si>
  <si>
    <t>1924 26 0600 00A 00100</t>
  </si>
  <si>
    <t>Pathways Properties (Investment)</t>
  </si>
  <si>
    <t>https://www.google.com/maps?q=700+Main+St+W+Lake,+FL</t>
  </si>
  <si>
    <t>128 Orange Ave</t>
  </si>
  <si>
    <t>Wilson Kirsten S &amp; Frederick E</t>
  </si>
  <si>
    <t>1924 26 0600 00B 00700</t>
  </si>
  <si>
    <t>Vacant Commercial (For Lease)</t>
  </si>
  <si>
    <t>https://www.circinusrealty.com/real-estate/128-orange-avenue-leesburg-fl-34748/g5091992/173796099</t>
  </si>
  <si>
    <t>https://www.google.com/maps?q=128+Orange+Ave+Lake,+FL</t>
  </si>
  <si>
    <t>300 Dixie Ave W</t>
  </si>
  <si>
    <t>Parkwood Legacy LLC</t>
  </si>
  <si>
    <t>1924 26 1200 00B 00300</t>
  </si>
  <si>
    <t>Parkwood Legacy (Residential Investment)</t>
  </si>
  <si>
    <t>https://www.google.com/maps?q=300+Dixie+Ave+W+Lake,+FL</t>
  </si>
  <si>
    <t>1111 Dixie Ave W</t>
  </si>
  <si>
    <t>Randolph Leesburg Real Estate</t>
  </si>
  <si>
    <t>1924 26 1600 002 00400</t>
  </si>
  <si>
    <t>Randolph Realty (Real Estate)</t>
  </si>
  <si>
    <t>https://www.google.com/maps?q=1111+Dixie+Ave+W+Lake,+FL</t>
  </si>
  <si>
    <t>1004 Dixie Ave W</t>
  </si>
  <si>
    <t>Summers Land Trust</t>
  </si>
  <si>
    <t>1924 26 1700 027 02600</t>
  </si>
  <si>
    <t>Residential / Private Trust</t>
  </si>
  <si>
    <t>https://www.realtor.com/realestateandhomes-detail/1004-W-Dixie-Ave_Leesburg_FL_34748_M63200-98327</t>
  </si>
  <si>
    <t>https://www.google.com/maps?q=1004+Dixie+Ave+W+Lake,+FL</t>
  </si>
  <si>
    <t>104 Dixie Ave E</t>
  </si>
  <si>
    <t>Flop To Flip LLC</t>
  </si>
  <si>
    <t>1926</t>
  </si>
  <si>
    <t>1924 26 1800 000 05900</t>
  </si>
  <si>
    <t>Flop to Flip (Real Estate Investment)</t>
  </si>
  <si>
    <t>https://www.google.com/maps?q=104+Dixie+Ave+E+Lake,+FL</t>
  </si>
  <si>
    <t>100 Meadow St E</t>
  </si>
  <si>
    <t>Beacon College Inc</t>
  </si>
  <si>
    <t>1924 26 1900 000 00100</t>
  </si>
  <si>
    <t>Beacon College (Education/Admin)</t>
  </si>
  <si>
    <t>https://www.google.com/maps?q=100+Meadow+St+E+Lake,+FL</t>
  </si>
  <si>
    <t>211 1st St N</t>
  </si>
  <si>
    <t>9720 Sample LLC</t>
  </si>
  <si>
    <t>1949</t>
  </si>
  <si>
    <t>1924 26 2600 000 02501</t>
  </si>
  <si>
    <t>https://www.loopnet.com/Listing/211-N-1st-St-Leesburg-FL/18585412/</t>
  </si>
  <si>
    <t>https://www.google.com/maps?q=211+1st+St+N+Lake,+FL</t>
  </si>
  <si>
    <t>126 5th St S</t>
  </si>
  <si>
    <t>Riance LLC</t>
  </si>
  <si>
    <t>1924 26 3300 000 00802</t>
  </si>
  <si>
    <t>Riance Realty (Real Estate)</t>
  </si>
  <si>
    <t>https://www.google.com/maps?q=126+5th+St+S+Lake,+FL</t>
  </si>
  <si>
    <t>606 Magnolia St W</t>
  </si>
  <si>
    <t>606 West Magnolia LLC</t>
  </si>
  <si>
    <t>1924 26 3300 000 01300</t>
  </si>
  <si>
    <t>Vacant / Office Conversion</t>
  </si>
  <si>
    <t>https://www.google.com/maps?q=606+Magnolia+St+W+Lake,+FL</t>
  </si>
  <si>
    <t>715 Main St W</t>
  </si>
  <si>
    <t>Property Development Partners</t>
  </si>
  <si>
    <t>1924 26 3300 000 01400</t>
  </si>
  <si>
    <t>https://www.google.com/maps?q=715+Main+St+W+Lake,+FL</t>
  </si>
  <si>
    <t>611 12th St S</t>
  </si>
  <si>
    <t>David And Barbara A Magalski R</t>
  </si>
  <si>
    <t>1924 26 3500 00B 00100</t>
  </si>
  <si>
    <t>https://www.google.com/maps?q=611+12th+St+S+Lake,+FL</t>
  </si>
  <si>
    <t>212 Main St E</t>
  </si>
  <si>
    <t>Total Manufacturing LLC</t>
  </si>
  <si>
    <t>1924 26 3600 000 00A00</t>
  </si>
  <si>
    <t>Total Manufacturing Co (Industrial)</t>
  </si>
  <si>
    <t>https://www.google.com/maps?q=212+Main+St+E+Lake,+FL</t>
  </si>
  <si>
    <t>106 Lee St</t>
  </si>
  <si>
    <t>Jscb Capital LLC</t>
  </si>
  <si>
    <t>1924 26 3900 008 00400</t>
  </si>
  <si>
    <t>JSCB Capital (Investment)</t>
  </si>
  <si>
    <t>https://www.google.com/maps?q=106+Lee+St+Lake,+FL</t>
  </si>
  <si>
    <t>918 Main St W</t>
  </si>
  <si>
    <t>Ramchandani Ela</t>
  </si>
  <si>
    <t>1924 26 3900 008 00600</t>
  </si>
  <si>
    <t>Ramchandani &amp; Associates (CPA / Tax)</t>
  </si>
  <si>
    <t>https://www.google.com/maps?q=918+Main+St+W+Lake,+FL</t>
  </si>
  <si>
    <t>1012 Main St W</t>
  </si>
  <si>
    <t>Sligh Gary L And Aaron Strom</t>
  </si>
  <si>
    <t>1924 26 3900 009 00700</t>
  </si>
  <si>
    <t>Law Office of Gary Sligh</t>
  </si>
  <si>
    <t>https://www.google.com/maps?q=1012+Main+St+W+Lake,+FL</t>
  </si>
  <si>
    <t>1210 Main St W</t>
  </si>
  <si>
    <t>Fbcl Properties Inc</t>
  </si>
  <si>
    <t>1924 26 3900 011 00104</t>
  </si>
  <si>
    <t>First Baptist Church (Annex/Office)</t>
  </si>
  <si>
    <t>https://www.google.com/maps?q=1210+Main+St+W+Lake,+FL</t>
  </si>
  <si>
    <t>100 11th St</t>
  </si>
  <si>
    <t>Mj Frazier Revocable Family Tr</t>
  </si>
  <si>
    <t>1924 26 3900 031 00103</t>
  </si>
  <si>
    <t>https://www.google.com/maps?q=100+11th+St+Lake,+FL</t>
  </si>
  <si>
    <t>323 Pine St</t>
  </si>
  <si>
    <t>Community Development Corp Of</t>
  </si>
  <si>
    <t>1924 26 3900 056 00200</t>
  </si>
  <si>
    <t>Community Development Corp</t>
  </si>
  <si>
    <t>https://www.google.com/maps?q=323+Pine+St+Lake,+FL</t>
  </si>
  <si>
    <t>210 Lake St S</t>
  </si>
  <si>
    <t>Lake Shore Trust</t>
  </si>
  <si>
    <t>1924 26 3900 064 00400</t>
  </si>
  <si>
    <t>Lake Shore Trust (Investment)</t>
  </si>
  <si>
    <t>https://www.google.com/maps?q=210+Lake+St+S+Lake,+FL</t>
  </si>
  <si>
    <t>2341 South St</t>
  </si>
  <si>
    <t>Jones Holdings LLC</t>
  </si>
  <si>
    <t>1924 27 0003 000 13100</t>
  </si>
  <si>
    <t>Jones Holdings (General Business)</t>
  </si>
  <si>
    <t>https://www.google.com/maps?q=2341+South+St+Lake,+FL</t>
  </si>
  <si>
    <t>1504 South St</t>
  </si>
  <si>
    <t>V 3 Leesburg Office LLC</t>
  </si>
  <si>
    <t>1924 27 0400 00B 00100</t>
  </si>
  <si>
    <t>V3 Capital Group (Real Estate)</t>
  </si>
  <si>
    <t>https://www.google.com/maps?q=1504+South+St+Lake,+FL</t>
  </si>
  <si>
    <t>1500 South St</t>
  </si>
  <si>
    <t>Rand Yard Farms LLC</t>
  </si>
  <si>
    <t>1924 27 0400 00B 01600</t>
  </si>
  <si>
    <t>Rand Yard Farms (Industrial/Ag)</t>
  </si>
  <si>
    <t>https://www.google.com/maps?q=1500+South+St+Lake,+FL</t>
  </si>
  <si>
    <t>1650 Main St W</t>
  </si>
  <si>
    <t>Ca Property Investments LLC</t>
  </si>
  <si>
    <t>1924 27 1500 00E 01500</t>
  </si>
  <si>
    <t>CA Property Investments</t>
  </si>
  <si>
    <t>https://www.google.com/maps?q=1650+Main+St+W+Lake,+FL</t>
  </si>
  <si>
    <t>1600 Main St W</t>
  </si>
  <si>
    <t>1924 27 1500 00E 01800</t>
  </si>
  <si>
    <t>https://www.google.com/maps?q=1600+Main+St+W+Lake,+FL</t>
  </si>
  <si>
    <t>2007 Butler St</t>
  </si>
  <si>
    <t>Gist Stanley &amp; Keisha</t>
  </si>
  <si>
    <t>1924 27 2000 000 00100</t>
  </si>
  <si>
    <t>https://www.google.com/maps?q=2007+Butler+St+Lake,+FL</t>
  </si>
  <si>
    <t>2001 South St</t>
  </si>
  <si>
    <t>Osborne Zachary</t>
  </si>
  <si>
    <t>1924 27 2200 00A 00200</t>
  </si>
  <si>
    <t>https://www.google.com/maps?q=2001+South+St+Lake,+FL</t>
  </si>
  <si>
    <t>1412 Bryant St</t>
  </si>
  <si>
    <t>Philip &amp; Rosemarie Mastrosimon</t>
  </si>
  <si>
    <t>1924 27 2300 000 01900</t>
  </si>
  <si>
    <t>https://www.google.com/maps?q=1412+Bryant+St+Lake,+FL</t>
  </si>
  <si>
    <t>3004 Casteen Rd</t>
  </si>
  <si>
    <t>Rentokil North America Inc</t>
  </si>
  <si>
    <t>1924 28 0003 000 03103</t>
  </si>
  <si>
    <t>Rentokil (Pest Control HQ)</t>
  </si>
  <si>
    <t>https://www.google.com/maps?q=3004+Casteen+Rd+Lake,+FL</t>
  </si>
  <si>
    <t>2729 Main St W</t>
  </si>
  <si>
    <t>Griffin Limited Partnership Lt</t>
  </si>
  <si>
    <t>1924 28 0600 00A 00900</t>
  </si>
  <si>
    <t>Griffin Limited (Industrial)</t>
  </si>
  <si>
    <t>https://www.google.com/maps?q=2729+Main+St+W+Lake,+FL</t>
  </si>
  <si>
    <t>3330 Main St W</t>
  </si>
  <si>
    <t>Dg Leesburg LLC</t>
  </si>
  <si>
    <t>1924 28 2000 000 00B00</t>
  </si>
  <si>
    <t>Dollar General (Retail)</t>
  </si>
  <si>
    <t>https://www.google.com/maps?q=3330+Main+St+W+Lake,+FL</t>
  </si>
  <si>
    <t>300 Richey Rd</t>
  </si>
  <si>
    <t>Sealord Enterprises LLC</t>
  </si>
  <si>
    <t>1924 28 2300 000 00100</t>
  </si>
  <si>
    <t>Sealord Enterprises (Marine/Industrial)</t>
  </si>
  <si>
    <t>https://www.google.com/maps?q=300+Richey+Rd+Lake,+FL</t>
  </si>
  <si>
    <t>4700 That St</t>
  </si>
  <si>
    <t>Gator 25 LLC</t>
  </si>
  <si>
    <t>2024 11 0004 000 03400</t>
  </si>
  <si>
    <t>Gator's Dockside (Restaurant / Retail Pad)</t>
  </si>
  <si>
    <t>https://www.google.com/maps?q=4700+That+St+Lake,+FL</t>
  </si>
  <si>
    <t>4646 That St</t>
  </si>
  <si>
    <t>Liz Cornell Investments LLC</t>
  </si>
  <si>
    <t>2024 11 1000 000 00100</t>
  </si>
  <si>
    <t>Liz Cornell Investments (Real Estate)</t>
  </si>
  <si>
    <t>https://www.google.com/maps?q=4646+That+St+Lake,+FL</t>
  </si>
  <si>
    <t>27417 Hwy 27</t>
  </si>
  <si>
    <t>Jenik Management Group Leesbur</t>
  </si>
  <si>
    <t>2024 14 0004 000 06600</t>
  </si>
  <si>
    <t>Jenik Management (General Business)</t>
  </si>
  <si>
    <t>https://www.google.com/maps?q=27417+Hwy+27+Lake,+FL</t>
  </si>
  <si>
    <t>3745 Rogers Industrial Park R</t>
  </si>
  <si>
    <t>Truck Shop Inc</t>
  </si>
  <si>
    <t>2024 14 0100 000 00302</t>
  </si>
  <si>
    <t>Truck Shop Inc (Heavy Truck Repair)</t>
  </si>
  <si>
    <t>https://www.google.com/maps?q=3745+Rogers+Industrial+Park+Rd+Lake,+FL</t>
  </si>
  <si>
    <t>302 Orange St W</t>
  </si>
  <si>
    <t>302 West Orange LLC</t>
  </si>
  <si>
    <t>2224 24 1100 00H 00003</t>
  </si>
  <si>
    <t>https://www.loopnet.com/Listing/302-W-Orange-St-Groveland-FL/23886512/</t>
  </si>
  <si>
    <t>https://www.google.com/maps?q=302+Orange+St+W+Lake,+FL</t>
  </si>
  <si>
    <t>304 Broad St W</t>
  </si>
  <si>
    <t>Prime Era Realty LLC</t>
  </si>
  <si>
    <t>2224 24 1100 00H 00004</t>
  </si>
  <si>
    <t>Prime Era Realty</t>
  </si>
  <si>
    <t>https://www.google.com/maps?q=304+Broad+St+W+Lake,+FL</t>
  </si>
  <si>
    <t>250 Main Ave S</t>
  </si>
  <si>
    <t>Sb Groveland LLC</t>
  </si>
  <si>
    <t>2224 24 1100 00O 00800</t>
  </si>
  <si>
    <t>https://www.google.com/maps?q=250+Main+Ave+S+Lake,+FL</t>
  </si>
  <si>
    <t>8525 US Highway 441</t>
  </si>
  <si>
    <t>Aras Enterprises Inc</t>
  </si>
  <si>
    <t>1925 01 0500 033 01701</t>
  </si>
  <si>
    <t>Aras Enterprises (Gas Station/Retail)</t>
  </si>
  <si>
    <t>https://www.google.com/maps?q=8525+US+Highway+441+Lake,+FL</t>
  </si>
  <si>
    <t>8543 US Highway 441</t>
  </si>
  <si>
    <t>Bmm Leesburg LLC</t>
  </si>
  <si>
    <t>1925 01 0500 033 01702</t>
  </si>
  <si>
    <t>BMM Leesburg (Retail/Commercial)</t>
  </si>
  <si>
    <t>https://maps.google.com/?cid=7647060309076450476&amp;g_mp=Cidnb29nbGUubWFwcy5wbGFjZXMudjEuUGxhY2VzLlNlYXJjaFRleHQ</t>
  </si>
  <si>
    <t>33049 Professional Dr</t>
  </si>
  <si>
    <t>Professional Plaza LLC</t>
  </si>
  <si>
    <t>1925 16 0900 000 00200</t>
  </si>
  <si>
    <t>Professional Plaza (General Office)</t>
  </si>
  <si>
    <t>https://maps.google.com/?cid=19354743373805527&amp;g_mp=Cidnb29nbGUubWFwcy5wbGFjZXMudjEuUGxhY2VzLlNlYXJjaFRleHQ</t>
  </si>
  <si>
    <t>33041 Professional Dr</t>
  </si>
  <si>
    <t>Abir Solutions LLC</t>
  </si>
  <si>
    <t>1925 16 0900 000 00400</t>
  </si>
  <si>
    <t>Abir Solutions (Tech/Consulting)</t>
  </si>
  <si>
    <t>https://maps.google.com/?cid=2439124541686400277&amp;g_mp=Cidnb29nbGUubWFwcy5wbGFjZXMudjEuUGxhY2VzLlNlYXJjaFRleHQ</t>
  </si>
  <si>
    <t>33025 Professional Dr</t>
  </si>
  <si>
    <t>Dragon Hoard LLC</t>
  </si>
  <si>
    <t>1925 16 0900 000 00500</t>
  </si>
  <si>
    <t>The Dragon's Hoard (Game/Hobby Shop)</t>
  </si>
  <si>
    <t>https://maps.google.com/?cid=11096719632110974094&amp;g_mp=Cidnb29nbGUubWFwcy5wbGFjZXMudjEuUGxhY2VzLlNlYXJjaFRleHQ</t>
  </si>
  <si>
    <t>33021 Professional Dr</t>
  </si>
  <si>
    <t>33021 Professional Dr LLC</t>
  </si>
  <si>
    <t>1925 16 0900 000 00600</t>
  </si>
  <si>
    <t>https://maps.google.com/?cid=9955878837414690238&amp;g_mp=Cidnb29nbGUubWFwcy5wbGFjZXMudjEuUGxhY2VzLlNlYXJjaFRleHQ</t>
  </si>
  <si>
    <t>33040 Professional Dr</t>
  </si>
  <si>
    <t>Jan Property Holdings LLC</t>
  </si>
  <si>
    <t>1925 16 0900 000 01000</t>
  </si>
  <si>
    <t>Jan Property Holdings (Investment)</t>
  </si>
  <si>
    <t>https://www.google.com/maps?q=33040+Professional+Dr,+Leesburg,+FL</t>
  </si>
  <si>
    <t>8135 Centralia Ct</t>
  </si>
  <si>
    <t>1925 16 0900 000 01500</t>
  </si>
  <si>
    <t>Gator 25 LLC (Retail Holding)</t>
  </si>
  <si>
    <t>https://maps.google.com/?cid=15587680950043733073&amp;g_mp=Cidnb29nbGUubWFwcy5wbGFjZXMudjEuUGxhY2VzLlNlYXJjaFRleHQ</t>
  </si>
  <si>
    <t>8113 Centralia Ct</t>
  </si>
  <si>
    <t>Lipscomp Enterprise LLC</t>
  </si>
  <si>
    <t>1925 16 0900 000 01600</t>
  </si>
  <si>
    <t>Lipscomb Enterprise (General Business)</t>
  </si>
  <si>
    <t>https://maps.google.com/?cid=15172468557352888524&amp;g_mp=Cidnb29nbGUubWFwcy5wbGFjZXMudjEuUGxhY2VzLlNlYXJjaFRleHQ</t>
  </si>
  <si>
    <t>1801 US Highway 441</t>
  </si>
  <si>
    <t>1925 19 0004 000 04100</t>
  </si>
  <si>
    <t>https://maps.google.com/?cid=18417130604216185486&amp;g_mp=Cidnb29nbGUubWFwcy5wbGFjZXMudjEuUGxhY2VzLlNlYXJjaFRleHQ</t>
  </si>
  <si>
    <t>2145 Main St E</t>
  </si>
  <si>
    <t>Highlo Holding LLC</t>
  </si>
  <si>
    <t>1925 20 0003 000 06400</t>
  </si>
  <si>
    <t>Highlo Holding (Investment)</t>
  </si>
  <si>
    <t>https://maps.google.com/?cid=1782602244448175508&amp;g_mp=Cidnb29nbGUubWFwcy5wbGFjZXMudjEuUGxhY2VzLlNlYXJjaFRleHQ</t>
  </si>
  <si>
    <t>9836 US Highway 441</t>
  </si>
  <si>
    <t>Sharezroy LLC</t>
  </si>
  <si>
    <t>1925 22 0205 000 00600</t>
  </si>
  <si>
    <t>Sharezroy (General Business)</t>
  </si>
  <si>
    <t>https://maps.google.com/?cid=2909363879787589422&amp;g_mp=Cidnb29nbGUubWFwcy5wbGFjZXMudjEuUGxhY2VzLlNlYXJjaFRleHQ</t>
  </si>
  <si>
    <t>32628 Vista Ave</t>
  </si>
  <si>
    <t>Bug In A Rug LLC</t>
  </si>
  <si>
    <t>1925 23 0205 000 02600</t>
  </si>
  <si>
    <t>Bug In A Rug (Pest Control)</t>
  </si>
  <si>
    <t>https://maps.google.com/?cid=12269255239500558642&amp;g_mp=Cidnb29nbGUubWFwcy5wbGFjZXMudjEuUGxhY2VzLlNlYXJjaFRleHQ</t>
  </si>
  <si>
    <t>3631 Burleigh Blvd W</t>
  </si>
  <si>
    <t>Amalie Properties LLC</t>
  </si>
  <si>
    <t>1925 24 0004 000 12900</t>
  </si>
  <si>
    <t>Amalie Properties (Investment)</t>
  </si>
  <si>
    <t>https://maps.google.com/?cid=7305607300226477902&amp;g_mp=Cidnb29nbGUubWFwcy5wbGFjZXMudjEuUGxhY2VzLlNlYXJjaFRleHQ</t>
  </si>
  <si>
    <t>1725 Mt Vernon Rd</t>
  </si>
  <si>
    <t>Pkan LLC</t>
  </si>
  <si>
    <t>1925 30 0801 00D 00501</t>
  </si>
  <si>
    <t>PKAN LLC (Investment)</t>
  </si>
  <si>
    <t>https://maps.google.com/?cid=16964220222963609546&amp;g_mp=Cidnb29nbGUubWFwcy5wbGFjZXMudjEuUGxhY2VzLlNlYXJjaFRleHQ</t>
  </si>
  <si>
    <t>111 Central Ave E</t>
  </si>
  <si>
    <t>4Jd Holdings LLC</t>
  </si>
  <si>
    <t>2025 25 0400 C02 01600</t>
  </si>
  <si>
    <t>4JD Holdings (General Commercial)</t>
  </si>
  <si>
    <t>https://maps.google.com/?cid=12358537076873465927&amp;g_mp=Cidnb29nbGUubWFwcy5wbGFjZXMudjEuUGxhY2VzLlNlYXJjaFRleHQ</t>
  </si>
  <si>
    <t>14633 County Road 565A</t>
  </si>
  <si>
    <t>Shah Mohammed A &amp; Zareen A</t>
  </si>
  <si>
    <t>2225 20 1001 000 004A0</t>
  </si>
  <si>
    <t>Residential / Private Estate</t>
  </si>
  <si>
    <t>https://maps.google.com/?cid=711446311037847545&amp;g_mp=Cidnb29nbGUubWFwcy5wbGFjZXMudjEuUGxhY2VzLlNlYXJjaFRleHQ</t>
  </si>
  <si>
    <t>Woodfield Ct</t>
  </si>
  <si>
    <t>Vir Enterprises LLC</t>
  </si>
  <si>
    <t>2225 20 2000 000 01000</t>
  </si>
  <si>
    <t>VIR Enterprises (Investment)</t>
  </si>
  <si>
    <t>https://www.google.com/maps?q=Woodfield+Ct,+Clermont,+FL</t>
  </si>
  <si>
    <t>1067 Hwy 50 W</t>
  </si>
  <si>
    <t>Rodgo LLC</t>
  </si>
  <si>
    <t>2225 23 0500 125 A0800</t>
  </si>
  <si>
    <t>Rodgo LLC (General Commercial)</t>
  </si>
  <si>
    <t>https://maps.google.com/?cid=10372368631478530671&amp;g_mp=Cidnb29nbGUubWFwcy5wbGFjZXMudjEuUGxhY2VzLlNlYXJjaFRleHQ</t>
  </si>
  <si>
    <t>265 State Road 50</t>
  </si>
  <si>
    <t>Gonzalez Holdings LLC</t>
  </si>
  <si>
    <t>2225 24 0100 017 00100</t>
  </si>
  <si>
    <t>Gonzalez Holdings (General Business)</t>
  </si>
  <si>
    <t>https://maps.google.com/?cid=14896272243285682170&amp;g_mp=Cidnb29nbGUubWFwcy5wbGFjZXMudjEuUGxhY2VzLlNlYXJjaFRleHQ</t>
  </si>
  <si>
    <t>232 Chestnut St</t>
  </si>
  <si>
    <t>Sjp Group Holdings Inc</t>
  </si>
  <si>
    <t>2225 24 0100 017 00400</t>
  </si>
  <si>
    <t>SJP Group (Construction/Dev)</t>
  </si>
  <si>
    <t>https://maps.google.com/?cid=8000831318703080145&amp;g_mp=Cidnb29nbGUubWFwcy5wbGFjZXMudjEuUGxhY2VzLlNlYXJjaFRleHQ</t>
  </si>
  <si>
    <t>1158 5th St</t>
  </si>
  <si>
    <t>Karst George F Jr Life Estate</t>
  </si>
  <si>
    <t>2225 24 0100 061 01200</t>
  </si>
  <si>
    <t>Residential / Life Estate</t>
  </si>
  <si>
    <t>https://maps.google.com/?cid=10041714593467839444&amp;g_mp=Cidnb29nbGUubWFwcy5wbGFjZXMudjEuUGxhY2VzLlNlYXJjaFRleHQ</t>
  </si>
  <si>
    <t>825 7th St</t>
  </si>
  <si>
    <t>Kasem Mohammad A &amp; Shamim</t>
  </si>
  <si>
    <t>2225 24 0100 075 01000</t>
  </si>
  <si>
    <t>https://maps.google.com/?cid=5041178434017705911&amp;g_mp=Cidnb29nbGUubWFwcy5wbGFjZXMudjEuUGxhY2VzLlNlYXJjaFRleHQ</t>
  </si>
  <si>
    <t>692 Montrose Ave W</t>
  </si>
  <si>
    <t>692 W Montrose LLC</t>
  </si>
  <si>
    <t>2225 24 0100 077 01801</t>
  </si>
  <si>
    <t>https://www.loopnet.com/Listing/692-W-Montrose-St-Clermont-FL/20349896/</t>
  </si>
  <si>
    <t>https://maps.google.com/?cid=3508539179583861771&amp;g_mp=Cidnb29nbGUubWFwcy5wbGFjZXMudjEuUGxhY2VzLlNlYXJjaFRleHQ</t>
  </si>
  <si>
    <t>720 Montrose St W</t>
  </si>
  <si>
    <t>Happy Face Housing Inc</t>
  </si>
  <si>
    <t>2225 24 0100 080 00400</t>
  </si>
  <si>
    <t>Happy Face Housing (Residential)</t>
  </si>
  <si>
    <t>https://maps.google.com/?cid=14526607472751545639&amp;g_mp=Cidnb29nbGUubWFwcy5wbGFjZXMudjEuUGxhY2VzLlNlYXJjaFRleHQ</t>
  </si>
  <si>
    <t>606 West Ave</t>
  </si>
  <si>
    <t>Pbv LLC</t>
  </si>
  <si>
    <t>2225 24 0100 095 00100</t>
  </si>
  <si>
    <t>PBV LLC (Investment)</t>
  </si>
  <si>
    <t>https://www.google.com/maps?q=606+West+Ave,+Clermont,+FL</t>
  </si>
  <si>
    <t>900 Highway 50 W</t>
  </si>
  <si>
    <t>Aj Sewell Investments LLC</t>
  </si>
  <si>
    <t>2225 24 0100 099 00800</t>
  </si>
  <si>
    <t>AJ Sewell Investments</t>
  </si>
  <si>
    <t>https://maps.google.com/?cid=5747649934702442895&amp;g_mp=Cidnb29nbGUubWFwcy5wbGFjZXMudjEuUGxhY2VzLlNlYXJjaFRleHQ</t>
  </si>
  <si>
    <t>1098 Montrose St W</t>
  </si>
  <si>
    <t>2225 24 0100 114 01100</t>
  </si>
  <si>
    <t>https://maps.google.com/?cid=10909196918762149901&amp;g_mp=Cidnb29nbGUubWFwcy5wbGFjZXMudjEuUGxhY2VzLlNlYXJjaFRleHQ</t>
  </si>
  <si>
    <t>180 Highland Ave E</t>
  </si>
  <si>
    <t>Rwsw LLC</t>
  </si>
  <si>
    <t>2225 25 1000 008 00100</t>
  </si>
  <si>
    <t>RWSW LLC (General Business)</t>
  </si>
  <si>
    <t>https://maps.google.com/?cid=6194286865675023957&amp;g_mp=Cidnb29nbGUubWFwcy5wbGFjZXMudjEuUGxhY2VzLlNlYXJjaFRleHQ</t>
  </si>
  <si>
    <t>40929 State Road 19</t>
  </si>
  <si>
    <t>Dennis &amp; Claudia Almand Proper</t>
  </si>
  <si>
    <t>1826 12 0001 000 05300</t>
  </si>
  <si>
    <t>https://www.google.com/maps?q=40929+State+Road+19+Lake,+FL</t>
  </si>
  <si>
    <t>533 Umatilla Blvd</t>
  </si>
  <si>
    <t>Slocomb Lorraine M Life Estat</t>
  </si>
  <si>
    <t>1826 12 0600 017 00100</t>
  </si>
  <si>
    <t>https://www.google.com/maps?q=533+Umatilla+Blvd+Lake,+FL</t>
  </si>
  <si>
    <t>545 Umatilla Blvd</t>
  </si>
  <si>
    <t>Olson Eric A Et Al</t>
  </si>
  <si>
    <t>1826 12 0600 017 01200</t>
  </si>
  <si>
    <t>https://www.google.com/maps?q=545+Umatilla+Blvd+Lake,+FL</t>
  </si>
  <si>
    <t>390 Central Ave S</t>
  </si>
  <si>
    <t>1826 13 0500 00B 00101</t>
  </si>
  <si>
    <t>https://www.google.com/maps?q=390+Central+Ave+S+Lake,+FL</t>
  </si>
  <si>
    <t>55 Central Ave N</t>
  </si>
  <si>
    <t>Joint Equity LLC</t>
  </si>
  <si>
    <t>1826 13 1200 00G 00300</t>
  </si>
  <si>
    <t>Joint Equity (Investment)</t>
  </si>
  <si>
    <t>https://www.google.com/maps?q=55+Central+Ave+N+Lake,+FL</t>
  </si>
  <si>
    <t>37731 State Road 19</t>
  </si>
  <si>
    <t>Stallion Elite LLC</t>
  </si>
  <si>
    <t>1826 26 0002 000 00600</t>
  </si>
  <si>
    <t>Stallion Elite (Equestrian/Ag)</t>
  </si>
  <si>
    <t>https://www.google.com/maps?q=37731+State+Road+19+Lake,+FL</t>
  </si>
  <si>
    <t>36525 Fish Camp Rd S</t>
  </si>
  <si>
    <t>1826 32 0001 000 00900</t>
  </si>
  <si>
    <t>Hiler Buffalo (Ag/Land)</t>
  </si>
  <si>
    <t>https://www.google.com/maps?q=36525+Fish+Camp+Rd+S+Lake,+FL</t>
  </si>
  <si>
    <t>1631 State Road 19 N</t>
  </si>
  <si>
    <t>Griffin Charles W &amp; Lori E Hil</t>
  </si>
  <si>
    <t>1926 02 0002 000 00401</t>
  </si>
  <si>
    <t>https://www.google.com/maps?q=1631+State+Road+19+N+Lake,+FL</t>
  </si>
  <si>
    <t>600 Eustis St N</t>
  </si>
  <si>
    <t>Habitex II LLC</t>
  </si>
  <si>
    <t>1926 02 0100 00A 00100</t>
  </si>
  <si>
    <t>Habitex (Construction/Design)</t>
  </si>
  <si>
    <t>https://www.google.com/maps?q=600+Eustis+St+N+Lake,+FL</t>
  </si>
  <si>
    <t>111 Clifford Ave E</t>
  </si>
  <si>
    <t>Realbook LLC</t>
  </si>
  <si>
    <t>1926 02 0100 019 00100</t>
  </si>
  <si>
    <t>RealBook (Tech/Software)</t>
  </si>
  <si>
    <t>https://www.google.com/maps?q=111+Clifford+Ave+E+Lake,+FL</t>
  </si>
  <si>
    <t>812 Bay St N</t>
  </si>
  <si>
    <t>Billion Larry &amp;</t>
  </si>
  <si>
    <t>1926 02 0300 002 00201</t>
  </si>
  <si>
    <t>Larry Billion (Private Office)</t>
  </si>
  <si>
    <t>https://www.google.com/maps?q=812+Bay+St+N+Lake,+FL</t>
  </si>
  <si>
    <t>804 Bay St N</t>
  </si>
  <si>
    <t>Rogers Michael J &amp; Tammy S</t>
  </si>
  <si>
    <t>1926 02 0300 002 00300</t>
  </si>
  <si>
    <t>Michael Rogers (Private Office)</t>
  </si>
  <si>
    <t>https://www.google.com/maps?q=804+Bay+St+N+Lake,+FL</t>
  </si>
  <si>
    <t>720 Bay St N</t>
  </si>
  <si>
    <t>Eustis Apartments Qualified Op</t>
  </si>
  <si>
    <t>1926 02 0300 003 00100</t>
  </si>
  <si>
    <t>Eustis Apartments (Multifamily)</t>
  </si>
  <si>
    <t>https://www.google.com/maps?q=720+Bay+St+N+Lake,+FL</t>
  </si>
  <si>
    <t>633 Bay St N</t>
  </si>
  <si>
    <t>633 N Bay Street LLC</t>
  </si>
  <si>
    <t>1926 02 0300 003 00601</t>
  </si>
  <si>
    <t>Vacant / Redevelopment</t>
  </si>
  <si>
    <t>https://www.google.com/maps?q=633+Bay+St+N+Lake,+FL</t>
  </si>
  <si>
    <t>723 Bay St N</t>
  </si>
  <si>
    <t>True 723 LLC</t>
  </si>
  <si>
    <t>1926 02 0300 004 00700</t>
  </si>
  <si>
    <t>True 723 LLC (General Business)</t>
  </si>
  <si>
    <t>https://www.google.com/maps?q=723+Bay+St+N+Lake,+FL</t>
  </si>
  <si>
    <t>901 Grove St N</t>
  </si>
  <si>
    <t>Reflection Grove LLC</t>
  </si>
  <si>
    <t>1926 02 0300 013 01500</t>
  </si>
  <si>
    <t>Reflection Grove (Investment)</t>
  </si>
  <si>
    <t>https://www.google.com/maps?q=901+Grove+St+N+Lake,+FL</t>
  </si>
  <si>
    <t>343 Bay St N</t>
  </si>
  <si>
    <t>Mega 343 LLC</t>
  </si>
  <si>
    <t>1926 11 0100 015 00500</t>
  </si>
  <si>
    <t>Mega 343 LLC (General Commercial)</t>
  </si>
  <si>
    <t>https://www.google.com/maps?q=343+Bay+St+N+Lake,+FL</t>
  </si>
  <si>
    <t>127 Bay St N</t>
  </si>
  <si>
    <t>Fountain Place LLC</t>
  </si>
  <si>
    <t>1926 11 0100 034 00501</t>
  </si>
  <si>
    <t>Fountain Place (Apartments)</t>
  </si>
  <si>
    <t>https://www.google.com/maps?q=127+Bay+St+N+Lake,+FL</t>
  </si>
  <si>
    <t>201 Orange Ave</t>
  </si>
  <si>
    <t>Hometown Property Investments</t>
  </si>
  <si>
    <t>1936</t>
  </si>
  <si>
    <t>1926 11 0100 053 00001</t>
  </si>
  <si>
    <t>https://www.google.com/maps?q=201+Orange+Ave+Lake,+FL</t>
  </si>
  <si>
    <t>10 Lakeview Ave W</t>
  </si>
  <si>
    <t>Sangster Robert T</t>
  </si>
  <si>
    <t>1926 14 0400 012 01300</t>
  </si>
  <si>
    <t>https://www.google.com/maps?q=10+Lakeview+Ave+W+Lake,+FL</t>
  </si>
  <si>
    <t>1314 Bay St S</t>
  </si>
  <si>
    <t>Bayview Lake Holdings LLC</t>
  </si>
  <si>
    <t>1926 14 0400 015 00400</t>
  </si>
  <si>
    <t>Bayview Lake Holdings (Investment)</t>
  </si>
  <si>
    <t>https://www.google.com/maps?q=1314+Bay+St+S+Lake,+FL</t>
  </si>
  <si>
    <t>15 Atwater Ave</t>
  </si>
  <si>
    <t>15 W Atwater Ave LLC</t>
  </si>
  <si>
    <t>1926 14 0400 015 00900</t>
  </si>
  <si>
    <t>https://www.loopnet.com/Listing/15-W-Atwater-Ave-Eustis-FL/18585412/</t>
  </si>
  <si>
    <t>https://www.google.com/maps?q=15+Atwater+Ave+Lake,+FL</t>
  </si>
  <si>
    <t>1321 Bay St S</t>
  </si>
  <si>
    <t>Mega 1321 27 LLC</t>
  </si>
  <si>
    <t>1926 14 0400 016 00500</t>
  </si>
  <si>
    <t>Mega 1321 (General Commercial)</t>
  </si>
  <si>
    <t>https://www.google.com/maps?q=1321+Bay+St+S+Lake,+FL</t>
  </si>
  <si>
    <t>2104 Bay St S</t>
  </si>
  <si>
    <t>Mesh Management Group LLC</t>
  </si>
  <si>
    <t>1926 14 1000 000 04300</t>
  </si>
  <si>
    <t>Mesh Management (Business Services)</t>
  </si>
  <si>
    <t>https://www.google.com/maps?q=2104+Bay+St+S+Lake,+FL</t>
  </si>
  <si>
    <t>2303 Bay St S</t>
  </si>
  <si>
    <t>Buildings By The Bay LLC</t>
  </si>
  <si>
    <t>1926 14 1500 003 01300</t>
  </si>
  <si>
    <t>Buildings By The Bay (Construction/Dev)</t>
  </si>
  <si>
    <t>https://www.google.com/maps?q=2303+Bay+St+S+Lake,+FL</t>
  </si>
  <si>
    <t>2703 Kurt St</t>
  </si>
  <si>
    <t>Salty Sunshine LLC</t>
  </si>
  <si>
    <t>1926 14 2505 000 10500</t>
  </si>
  <si>
    <t>Salty Sunshine (Residential/Investment)</t>
  </si>
  <si>
    <t>https://www.google.com/maps?q=2703+Kurt+St+Lake,+FL</t>
  </si>
  <si>
    <t>601 Mt Homer Rd</t>
  </si>
  <si>
    <t>Thompson Frame Lajza LLC</t>
  </si>
  <si>
    <t>1926 15 0004 000 02600</t>
  </si>
  <si>
    <t>Thompson, Frame &amp; Lajza (Law Firm)</t>
  </si>
  <si>
    <t>https://www.google.com/maps?q=601+Mt+Homer+Rd+Lake,+FL</t>
  </si>
  <si>
    <t>2101 Prevatt St</t>
  </si>
  <si>
    <t>Nielsen Ned</t>
  </si>
  <si>
    <t>1926 15 0425 000 00400</t>
  </si>
  <si>
    <t>Nielsen Ned (Private/Industrial)</t>
  </si>
  <si>
    <t>https://www.google.com/maps?q=2101+Prevatt+St+Lake,+FL</t>
  </si>
  <si>
    <t>1980 Prevatt St</t>
  </si>
  <si>
    <t>Edumatics Inc</t>
  </si>
  <si>
    <t>1926 15 0430 000 01200</t>
  </si>
  <si>
    <t>Edumatics Inc (Education Software)</t>
  </si>
  <si>
    <t>https://www.google.com/maps?q=1980+Prevatt+St+Lake,+FL</t>
  </si>
  <si>
    <t>2140 Lake Eustis Dr</t>
  </si>
  <si>
    <t>Michael Maynes Morgan Properti</t>
  </si>
  <si>
    <t>1926 21 0003 000 01500</t>
  </si>
  <si>
    <t>Michael Maynes Morgan Properties</t>
  </si>
  <si>
    <t>https://www.google.com/maps?q=2140+Lake+Eustis+Dr+Lake,+FL</t>
  </si>
  <si>
    <t>1300 Burleigh Blvd E</t>
  </si>
  <si>
    <t>Santi Investment Properties Ll</t>
  </si>
  <si>
    <t>1926 21 0004 000 02900</t>
  </si>
  <si>
    <t>Santi Investment Properties</t>
  </si>
  <si>
    <t>https://www.google.com/maps?q=1300+Burleigh+Blvd+E+Lake,+FL</t>
  </si>
  <si>
    <t>1599 Tropical Ct</t>
  </si>
  <si>
    <t>Olesen Jennifer Life Estate</t>
  </si>
  <si>
    <t>1926 21 0285 000 00100</t>
  </si>
  <si>
    <t>https://www.google.com/maps?q=1599+Tropical+Ct+Lake,+FL</t>
  </si>
  <si>
    <t>1971 Salk Ave</t>
  </si>
  <si>
    <t>Pistachio LLC</t>
  </si>
  <si>
    <t>1926 21 1100 000 00400</t>
  </si>
  <si>
    <t>Pistachio LLC (Industrial/Warehouse)</t>
  </si>
  <si>
    <t>https://www.google.com/maps?q=1971+Salk+Ave+Lake,+FL</t>
  </si>
  <si>
    <t>2750 Dora Ave</t>
  </si>
  <si>
    <t>My Blue Heaven Yalaha #3 LLC</t>
  </si>
  <si>
    <t>1926 22 0450 000 08000</t>
  </si>
  <si>
    <t>My Blue Heaven (Assisted Living Facility)</t>
  </si>
  <si>
    <t>https://www.google.com/maps?q=2750+Dora+Ave+Lake,+FL</t>
  </si>
  <si>
    <t>1725 David Walker Dr</t>
  </si>
  <si>
    <t>Tejinder And Jotinder Revocabl</t>
  </si>
  <si>
    <t>1926 22 0705 001 00013</t>
  </si>
  <si>
    <t>Tejinder &amp; Jotinder (Retail/Gas Station)</t>
  </si>
  <si>
    <t>https://www.google.com/maps?q=1725+David+Walker+Dr+Lake,+FL</t>
  </si>
  <si>
    <t>4900 Highway 19A N</t>
  </si>
  <si>
    <t>Dau Holdings LLC</t>
  </si>
  <si>
    <t>1926 23 0003 000 03800</t>
  </si>
  <si>
    <t>Dau Holdings (Industrial)</t>
  </si>
  <si>
    <t>https://www.google.com/maps?q=4900+Highway+19A+N+Lake,+FL</t>
  </si>
  <si>
    <t>4701 Highway 19A N</t>
  </si>
  <si>
    <t>Murrell John T &amp; Suzonne G Li</t>
  </si>
  <si>
    <t>1926 23 0003 000 07001</t>
  </si>
  <si>
    <t>https://www.google.com/maps?q=4701+Highway+19A+N+Lake,+FL</t>
  </si>
  <si>
    <t>4685 Highway 19A N</t>
  </si>
  <si>
    <t>1926 23 0003 000 07101</t>
  </si>
  <si>
    <t>https://www.google.com/maps?q=4685+Highway+19A+N+Lake,+FL</t>
  </si>
  <si>
    <t>2095 Bay Rd N</t>
  </si>
  <si>
    <t>Altr Properties LLC</t>
  </si>
  <si>
    <t>1926 23 0003 000 09100</t>
  </si>
  <si>
    <t>ALTR Properties (Industrial)</t>
  </si>
  <si>
    <t>https://www.google.com/maps?q=2095+Bay+Rd+N+Lake,+FL</t>
  </si>
  <si>
    <t>4130 United Ave</t>
  </si>
  <si>
    <t>Like A Laser Beam LLC</t>
  </si>
  <si>
    <t>1926 23 0050 000 00200</t>
  </si>
  <si>
    <t>Like A Laser Beam (Industrial/Mfg)</t>
  </si>
  <si>
    <t>https://www.google.com/maps?q=4130+United+Ave+Lake,+FL</t>
  </si>
  <si>
    <t>4129 United Ave</t>
  </si>
  <si>
    <t>Ueff Holdings LLC</t>
  </si>
  <si>
    <t>1926 23 0050 000 00800</t>
  </si>
  <si>
    <t>UEFF Holdings (Industrial)</t>
  </si>
  <si>
    <t>https://www.google.com/maps?q=4129+United+Ave+Lake,+FL</t>
  </si>
  <si>
    <t>2801 Bay St S</t>
  </si>
  <si>
    <t>Mega 2801 LLC</t>
  </si>
  <si>
    <t>1926 23 0701 00A 00100</t>
  </si>
  <si>
    <t>Mega 2801 (General Commercial)</t>
  </si>
  <si>
    <t>https://www.google.com/maps?q=2801+Bay+St+S+Lake,+FL</t>
  </si>
  <si>
    <t>2821 Bay St S</t>
  </si>
  <si>
    <t>Vand Property Management LLC</t>
  </si>
  <si>
    <t>1926 23 0701 00A 01003</t>
  </si>
  <si>
    <t>Vand Property Management</t>
  </si>
  <si>
    <t>https://www.google.com/maps?q=2821+Bay+St+S+Lake,+FL</t>
  </si>
  <si>
    <t>17521 US Highway 441</t>
  </si>
  <si>
    <t>William F Baker Jr Family Trus</t>
  </si>
  <si>
    <t>1926 24 0001 000 02402</t>
  </si>
  <si>
    <t>Baker Family Trust (General Office)</t>
  </si>
  <si>
    <t>https://www.google.com/maps?q=17521+US+Highway+441+Lake,+FL</t>
  </si>
  <si>
    <t>2230 Old US Highway 441 W</t>
  </si>
  <si>
    <t>Unique Life Properties LLC</t>
  </si>
  <si>
    <t>1926 25 0300 00C 00800</t>
  </si>
  <si>
    <t>Unique Life Properties</t>
  </si>
  <si>
    <t>https://www.google.com/maps?q=2230+Old+US+Highway+441+W+Lake,+FL</t>
  </si>
  <si>
    <t>2255 Crescent Dr</t>
  </si>
  <si>
    <t>Renegade Real Estate LLC</t>
  </si>
  <si>
    <t>1926 25 0305 00C 00300</t>
  </si>
  <si>
    <t>Renegade Real Estate</t>
  </si>
  <si>
    <t>https://www.google.com/maps?q=2255+Crescent+Dr+Lake,+FL</t>
  </si>
  <si>
    <t>2799 Old US Highway 441 W</t>
  </si>
  <si>
    <t>Abundant Life Executive Buildi</t>
  </si>
  <si>
    <t>1926 25 0525 000 00200</t>
  </si>
  <si>
    <t>Abundant Life Ministries (Church/Office)</t>
  </si>
  <si>
    <t>https://www.google.com/maps?q=2799+Old+US+Highway+441+W+Lake,+FL</t>
  </si>
  <si>
    <t>2600 Washington St</t>
  </si>
  <si>
    <t>John W Bonner Revocable Trust</t>
  </si>
  <si>
    <t>1926 25 1100 036 00100</t>
  </si>
  <si>
    <t>John Bonner Trust (Private/Office)</t>
  </si>
  <si>
    <t>https://www.google.com/maps?q=2600+Washington+St+Lake,+FL</t>
  </si>
  <si>
    <t>3425 Lake Center Dr</t>
  </si>
  <si>
    <t>Jcb Property Venture LLC</t>
  </si>
  <si>
    <t>1926 26 0001 000 17400</t>
  </si>
  <si>
    <t>JCB Property Venture (General Office)</t>
  </si>
  <si>
    <t>https://www.google.com/maps?q=3425+Lake+Center+Dr+Lake,+FL</t>
  </si>
  <si>
    <t>4295 Old US Highway 441 W</t>
  </si>
  <si>
    <t>Engelhard Richard K &amp; Keui Hsi</t>
  </si>
  <si>
    <t>1926 26 0003 000 13300</t>
  </si>
  <si>
    <t>Engelhard Trust (Private/Investment)</t>
  </si>
  <si>
    <t>https://www.google.com/maps?q=4295+Old+US+Highway+441+W+Lake,+FL</t>
  </si>
  <si>
    <t>3300 Highway 19A N</t>
  </si>
  <si>
    <t>Skandar 200 LLC</t>
  </si>
  <si>
    <t>1926 26 0075 000 00100</t>
  </si>
  <si>
    <t>Skandar 200 (Commercial Investment)</t>
  </si>
  <si>
    <t>https://www.google.com/maps?q=3300+Highway+19A+N+Lake,+FL</t>
  </si>
  <si>
    <t>3400 Highway 19A N</t>
  </si>
  <si>
    <t>Mahadevan Anand R &amp; Stephanie</t>
  </si>
  <si>
    <t>1926 26 0500 000 00100</t>
  </si>
  <si>
    <t>Mahadevan (Private Investment)</t>
  </si>
  <si>
    <t>https://www.google.com/maps?q=3400+Highway+19A+N+Lake,+FL</t>
  </si>
  <si>
    <t>3911 Highway 19A N</t>
  </si>
  <si>
    <t>Mrw Properties LLC</t>
  </si>
  <si>
    <t>1926 26 0600 00I 00101</t>
  </si>
  <si>
    <t>MRW Properties (General Business)</t>
  </si>
  <si>
    <t>https://www.google.com/maps?q=3911+Highway+19A+N+Lake,+FL</t>
  </si>
  <si>
    <t>725 Alfred St E</t>
  </si>
  <si>
    <t>Ecp Ventures LLC</t>
  </si>
  <si>
    <t>1926 28 0500 000 02100</t>
  </si>
  <si>
    <t>ECP Ventures (Investment)</t>
  </si>
  <si>
    <t>https://www.google.com/maps?q=725+Alfred+St+E+Lake,+FL</t>
  </si>
  <si>
    <t>1100 Alfred St E</t>
  </si>
  <si>
    <t>Mortgage Financial Group Inc</t>
  </si>
  <si>
    <t>1926 28 1400 000 01700</t>
  </si>
  <si>
    <t>Mortgage Financial Group</t>
  </si>
  <si>
    <t>https://www.google.com/maps?q=1100+Alfred+St+E+Lake,+FL</t>
  </si>
  <si>
    <t>915 Alfred St E</t>
  </si>
  <si>
    <t>915 E Alfred Street Land Trust</t>
  </si>
  <si>
    <t>1926 28 1700 010 00004</t>
  </si>
  <si>
    <t>Vacant Land / Land Trust</t>
  </si>
  <si>
    <t>https://www.loopnet.com/Listing/915-E-Alfred-St-Tavares-FL/21081763/</t>
  </si>
  <si>
    <t>https://www.google.com/maps?q=915+Alfred+St+E+Lake,+FL</t>
  </si>
  <si>
    <t>303 Main St E</t>
  </si>
  <si>
    <t>Dreams Vacation Properties LLC</t>
  </si>
  <si>
    <t>1926 29 0100 010 00G00</t>
  </si>
  <si>
    <t>Dreams Vacation Properties (Office/Rental)</t>
  </si>
  <si>
    <t>https://www.google.com/maps/search/303+Main+St+E+Tavares+FL</t>
  </si>
  <si>
    <t>229 Main St E</t>
  </si>
  <si>
    <t>Belton Enterprises LLC</t>
  </si>
  <si>
    <t>1926 29 0100 011 00O00</t>
  </si>
  <si>
    <t>https://www.google.com/maps/search/229+Main+St+E+Tavares+FL</t>
  </si>
  <si>
    <t>220 Main St W</t>
  </si>
  <si>
    <t>5Th Avenue Estate LLC</t>
  </si>
  <si>
    <t>1926 29 0100 014 00E00</t>
  </si>
  <si>
    <t>https://www.loopnet.com/Listing/220-W-Main-St-Tavares-FL/22865078/</t>
  </si>
  <si>
    <t>https://www.google.com/maps/search/220+Main+St+W+Tavares+FL</t>
  </si>
  <si>
    <t>227 Joanna Ave N</t>
  </si>
  <si>
    <t>Verkaik Richard G</t>
  </si>
  <si>
    <t>1926 29 0100 017 00G00</t>
  </si>
  <si>
    <t>Tavares Plaza (Mixed Use / Retail)</t>
  </si>
  <si>
    <t>https://www.google.com/maps/search/227+Joanna+Ave+N+Tavares+FL</t>
  </si>
  <si>
    <t>225 Duncan Dr N</t>
  </si>
  <si>
    <t>225 Duncan Street Land Trust</t>
  </si>
  <si>
    <t>1926 29 0100 079 00A00</t>
  </si>
  <si>
    <t>Florida Fire &amp; Flood (Contractor)</t>
  </si>
  <si>
    <t>https://www.google.com/maps/search/225+Duncan+Dr+N+Tavares+FL</t>
  </si>
  <si>
    <t>880 Duncan Dr</t>
  </si>
  <si>
    <t>Sleepy Cow LLC</t>
  </si>
  <si>
    <t>1926 31 0400 00N 00100</t>
  </si>
  <si>
    <t>Sleepy Cow LLC (Agricultural/Farm)</t>
  </si>
  <si>
    <t>https://www.google.com/maps/search/880+Duncan+Dr+Tavares+FL</t>
  </si>
  <si>
    <t>3678 County Road 561</t>
  </si>
  <si>
    <t>La Pierre Matthew J</t>
  </si>
  <si>
    <t>2026 08 1200 000 00200</t>
  </si>
  <si>
    <t>https://www.google.com/maps/search/3678+County+Road+561+Tavares+FL</t>
  </si>
  <si>
    <t>3664 County Road 561</t>
  </si>
  <si>
    <t>Cajl Properties LLC</t>
  </si>
  <si>
    <t>2026 08 1200 000 00300</t>
  </si>
  <si>
    <t>https://www.google.com/maps/search/3664+County+Road+561+Tavares+FL</t>
  </si>
  <si>
    <t>3650 County Road 561</t>
  </si>
  <si>
    <t>Color Trim Inc</t>
  </si>
  <si>
    <t>2026 08 1200 000 00400</t>
  </si>
  <si>
    <t>Color Trim Inc (Auto/Industrial)</t>
  </si>
  <si>
    <t>https://www.google.com/maps/search/3650+County+Road+561+Tavares+FL</t>
  </si>
  <si>
    <t>17425 Seventh St</t>
  </si>
  <si>
    <t>17425 Seventh Street LLC</t>
  </si>
  <si>
    <t>2226 01 1000 002 00001</t>
  </si>
  <si>
    <t>https://www.google.com/maps/search/17425+Seventh+St+Montverde+FL</t>
  </si>
  <si>
    <t>17521 County Road 455</t>
  </si>
  <si>
    <t>Dermastart Labs LLC</t>
  </si>
  <si>
    <t>2226 01 1000 004 00100</t>
  </si>
  <si>
    <t>Dermastart / ClearChoice (Skincare Lab/Mfg)</t>
  </si>
  <si>
    <t>https://www.google.com/maps/search/17521+County+Road+455+Montverde+FL</t>
  </si>
  <si>
    <t>14107 County Road 455</t>
  </si>
  <si>
    <t>Rly Holdings LLC</t>
  </si>
  <si>
    <t>2226 09 1000 060 00000</t>
  </si>
  <si>
    <t>Residential / Rural Estate</t>
  </si>
  <si>
    <t>https://www.google.com/maps/search/14107+County+Road+455+Clermont+FL</t>
  </si>
  <si>
    <t>2270 State Road 50</t>
  </si>
  <si>
    <t>2226 09 1205 013 00003</t>
  </si>
  <si>
    <t>FRI Orlando (Construction/Dev)</t>
  </si>
  <si>
    <t>https://www.google.com/maps/search/2270+State+Road+50+Clermont+FL</t>
  </si>
  <si>
    <t>2345 Highway 50 E</t>
  </si>
  <si>
    <t>Eg Walsh Clermont LLC</t>
  </si>
  <si>
    <t>2226 09 1205 020 00001</t>
  </si>
  <si>
    <t>Vacant Commercial Land (Hwy 50 Frontage)</t>
  </si>
  <si>
    <t>https://www.loopnet.com/Listing/2345-E-Hwy-50-Clermont-FL/25666491/</t>
  </si>
  <si>
    <t>https://www.google.com/maps/search/2345+Highway+50+E+Clermont+FL</t>
  </si>
  <si>
    <t>235 Hatteras Ave</t>
  </si>
  <si>
    <t>Paul W Jakubowski &amp; Olga N Jak</t>
  </si>
  <si>
    <t>2226 17 0200 000 01200</t>
  </si>
  <si>
    <t>https://www.google.com/maps/search/235+Hatteras+Ave+Clermont+FL</t>
  </si>
  <si>
    <t>700 Grand Hwy E</t>
  </si>
  <si>
    <t>Bf Inv LLC And Mzi LLC</t>
  </si>
  <si>
    <t>2226 18 0210 000 04200</t>
  </si>
  <si>
    <t>https://www.google.com/maps/search/700+Grand+Hwy+E+Clermont+FL</t>
  </si>
  <si>
    <t>301 Frontage Rd</t>
  </si>
  <si>
    <t>New Frontage Holding LLC</t>
  </si>
  <si>
    <t>2226 18 0210 000 04700</t>
  </si>
  <si>
    <t>https://www.google.com/maps/search/301+Frontage+Rd+Minneola+FL</t>
  </si>
  <si>
    <t>331 Frontage Rd</t>
  </si>
  <si>
    <t>Homan Family Living Trust</t>
  </si>
  <si>
    <t>2226 18 0210 000 04800</t>
  </si>
  <si>
    <t>https://www.google.com/maps/search/331+Frontage+Rd+Minneola+FL</t>
  </si>
  <si>
    <t>341 US Highway 27 N</t>
  </si>
  <si>
    <t>341 349 Hwy 27 LLC</t>
  </si>
  <si>
    <t>2226 18 0210 000 04900</t>
  </si>
  <si>
    <t>https://www.google.com/maps/search/341+US+Highway+27+N+Minneola+FL</t>
  </si>
  <si>
    <t>121 Division St E</t>
  </si>
  <si>
    <t>2226 18 0215 000 01100</t>
  </si>
  <si>
    <t>https://www.google.com/maps/search/121+Division+St+E+Minneola+FL</t>
  </si>
  <si>
    <t>604 Main Ave S</t>
  </si>
  <si>
    <t>South Lake Residential Service</t>
  </si>
  <si>
    <t>2226 18 0500 032 00100</t>
  </si>
  <si>
    <t>South Lake Residential Services (Group Home)</t>
  </si>
  <si>
    <t>https://www.google.com/maps/search/604+Main+Ave+S+Minneola+FL</t>
  </si>
  <si>
    <t>506 US Highway 27</t>
  </si>
  <si>
    <t>Minneola Executive Center LLC</t>
  </si>
  <si>
    <t>2226 18 0510 19A 00003</t>
  </si>
  <si>
    <t>Minneola Executive Center (General Office)</t>
  </si>
  <si>
    <t>https://www.google.com/maps/search/506+US+Highway+27+Minneola+FL</t>
  </si>
  <si>
    <t>210 Washington St E</t>
  </si>
  <si>
    <t>Gilt Enterprise LLC</t>
  </si>
  <si>
    <t>2226 18 1000 000 04000</t>
  </si>
  <si>
    <t>Vacant Office (Former Law Office)</t>
  </si>
  <si>
    <t>https://www.realty.com/commercial-listings/1029838999/210-Washington-Street-E-Minneola-FL-34755</t>
  </si>
  <si>
    <t>https://www.google.com/maps/search/210+Washington+St+E+Minneola+FL</t>
  </si>
  <si>
    <t>214 Washington St E</t>
  </si>
  <si>
    <t>2226 18 1000 000 04100</t>
  </si>
  <si>
    <t>Vacant Office / Gilt Enterprise</t>
  </si>
  <si>
    <t>https://www.google.com/maps/search/214+Washington+St+E+Minneola+FL</t>
  </si>
  <si>
    <t>179 Hwy 27 N</t>
  </si>
  <si>
    <t>Simchat Torah Beit Midrash Inc</t>
  </si>
  <si>
    <t>2226 19 0025 000 00200</t>
  </si>
  <si>
    <t>Simchat Torah Beit Midrash (Religious)</t>
  </si>
  <si>
    <t>https://www.google.com/maps/search/179+Hwy+27+N+Minneola+FL</t>
  </si>
  <si>
    <t>792 Montrose St E</t>
  </si>
  <si>
    <t>Glem Properties LLC</t>
  </si>
  <si>
    <t>2226 19 0300 003 00200</t>
  </si>
  <si>
    <t>https://www.google.com/maps/search/792+Montrose+St+E+Clermont+FL</t>
  </si>
  <si>
    <t>295 Highway 50 E</t>
  </si>
  <si>
    <t>295 And 297 E Hwy 50 LLC</t>
  </si>
  <si>
    <t>2226 19 1350 000 00100</t>
  </si>
  <si>
    <t>RCS Construction</t>
  </si>
  <si>
    <t>https://www.google.com/maps/search/295+Highway+50+E+Clermont+FL</t>
  </si>
  <si>
    <t>297 Highway 50 E</t>
  </si>
  <si>
    <t>2226 19 1350 000 00200</t>
  </si>
  <si>
    <t>https://www.google.com/maps/search/297+Highway+50+E+Clermont+FL</t>
  </si>
  <si>
    <t>881 Oakley Seaver Dr</t>
  </si>
  <si>
    <t>Hamilton International LLC</t>
  </si>
  <si>
    <t>2226 20 0302 000 00O0A</t>
  </si>
  <si>
    <t>Hamilton &amp; Associates (Law Firm)</t>
  </si>
  <si>
    <t>https://www.google.com/maps?q=881+Oakley+Seaver+Dr+Lake,+FL</t>
  </si>
  <si>
    <t>17300 State Road 50</t>
  </si>
  <si>
    <t>Wompus Real Estate Investment</t>
  </si>
  <si>
    <t>2226 25 0002 000 03500</t>
  </si>
  <si>
    <t>Wompus Real Estate (Investment/Vacant)</t>
  </si>
  <si>
    <t>https://www.google.com/maps?q=17300+State+Road+50+Lake,+FL</t>
  </si>
  <si>
    <t>2615 State Road 50</t>
  </si>
  <si>
    <t>Lynch Daniel J And Grace K Lyn</t>
  </si>
  <si>
    <t>2226 27 0100 000 00100</t>
  </si>
  <si>
    <t>Lynch Oil / Mobil 1 Lube Express</t>
  </si>
  <si>
    <t>https://www.google.com/maps?q=2615+State+Road+50+Lake,+FL</t>
  </si>
  <si>
    <t>1390 Hancock Rd N</t>
  </si>
  <si>
    <t>Watson Properties 4 LLC</t>
  </si>
  <si>
    <t>2226 28 1100 000 00100</t>
  </si>
  <si>
    <t>https://www.google.com/maps?q=1390+Hancock+Rd+N+Lake,+FL</t>
  </si>
  <si>
    <t>2205 Cluster Oak Dr</t>
  </si>
  <si>
    <t>South Lake Commercial Leasing</t>
  </si>
  <si>
    <t>2226 29 0100 000 00100</t>
  </si>
  <si>
    <t>Vacant Office Condo (For Lease)</t>
  </si>
  <si>
    <t>https://www.loopnet.com/Listing/2205-Cluster-Oak-Dr-Clermont-FL/30825420/</t>
  </si>
  <si>
    <t>https://www.google.com/maps?q=2205+Cluster+Oak+Dr+Lake,+FL</t>
  </si>
  <si>
    <t>2220 Cluster Oak Dr</t>
  </si>
  <si>
    <t>2226 29 0100 000 00500</t>
  </si>
  <si>
    <t>https://www.loopnet.com/Listing/2220-Cluster-Oak-Dr-Clermont-FL/30825421/</t>
  </si>
  <si>
    <t>https://www.google.com/maps?q=2220+Cluster+Oak+Dr+Lake,+FL</t>
  </si>
  <si>
    <t>1745 Highway 50 E</t>
  </si>
  <si>
    <t>Jfs 2020 LLC</t>
  </si>
  <si>
    <t>2226 29 0305 000 03300</t>
  </si>
  <si>
    <t>https://www.google.com/maps?q=1745+Highway+50+E+Lake,+FL</t>
  </si>
  <si>
    <t>1600 Grand Hwy</t>
  </si>
  <si>
    <t>Kinetic Real Estate LLC</t>
  </si>
  <si>
    <t>2226 29 0600 000 00301</t>
  </si>
  <si>
    <t>Kinetic Real Estate (General Office)</t>
  </si>
  <si>
    <t>https://www.google.com/maps?q=1600+Grand+Hwy+Lake,+FL</t>
  </si>
  <si>
    <t>715 Almond St</t>
  </si>
  <si>
    <t>Better Days Trust LLC</t>
  </si>
  <si>
    <t>2226 30 0400 000 25301</t>
  </si>
  <si>
    <t>Better Days Trust (Residential/Holding)</t>
  </si>
  <si>
    <t>https://www.google.com/maps?q=715+Almond+St+Lake,+FL</t>
  </si>
  <si>
    <t>1330 Millholland St</t>
  </si>
  <si>
    <t>The American Canine Associatio</t>
  </si>
  <si>
    <t>2226 30 0400 000 29400</t>
  </si>
  <si>
    <t>American Canine Association (Office)</t>
  </si>
  <si>
    <t>https://www.google.com/maps?q=1330+Millholland+St+Lake,+FL</t>
  </si>
  <si>
    <t>2613 US Highway 27 S</t>
  </si>
  <si>
    <t>Mlv Real Estate #1 LLC</t>
  </si>
  <si>
    <t>2226 32 2500 000 00600</t>
  </si>
  <si>
    <t>Clermont Hillside Terrace (Retail/Office)</t>
  </si>
  <si>
    <t>https://www.google.com/maps?q=2613+US+Highway+27+S+Lake,+FL</t>
  </si>
  <si>
    <t>2601 US Highway 27 S</t>
  </si>
  <si>
    <t>Crestvista LLC</t>
  </si>
  <si>
    <t>2226 32 2500 000 00900</t>
  </si>
  <si>
    <t>Vacant Land / Crestvista LLC</t>
  </si>
  <si>
    <t>https://www.google.com/maps?q=2601+US+Highway+27+S+Lake,+FL</t>
  </si>
  <si>
    <t>2611 US Highway 27 S</t>
  </si>
  <si>
    <t>Brinck LLC</t>
  </si>
  <si>
    <t>2226 32 2500 000 01500</t>
  </si>
  <si>
    <t>Vacant Land / Brinck LLC</t>
  </si>
  <si>
    <t>https://www.google.com/maps?q=2611+US+Highway+27+S+Lake,+FL</t>
  </si>
  <si>
    <t>Mocin Management LLC</t>
  </si>
  <si>
    <t>2326 05 0050 000 00800</t>
  </si>
  <si>
    <t>Mocin Management (Investment)</t>
  </si>
  <si>
    <t>Citrus Tower Gl LLC</t>
  </si>
  <si>
    <t>2326 05 0050 000 01101</t>
  </si>
  <si>
    <t>Citrus Tower GL (Commercial Land)</t>
  </si>
  <si>
    <t>4289 US Highway 27</t>
  </si>
  <si>
    <t>Prd Real Estate 2 LLC</t>
  </si>
  <si>
    <t>2326 09 0002 000 01400</t>
  </si>
  <si>
    <t>Paradise Car Wash</t>
  </si>
  <si>
    <t>https://www.google.com/maps/search/?api=1&amp;query=4289+US+Highway+27+Lake+FL</t>
  </si>
  <si>
    <t>9200 Tower Pine Dr</t>
  </si>
  <si>
    <t>Vertical Bridge Am II LLC</t>
  </si>
  <si>
    <t>2326 13 0004 000 00104</t>
  </si>
  <si>
    <t>Cell Tower (Vertical Bridge)</t>
  </si>
  <si>
    <t>https://www.google.com/maps/search/?api=1&amp;query=9200+Tower+Pine+Dr+Lake+FL</t>
  </si>
  <si>
    <t>16550 Sunrise Plaza Dr</t>
  </si>
  <si>
    <t>Shri Jabreshwar Maharaj 1 LLC</t>
  </si>
  <si>
    <t>2426 26 1700 000 00300</t>
  </si>
  <si>
    <t>Shri Jabreshwar (Retail/Gas Station)</t>
  </si>
  <si>
    <t>https://www.google.com/maps/search/?api=1&amp;query=16550+Sunrise+Plaza+Dr+Lake+FL</t>
  </si>
  <si>
    <t>1536 Sunrise Plaza Dr</t>
  </si>
  <si>
    <t>Zha Song 6 LLC</t>
  </si>
  <si>
    <t>2426 26 1900 00C 00002</t>
  </si>
  <si>
    <t>Akina Sushi (Restaurant)</t>
  </si>
  <si>
    <t>https://www.google.com/maps/search/?api=1&amp;query=1536+Sunrise+Plaza+Dr+Lake+FL</t>
  </si>
  <si>
    <t>503 Cagan View Rd</t>
  </si>
  <si>
    <t>Santa Cruz Riverfront LLC</t>
  </si>
  <si>
    <t>2426 35 0004 000 07200</t>
  </si>
  <si>
    <t>Cagan Crossings (Apartments)</t>
  </si>
  <si>
    <t>https://www.google.com/maps/search/?api=1&amp;query=503+Cagan+View+Rd+Lake+FL</t>
  </si>
  <si>
    <t>509 Cagan View Rd</t>
  </si>
  <si>
    <t>Athena Alpha LLC</t>
  </si>
  <si>
    <t>2426 35 0004 000 07400</t>
  </si>
  <si>
    <t>Cagan Crossings (Retail/Commercial)</t>
  </si>
  <si>
    <t>https://www.google.com/maps/search/?api=1&amp;query=509+Cagan+View+Rd+Lake+FL</t>
  </si>
  <si>
    <t>24239 State Road 40</t>
  </si>
  <si>
    <t>State Road 40 Astor LLC</t>
  </si>
  <si>
    <t>1527 07 0100 000 03100</t>
  </si>
  <si>
    <t>Dollar General (Astor)</t>
  </si>
  <si>
    <t>https://www.google.com/maps/search/?api=1&amp;query=24239+State+Road+40+Lake+FL</t>
  </si>
  <si>
    <t>2505 Orange Ave E</t>
  </si>
  <si>
    <t>Chappell Ronald</t>
  </si>
  <si>
    <t>1927 07 0002 000 03100</t>
  </si>
  <si>
    <t>https://www.google.com/maps/search/?api=1&amp;query=2505+Orange+Ave+E+Lake+FL</t>
  </si>
  <si>
    <t>8576 Lakes Of Mount Dora Blvd</t>
  </si>
  <si>
    <t>Cmb Family Revocable Trust</t>
  </si>
  <si>
    <t>1927 08 1200 00D 00000</t>
  </si>
  <si>
    <t>https://www.google.com/maps/search/?api=1&amp;query=8576+Lakes+Of+Mount+Dora+Blvd+Lake+FL</t>
  </si>
  <si>
    <t>5010 Britt Rd</t>
  </si>
  <si>
    <t>Tuza And Bonnie Acres LLC</t>
  </si>
  <si>
    <t>1927 09 0004 000 03000</t>
  </si>
  <si>
    <t>Tuza &amp; Bonnie Acres (Ag/Land)</t>
  </si>
  <si>
    <t>https://www.google.com/maps/search/?api=1&amp;query=5010+Britt+Rd+Lake+FL</t>
  </si>
  <si>
    <t>18550 US Highway 441</t>
  </si>
  <si>
    <t>1927 19 0001 000 01000</t>
  </si>
  <si>
    <t>https://www.google.com/maps/search/?api=1&amp;query=18550+US+Highway+441+Lake+FL</t>
  </si>
  <si>
    <t>18640 US Highway 441</t>
  </si>
  <si>
    <t>Cjb Partners Lllp</t>
  </si>
  <si>
    <t>1927 19 0001 000 01008</t>
  </si>
  <si>
    <t>CJB Partners (Investment)</t>
  </si>
  <si>
    <t>https://www.google.com/maps/search/?api=1&amp;query=18640+US+Highway+441+Lake+FL</t>
  </si>
  <si>
    <t>18610 US Highway 441</t>
  </si>
  <si>
    <t>1927 19 0001 000 01010</t>
  </si>
  <si>
    <t>https://www.google.com/maps/search/?api=1&amp;query=18610+US+Highway+441+Lake+FL</t>
  </si>
  <si>
    <t>18540 US Highway 441</t>
  </si>
  <si>
    <t>1927 19 0001 000 04400</t>
  </si>
  <si>
    <t>https://www.google.com/maps/search/?api=1&amp;query=18540+US+Highway+441+Lake+FL</t>
  </si>
  <si>
    <t>2030 22 516 0000 0020</t>
  </si>
  <si>
    <t>Discovery Education (School/Admin)</t>
  </si>
  <si>
    <t>https://www.google.com/maps/search/?api=1&amp;query=Seminole+FL</t>
  </si>
  <si>
    <t>273 Winding Hollow Blvd</t>
  </si>
  <si>
    <t>Monach Inv LLC C/O Patel Sapna</t>
  </si>
  <si>
    <t>2030 26 5AR 0D00 025D</t>
  </si>
  <si>
    <t>https://www.google.com/maps/search/?api=1&amp;query=273+Winding+Hollow+Blvd+Seminole+FL</t>
  </si>
  <si>
    <t>2290 Ronald Reagan Blvd N</t>
  </si>
  <si>
    <t>Longwood Industrial LLC</t>
  </si>
  <si>
    <t>2030 29 512 0000 0020</t>
  </si>
  <si>
    <t>Longwood Industrial (Warehouse/Flex)</t>
  </si>
  <si>
    <t>https://www.google.com/maps/search/?api=1&amp;query=2290+Ronald+Reagan+Blvd+N+Seminole+FL</t>
  </si>
  <si>
    <t>705 SR 434 W</t>
  </si>
  <si>
    <t>Infinity Heritage Park LLC</t>
  </si>
  <si>
    <t>2030 31 300 035D 0000</t>
  </si>
  <si>
    <t>Infinity Heritage Park (General Office)</t>
  </si>
  <si>
    <t>https://www.google.com/maps/search/?api=1&amp;query=705+SR+434+W+Seminole+FL</t>
  </si>
  <si>
    <t>300 Ronald Reagan # 100 Blvd</t>
  </si>
  <si>
    <t>Longwood Historic Office LLC</t>
  </si>
  <si>
    <t>2030 31 300 0430 0000</t>
  </si>
  <si>
    <t>Longwood Historic Office (General Business)</t>
  </si>
  <si>
    <t>https://www.google.com/maps/search/?api=1&amp;query=300+Ronald+Reagan+%23+100+Blvd+Seminole+FL</t>
  </si>
  <si>
    <t>225 SR 434 # 101 W</t>
  </si>
  <si>
    <t>Trustco Bank Attn: Hall Michael</t>
  </si>
  <si>
    <t>2030 31 502 0000 0040</t>
  </si>
  <si>
    <t>Trustco Bank (Bank Branch)</t>
  </si>
  <si>
    <t>https://www.google.com/maps/search/?api=1&amp;query=225+SR+434+%23+101+W+Seminole+FL</t>
  </si>
  <si>
    <t>515 SR 434 # 101 W</t>
  </si>
  <si>
    <t>Longwood 515 Rik Mp LLC C/O Avidxchange</t>
  </si>
  <si>
    <t>2030 31 511 0000 1023</t>
  </si>
  <si>
    <t>AvidXchange (FinTech / General Office)</t>
  </si>
  <si>
    <t>https://www.google.com/maps/search/?api=1&amp;query=515+SR+434+%23+101+W+Seminole+FL</t>
  </si>
  <si>
    <t>515 SR 434 # 141 W</t>
  </si>
  <si>
    <t>2030 31 511 0000 1058</t>
  </si>
  <si>
    <t>https://www.google.com/maps/search/?api=1&amp;query=515+SR+434+%23+141+W+Seminole+FL</t>
  </si>
  <si>
    <t>515 SR 434 # 110 W</t>
  </si>
  <si>
    <t>Duvoors LLC</t>
  </si>
  <si>
    <t>2030 31 511 0000 1080</t>
  </si>
  <si>
    <t>Duvoors LLC (Investment/Holding)</t>
  </si>
  <si>
    <t>https://www.google.com/maps/search/?api=1&amp;query=515+SR+434+%23+110+W+Seminole+FL</t>
  </si>
  <si>
    <t>515 SR 434 # 205 W</t>
  </si>
  <si>
    <t>2030 31 511 0000 2000</t>
  </si>
  <si>
    <t>https://www.google.com/maps/search/?api=1&amp;query=515+SR+434+%23+205+W+Seminole+FL</t>
  </si>
  <si>
    <t>515 SR 434 # 315 W</t>
  </si>
  <si>
    <t>2030 31 511 0000 3000</t>
  </si>
  <si>
    <t>https://www.google.com/maps/search/?api=1&amp;query=515+SR+434+%23+315+W+Seminole+FL</t>
  </si>
  <si>
    <t>515 SR 434 # 306 W</t>
  </si>
  <si>
    <t>2030 31 511 0000 3052</t>
  </si>
  <si>
    <t>https://www.google.com/maps/search/?api=1&amp;query=515+SR+434+%23+306+W+Seminole+FL</t>
  </si>
  <si>
    <t>515 SR 434 # 321 W</t>
  </si>
  <si>
    <t>2030 31 511 0000 3087</t>
  </si>
  <si>
    <t>https://www.google.com/maps/search/?api=1&amp;query=515+SR+434+%23+321+W+Seminole+FL</t>
  </si>
  <si>
    <t>515 SR 434 # 241 W</t>
  </si>
  <si>
    <t>Gernet Family Investments Longwood LLC</t>
  </si>
  <si>
    <t>2030 31 511 0A00 2035</t>
  </si>
  <si>
    <t>Gernet Family Investments (General Office)</t>
  </si>
  <si>
    <t>https://www.google.com/maps/search/?api=1&amp;query=515+SR+434+%23+241+W+Seminole+FL</t>
  </si>
  <si>
    <t>115 Pine Ave W</t>
  </si>
  <si>
    <t>Duo Mar LLC</t>
  </si>
  <si>
    <t>2030 31 5AU 0000 0480</t>
  </si>
  <si>
    <t>Duo Mar LLC (General Business)</t>
  </si>
  <si>
    <t>https://www.google.com/maps/search/?api=1&amp;query=115+Pine+Ave+W+Seminole+FL</t>
  </si>
  <si>
    <t>346 Freeman St</t>
  </si>
  <si>
    <t>Fitch House At Founders Square LLC</t>
  </si>
  <si>
    <t>2030 31 5AU 0000 3840</t>
  </si>
  <si>
    <t>Fitch House (Historic Office/BnB)</t>
  </si>
  <si>
    <t>https://www.google.com/maps/search/?api=1&amp;query=346+Freeman+St+Seminole+FL</t>
  </si>
  <si>
    <t>362 Grant St S</t>
  </si>
  <si>
    <t>Macon James R &amp; Gina M</t>
  </si>
  <si>
    <t>2030 31 5AU 0000 7760</t>
  </si>
  <si>
    <t>https://www.google.com/maps/search/?api=1&amp;query=362+Grant+St+S+Seminole+FL</t>
  </si>
  <si>
    <t>431 SR 434 E</t>
  </si>
  <si>
    <t>Divine Prosperity Holdings LLC</t>
  </si>
  <si>
    <t>2030 31 5AU 0000 8540</t>
  </si>
  <si>
    <t>Divine Prosperity (Retail/Commercial)</t>
  </si>
  <si>
    <t>https://www.google.com/maps/search/?api=1&amp;query=431+SR+434+E+Seminole+FL</t>
  </si>
  <si>
    <t>1150 Ronald Reagan Blvd N</t>
  </si>
  <si>
    <t>Simmons Eric Enh Life Est</t>
  </si>
  <si>
    <t>2030 32 505 0000 007F</t>
  </si>
  <si>
    <t>https://www.google.com/maps/search/?api=1&amp;query=1150+Ronald+Reagan+Blvd+N+Seminole+FL</t>
  </si>
  <si>
    <t>390 Corporate Way</t>
  </si>
  <si>
    <t>Gators Dockside Real Estate LLC</t>
  </si>
  <si>
    <t>2030 32 505 0000 013C</t>
  </si>
  <si>
    <t>Gator's Dockside (Restaurant HQ)</t>
  </si>
  <si>
    <t>https://www.google.com/maps/search/?api=1&amp;query=390+Corporate+Way+Seminole+FL</t>
  </si>
  <si>
    <t>500 SR 434 E</t>
  </si>
  <si>
    <t>Ayesha Properties LLC</t>
  </si>
  <si>
    <t>2030 32 510 080Q 0000</t>
  </si>
  <si>
    <t>Ayesha Properties (Retail Center)</t>
  </si>
  <si>
    <t>https://www.google.com/maps/search/?api=1&amp;query=500+SR+434+E+Seminole+FL</t>
  </si>
  <si>
    <t>587 SR 434 # 1071 E</t>
  </si>
  <si>
    <t>537 Longwood LLC</t>
  </si>
  <si>
    <t>2030 32 525 5870 1071</t>
  </si>
  <si>
    <t>Vacant / Retail Strip</t>
  </si>
  <si>
    <t>https://www.google.com/maps/search/?api=1&amp;query=587+SR+434+%23+1071+E+Seminole+FL</t>
  </si>
  <si>
    <t>3625 SR 419</t>
  </si>
  <si>
    <t>Bonyadi Properties LLC</t>
  </si>
  <si>
    <t>2030 34 523 0000 0110</t>
  </si>
  <si>
    <t>Bonyadi Properties (Auto/Industrial)</t>
  </si>
  <si>
    <t>https://www.google.com/maps/search/?api=1&amp;query=3625+SR+419+Seminole+FL</t>
  </si>
  <si>
    <t>201 SR 434 W</t>
  </si>
  <si>
    <t>201 W Sr 434 LLC</t>
  </si>
  <si>
    <t>2030 34 528 0000 0010</t>
  </si>
  <si>
    <t>Vacant Commercial (Redevelopment)</t>
  </si>
  <si>
    <t>https://www.loopnet.com/Listing/201-W-State-Road-434-Longwood-FL/25139039/</t>
  </si>
  <si>
    <t>https://www.google.com/maps/search/?api=1&amp;query=201+SR+434+W+Seminole+FL</t>
  </si>
  <si>
    <t>403 SR 434 E</t>
  </si>
  <si>
    <t>Chau Family Holdings III LLC</t>
  </si>
  <si>
    <t>2030 34 5AW 0000 048A</t>
  </si>
  <si>
    <t>Chau Family Holdings (Nail Salon/Retail)</t>
  </si>
  <si>
    <t>https://www.google.com/maps/search/?api=1&amp;query=403+SR+434+E+Seminole+FL</t>
  </si>
  <si>
    <t>866 SR 434 E</t>
  </si>
  <si>
    <t>Global Asset Management Group Inc &amp; Realty Factor Inc &amp; Adkins Joseph &amp;</t>
  </si>
  <si>
    <t>2030 35 5PH 0D00 0000</t>
  </si>
  <si>
    <t>Global Asset Management (Real Estate)</t>
  </si>
  <si>
    <t>https://www.google.com/maps/search/?api=1&amp;query=866+SR+434+E+Seminole+FL</t>
  </si>
  <si>
    <t>4193 CR 426 N</t>
  </si>
  <si>
    <t>Bar Jp Realty LLC</t>
  </si>
  <si>
    <t>1930</t>
  </si>
  <si>
    <t>2032 27 300 008A 0000</t>
  </si>
  <si>
    <t>Bar JP Realty (Industrial/Ag)</t>
  </si>
  <si>
    <t>https://www.google.com/maps/search/?api=1&amp;query=4193+CR+426+N+Seminole+FL</t>
  </si>
  <si>
    <t>1250 SR 434 # 1008 W</t>
  </si>
  <si>
    <t>Panoramic Management LLC</t>
  </si>
  <si>
    <t>2129 01 502 0000 00C0</t>
  </si>
  <si>
    <t>Panoramic Management (General Business)</t>
  </si>
  <si>
    <t>https://www.google.com/maps/search/?api=1&amp;query=1250+SR+434+%23+1008+W+Seminole+FL</t>
  </si>
  <si>
    <t>1090 SR 434 W</t>
  </si>
  <si>
    <t>1090 Longwood LLC C/O Verano</t>
  </si>
  <si>
    <t>2129 01 5CK 0100 0070</t>
  </si>
  <si>
    <t>MÜV Dispensary (Cannabis / Verano)</t>
  </si>
  <si>
    <t>https://www.google.com/maps/search/?api=1&amp;query=1090+SR+434+W+Seminole+FL</t>
  </si>
  <si>
    <t>1110 Douglas # 1001 Ave</t>
  </si>
  <si>
    <t>Florida Phoenix Group LLC</t>
  </si>
  <si>
    <t>2129 01 5CK 290A 0050</t>
  </si>
  <si>
    <t>Florida Phoenix Group (Construction)</t>
  </si>
  <si>
    <t>https://www.google.com/maps/search/?api=1&amp;query=1110+Douglas+%23+1001+Ave+Seminole+FL</t>
  </si>
  <si>
    <t>1097 Douglas Ave</t>
  </si>
  <si>
    <t>A C Harris &amp; Associates LLC</t>
  </si>
  <si>
    <t>2129 01 5CK 300D 0150</t>
  </si>
  <si>
    <t>AC Harris &amp; Associates (Surveying)</t>
  </si>
  <si>
    <t>https://www.google.com/maps/search/?api=1&amp;query=1097+Douglas+Ave+Seminole+FL</t>
  </si>
  <si>
    <t>411 Central Pkwy W</t>
  </si>
  <si>
    <t>America Sunstate Enterprise LLC</t>
  </si>
  <si>
    <t>2129 01 5CK 530G 0190</t>
  </si>
  <si>
    <t>America Sunstate (Industrial/Flex)</t>
  </si>
  <si>
    <t>https://www.google.com/maps/search/?api=1&amp;query=411+Central+Pkwy+W+Seminole+FL</t>
  </si>
  <si>
    <t>921 Douglas Ave</t>
  </si>
  <si>
    <t>921 Douglas Ave LLC</t>
  </si>
  <si>
    <t>2129 01 5CK 590F 0130</t>
  </si>
  <si>
    <t>921 Douglas Ave (Industrial/Warehouse)</t>
  </si>
  <si>
    <t>https://www.google.com/maps/search/?api=1&amp;query=921+Douglas+Ave+Seminole+FL</t>
  </si>
  <si>
    <t>901 Douglas Ave</t>
  </si>
  <si>
    <t>Jareag LLC</t>
  </si>
  <si>
    <t>2129 01 5CK 590G 0060</t>
  </si>
  <si>
    <t>Jareag LLC (Industrial/Warehouse)</t>
  </si>
  <si>
    <t>https://www.google.com/maps/search/?api=1&amp;query=901+Douglas+Ave+Seminole+FL</t>
  </si>
  <si>
    <t>691 Douglas Ave</t>
  </si>
  <si>
    <t>Legacy Professional Center LLC C/O Musleem Moe</t>
  </si>
  <si>
    <t>2129 01 5CK 670C 0050</t>
  </si>
  <si>
    <t>Legacy Professional Center (General Office)</t>
  </si>
  <si>
    <t>https://www.google.com/maps/search/?api=1&amp;query=691+Douglas+Ave+Seminole+FL</t>
  </si>
  <si>
    <t>480 Lake Bennett Ct</t>
  </si>
  <si>
    <t>Alpha Distribution LLC</t>
  </si>
  <si>
    <t>2129 01 5CK 750A 0004</t>
  </si>
  <si>
    <t>Alpha Distribution (Industrial)</t>
  </si>
  <si>
    <t>https://www.google.com/maps/search/?api=1&amp;query=480+Lake+Bennett+Ct+Seminole+FL</t>
  </si>
  <si>
    <t>1230 Commerce Park Dr</t>
  </si>
  <si>
    <t>Oshlo Golden Goose Longwood LLC</t>
  </si>
  <si>
    <t>2129 02 503 0000 0060</t>
  </si>
  <si>
    <t>Oshlo Golden Goose (Industrial/Flex)</t>
  </si>
  <si>
    <t>https://www.google.com/maps/search/?api=1&amp;query=1230+Commerce+Park+Dr+Seminole+FL</t>
  </si>
  <si>
    <t>1900 Boothe Cir</t>
  </si>
  <si>
    <t>Dm Realty Holdings LLC</t>
  </si>
  <si>
    <t>2129 02 513 0000 0010</t>
  </si>
  <si>
    <t>DM Realty Holdings (Industrial)</t>
  </si>
  <si>
    <t>https://www.google.com/maps/search/?api=1&amp;query=1900+Boothe+Cir+Seminole+FL</t>
  </si>
  <si>
    <t>1928 Boothe Cir</t>
  </si>
  <si>
    <t>2129 02 513 0000 0030</t>
  </si>
  <si>
    <t>https://www.google.com/maps/search/?api=1&amp;query=1928+Boothe+Cir+Seminole+FL</t>
  </si>
  <si>
    <t>1939 Boothe Cir</t>
  </si>
  <si>
    <t>Ah Cs Holdings Llkc</t>
  </si>
  <si>
    <t>2129 02 513 0000 0040</t>
  </si>
  <si>
    <t>AH CS Holdings (Industrial)</t>
  </si>
  <si>
    <t>https://www.google.com/maps/search/?api=1&amp;query=1939+Boothe+Cir+Seminole+FL</t>
  </si>
  <si>
    <t>1920 Boothe Cir</t>
  </si>
  <si>
    <t>Dalmau Properties LLC</t>
  </si>
  <si>
    <t>2129 02 513 0000 0060</t>
  </si>
  <si>
    <t>Dalmau Properties (Flex/Industrial)</t>
  </si>
  <si>
    <t>https://www.google.com/maps/search/?api=1&amp;query=1920+Boothe+Cir+Seminole+FL</t>
  </si>
  <si>
    <t>1912 Boothe # 100 Cir</t>
  </si>
  <si>
    <t>2129 02 524 0000 0010</t>
  </si>
  <si>
    <t>DM Realty Holdings (Flex/Industrial)</t>
  </si>
  <si>
    <t>https://www.google.com/maps/search/?api=1&amp;query=1912+Boothe+%23+100+Cir+Seminole+FL</t>
  </si>
  <si>
    <t>1912 Boothe # 200 Cir</t>
  </si>
  <si>
    <t>2129 02 524 0000 0020</t>
  </si>
  <si>
    <t>https://www.google.com/maps/search/?api=1&amp;query=1912+Boothe+%23+200+Cir+Seminole+FL</t>
  </si>
  <si>
    <t>317 Wekiva Springs Rd</t>
  </si>
  <si>
    <t>Save The Manatee Club Inc</t>
  </si>
  <si>
    <t>2129 03 300 008A 0000</t>
  </si>
  <si>
    <t>Save The Manatee Club (Non-Profit HQ)</t>
  </si>
  <si>
    <t>https://www.google.com/maps/search/?api=1&amp;query=317+Wekiva+Springs+Rd+Seminole+FL</t>
  </si>
  <si>
    <t>365 Wekiva Springs Rd</t>
  </si>
  <si>
    <t>365 Wekiva LLC</t>
  </si>
  <si>
    <t>2129 03 300 008K 0000</t>
  </si>
  <si>
    <t>Vacant / Small Retail</t>
  </si>
  <si>
    <t>https://www.loopnet.com/Listing/365-Wekiva-Springs-Rd-Longwood-FL/26606015/</t>
  </si>
  <si>
    <t>https://www.google.com/maps/search/?api=1&amp;query=365+Wekiva+Springs+Rd+Seminole+FL</t>
  </si>
  <si>
    <t>195 Wekiva Springs Rd</t>
  </si>
  <si>
    <t>Dalmau Commercial Properties LLC</t>
  </si>
  <si>
    <t>2129 03 300 009L 0000</t>
  </si>
  <si>
    <t>Dalmau Commercial Real Estate</t>
  </si>
  <si>
    <t>https://www.google.com/maps/search/?api=1&amp;query=195+Wekiva+Springs+Rd+Seminole+FL</t>
  </si>
  <si>
    <t>140 Wekiva Springs Rd</t>
  </si>
  <si>
    <t>Lifespace Communities Inc</t>
  </si>
  <si>
    <t>2129 03 300 009M 0000</t>
  </si>
  <si>
    <t>Village on the Green (Senior Living / CCRC)</t>
  </si>
  <si>
    <t>https://www.google.com/maps/search/?api=1&amp;query=140+Wekiva+Springs+Rd+Seminole+FL</t>
  </si>
  <si>
    <t>100 Lake Shore Dr</t>
  </si>
  <si>
    <t>Lee Oswald &amp; Joy</t>
  </si>
  <si>
    <t>2129 03 505 0X00 011A</t>
  </si>
  <si>
    <t>https://www.google.com/maps/search/?api=1&amp;query=100+Lake+Shore+Dr+Seminole+FL</t>
  </si>
  <si>
    <t>1090 Kensington Park Dr</t>
  </si>
  <si>
    <t>Wendover Management LLC &amp; Whp 1090 Kensington LLC</t>
  </si>
  <si>
    <t>2129 03 532 0000 0020</t>
  </si>
  <si>
    <t>Kensington Park (Apartments/Mgmt)</t>
  </si>
  <si>
    <t>https://www.google.com/maps/search/?api=1&amp;query=1090+Kensington+Park+Dr+Seminole+FL</t>
  </si>
  <si>
    <t>407 Wekiva Springs # 241 Rd</t>
  </si>
  <si>
    <t>Brewerlong Pllc</t>
  </si>
  <si>
    <t>2129 03 5SE 0000 2410</t>
  </si>
  <si>
    <t>BrewerLong (Law Firm)</t>
  </si>
  <si>
    <t>https://www.google.com/maps/search/?api=1&amp;query=407+Wekiva+Springs+%23+241+Rd+Seminole+FL</t>
  </si>
  <si>
    <t>407 Wekiva Springs # 245 Rd</t>
  </si>
  <si>
    <t>Johary Real Estate Services LLC</t>
  </si>
  <si>
    <t>2129 03 5SE 0000 2450</t>
  </si>
  <si>
    <t>Johary Real Estate Services</t>
  </si>
  <si>
    <t>https://www.google.com/maps/search/?api=1&amp;query=407+Wekiva+Springs+%23+245+Rd+Seminole+FL</t>
  </si>
  <si>
    <t>2711 SR 434 W</t>
  </si>
  <si>
    <t>Barr Property Investments II LLC</t>
  </si>
  <si>
    <t>2129 04 513 0C00 0060</t>
  </si>
  <si>
    <t>Barr Property Investments</t>
  </si>
  <si>
    <t>https://www.google.com/maps/search/?api=1&amp;query=2711+SR+434+W+Seminole+FL</t>
  </si>
  <si>
    <t>2781 SR 434 W</t>
  </si>
  <si>
    <t>Dougherty Patrick J &amp; Smith Lance D Enh Life Est</t>
  </si>
  <si>
    <t>2129 04 514 0C00 0020</t>
  </si>
  <si>
    <t>https://www.google.com/maps/search/?api=1&amp;query=2781+SR+434+W+Seminole+FL</t>
  </si>
  <si>
    <t>2660 SR 434 W</t>
  </si>
  <si>
    <t>Yacoub Emad</t>
  </si>
  <si>
    <t>2129 04 519 0000 0010</t>
  </si>
  <si>
    <t>Gators Dockside Group (Corporate HQ)</t>
  </si>
  <si>
    <t>https://www.google.com/maps/search/?api=1&amp;query=2660+SR+434+W+Seminole+FL</t>
  </si>
  <si>
    <t>2855 SR 434 # 1031 W</t>
  </si>
  <si>
    <t>Gessner Properties LLC</t>
  </si>
  <si>
    <t>2129 04 531 0000 0030</t>
  </si>
  <si>
    <t>Gessner Properties (General Business)</t>
  </si>
  <si>
    <t>https://www.google.com/maps/search/?api=1&amp;query=2855+SR+434+%23+1031+W+Seminole+FL</t>
  </si>
  <si>
    <t>107 Line Dr N</t>
  </si>
  <si>
    <t>Line Drive Absolute LLC</t>
  </si>
  <si>
    <t>2129 07 300 019A 0000</t>
  </si>
  <si>
    <t>Line Drive Absolute (Industrial/Flex)</t>
  </si>
  <si>
    <t>https://www.google.com/maps/search/?api=1&amp;query=107+Line+Dr+N+Seminole+FL</t>
  </si>
  <si>
    <t>628 Bear Lake Rd N</t>
  </si>
  <si>
    <t>Forest Lake Mgmt Inc Enh Life Est</t>
  </si>
  <si>
    <t>2129 07 502 0000 0140</t>
  </si>
  <si>
    <t>Forest Lake Management</t>
  </si>
  <si>
    <t>https://www.google.com/maps/search/?api=1&amp;query=628+Bear+Lake+Rd+N+Seminole+FL</t>
  </si>
  <si>
    <t>2755 Border Lake Rd</t>
  </si>
  <si>
    <t>Hunt Club Business Center II Inc</t>
  </si>
  <si>
    <t>2129 07 509 0E00 0000</t>
  </si>
  <si>
    <t>Hunt Club Business Center</t>
  </si>
  <si>
    <t>https://www.google.com/maps/search/?api=1&amp;query=2755+Border+Lake+Rd+Seminole+FL</t>
  </si>
  <si>
    <t>890 SR 434 N</t>
  </si>
  <si>
    <t>Kidwell Group LLC</t>
  </si>
  <si>
    <t>2129 09 300 020B 0000</t>
  </si>
  <si>
    <t>Kidwell Group (General Business)</t>
  </si>
  <si>
    <t>https://www.google.com/maps/search/?api=1&amp;query=890+SR+434+N+Seminole+FL</t>
  </si>
  <si>
    <t>860 SR 434 # 1002 N</t>
  </si>
  <si>
    <t>Lunafit Tech LLC</t>
  </si>
  <si>
    <t>2129 09 300 020C 0000</t>
  </si>
  <si>
    <t>Lunafit (Gym/Fitness)</t>
  </si>
  <si>
    <t>https://www.google.com/maps/search/?api=1&amp;query=860+SR+434+%23+1002+N+Seminole+FL</t>
  </si>
  <si>
    <t>797 SR 434 N</t>
  </si>
  <si>
    <t>David A Demetree Rev Trust</t>
  </si>
  <si>
    <t>2129 09 501 0A00 0010</t>
  </si>
  <si>
    <t>Vacant Land / Demetree Trust</t>
  </si>
  <si>
    <t>https://www.google.com/maps/search/?api=1&amp;query=797+SR+434+N+Seminole+FL</t>
  </si>
  <si>
    <t>800 SR 434 # 1 N</t>
  </si>
  <si>
    <t>800 Tk Properties LLC</t>
  </si>
  <si>
    <t>2129 09 504 0000 0940</t>
  </si>
  <si>
    <t>800 TK Properties (General Commercial)</t>
  </si>
  <si>
    <t>https://www.google.com/maps/search/?api=1&amp;query=800+SR+434+%23+1+N+Seminole+FL</t>
  </si>
  <si>
    <t>620 Douglas # 1302 Ave</t>
  </si>
  <si>
    <t>2129 11 300 007E 0000</t>
  </si>
  <si>
    <t>ACC Northlake Property</t>
  </si>
  <si>
    <t>https://www.google.com/maps/search/?api=1&amp;query=620+Douglas+%23+1302+Ave+Seminole+FL</t>
  </si>
  <si>
    <t>994 Douglas # 100 Ave</t>
  </si>
  <si>
    <t>Medina &amp; Cortes Properties LLC</t>
  </si>
  <si>
    <t>2129 11 511 0000 5090</t>
  </si>
  <si>
    <t>Medina &amp; Cortes Properties</t>
  </si>
  <si>
    <t>https://www.google.com/maps/search/?api=1&amp;query=994+Douglas+%23+100+Ave+Seminole+FL</t>
  </si>
  <si>
    <t>801 Douglas # 2001 Ave</t>
  </si>
  <si>
    <t>Douglas Ave Condominium LLC</t>
  </si>
  <si>
    <t>2129 11 528 0000 0010</t>
  </si>
  <si>
    <t>Douglas Avenue Condos (Residential/Office)</t>
  </si>
  <si>
    <t>https://www.google.com/maps/search/?api=1&amp;query=801+Douglas+%23+2001+Ave+Seminole+FL</t>
  </si>
  <si>
    <t>773 Douglas Ave</t>
  </si>
  <si>
    <t>Rio City Properties LLC</t>
  </si>
  <si>
    <t>2129 11 528 0000 0100</t>
  </si>
  <si>
    <t>Rio City Properties (Investment)</t>
  </si>
  <si>
    <t>https://www.google.com/maps/search/?api=1&amp;query=773+Douglas+Ave+Seminole+FL</t>
  </si>
  <si>
    <t>781 Douglas Ave</t>
  </si>
  <si>
    <t>Riken Construction &amp; Design LLC</t>
  </si>
  <si>
    <t>2129 11 528 0000 0170</t>
  </si>
  <si>
    <t>Riken Construction &amp; Design</t>
  </si>
  <si>
    <t>https://www.google.com/maps/search/?api=1&amp;query=781+Douglas+Ave+Seminole+FL</t>
  </si>
  <si>
    <t>499 Central # 100 Pkwy E</t>
  </si>
  <si>
    <t>Atrium Professional Property LLC C/O Pertko Melissa</t>
  </si>
  <si>
    <t>2129 12 512 0000 0010</t>
  </si>
  <si>
    <t>Atrium Management Company</t>
  </si>
  <si>
    <t>https://www.google.com/maps/search/?api=1&amp;query=499+Central+%23+100+Pkwy+E+Seminole+FL</t>
  </si>
  <si>
    <t>660 Palm Springs # B Dr</t>
  </si>
  <si>
    <t>652 660 Palm Springs LLC</t>
  </si>
  <si>
    <t>2129 12 5BD 6500 0370</t>
  </si>
  <si>
    <t>https://www.google.com/maps/search/?api=1&amp;query=660+Palm+Springs+%23+B+Dr+Seminole+FL</t>
  </si>
  <si>
    <t>652 Palm Springs Dr</t>
  </si>
  <si>
    <t>2129 12 5BD 6600 0010</t>
  </si>
  <si>
    <t>https://www.google.com/maps/search/?api=1&amp;query=652+Palm+Springs+Dr+Seminole+FL</t>
  </si>
  <si>
    <t>850 Altamonte Dr E</t>
  </si>
  <si>
    <t>850 E Altamonte Dr LLC</t>
  </si>
  <si>
    <t>1807</t>
  </si>
  <si>
    <t>2129 12 5BE 0000 4350</t>
  </si>
  <si>
    <t>https://www.loopnet.com/Listing/850-E-Altamonte-Dr-Altamonte-Springs-FL/20650577/</t>
  </si>
  <si>
    <t>https://www.google.com/maps/search/?api=1&amp;query=850+Altamonte+Dr+E+Seminole+FL</t>
  </si>
  <si>
    <t>801 Orienta # 2000 Ave</t>
  </si>
  <si>
    <t>Orienta Office Associates</t>
  </si>
  <si>
    <t>2129 12 5BE 0000 4500</t>
  </si>
  <si>
    <t>https://www.google.com/maps/search/?api=1&amp;query=801+Orienta+%23+2000+Ave+Seminole+FL</t>
  </si>
  <si>
    <t>498 Palm Springs # 100 Dr</t>
  </si>
  <si>
    <t>Foley Properties LLC</t>
  </si>
  <si>
    <t>2129 13 300 0050 0000</t>
  </si>
  <si>
    <t>Foley Properties (General Business)</t>
  </si>
  <si>
    <t>https://www.google.com/maps/search/?api=1&amp;query=498+Palm+Springs+%23+100+Dr+Seminole+FL</t>
  </si>
  <si>
    <t>400 Maitland Ave</t>
  </si>
  <si>
    <t>Cross Bridge LLC</t>
  </si>
  <si>
    <t>2129 13 504 0000 0010</t>
  </si>
  <si>
    <t>Cross Bridge Church</t>
  </si>
  <si>
    <t>https://www.google.com/maps/search/?api=1&amp;query=400+Maitland+Ave+Seminole+FL</t>
  </si>
  <si>
    <t>311 Maitland Ave</t>
  </si>
  <si>
    <t>E Center Marketing LLC</t>
  </si>
  <si>
    <t>2129 13 506 0E00 0010</t>
  </si>
  <si>
    <t>E Center Marketing</t>
  </si>
  <si>
    <t>https://www.google.com/maps/search/?api=1&amp;query=311+Maitland+Ave+Seminole+FL</t>
  </si>
  <si>
    <t>815 Orienta # 1050 Ave</t>
  </si>
  <si>
    <t>Slt Holdings LLC</t>
  </si>
  <si>
    <t>2129 13 524 0000 0050</t>
  </si>
  <si>
    <t>SLT Holdings (General Office)</t>
  </si>
  <si>
    <t>https://www.google.com/maps/search/?api=1&amp;query=815+Orienta+%23+1050+Ave+Seminole+FL</t>
  </si>
  <si>
    <t>375 Douglas # 1000 Ave</t>
  </si>
  <si>
    <t>14100 Icot LLC &amp; Pnms1 LLC</t>
  </si>
  <si>
    <t>2129 14 300 0090 0000</t>
  </si>
  <si>
    <t>14100 ICOT (Industrial/Flex)</t>
  </si>
  <si>
    <t>https://www.google.com/maps/search/?api=1&amp;query=375+Douglas+%23+1000+Ave+Seminole+FL</t>
  </si>
  <si>
    <t>140 Westmonte Dr N</t>
  </si>
  <si>
    <t>Pr Westmonte Drive LLC</t>
  </si>
  <si>
    <t>2129 14 510 0A00 0020</t>
  </si>
  <si>
    <t>PR Construction (General Contractor)</t>
  </si>
  <si>
    <t>https://www.google.com/maps/search/?api=1&amp;query=140+Westmonte+Dr+N+Seminole+FL</t>
  </si>
  <si>
    <t>150 Westmonte Dr N</t>
  </si>
  <si>
    <t>Seminole County Tax Collector</t>
  </si>
  <si>
    <t>2129 14 510 0A00 0040</t>
  </si>
  <si>
    <t>https://www.google.com/maps/search/?api=1&amp;query=150+Westmonte+Dr+N+Seminole+FL</t>
  </si>
  <si>
    <t>180 Westmonte Dr N</t>
  </si>
  <si>
    <t>2129 14 510 0A00 0080</t>
  </si>
  <si>
    <t>Window World (Showroom/Office)</t>
  </si>
  <si>
    <t>https://www.google.com/maps/search/?api=1&amp;query=180+Westmonte+Dr+N+Seminole+FL</t>
  </si>
  <si>
    <t>190 Westmonte # 102 Dr N</t>
  </si>
  <si>
    <t>2129 14 510 0A00 0090</t>
  </si>
  <si>
    <t>Window World (Admin)</t>
  </si>
  <si>
    <t>https://www.google.com/maps/search/?api=1&amp;query=190+Westmonte+%23+102+Dr+N+Seminole+FL</t>
  </si>
  <si>
    <t>Commission 127 Inc</t>
  </si>
  <si>
    <t>2129 14 510 0A00 0170</t>
  </si>
  <si>
    <t>Commission 127 (Religious/Non-Profit)</t>
  </si>
  <si>
    <t>217 Westmonte Dr N</t>
  </si>
  <si>
    <t>2129 14 510 0B00 0100</t>
  </si>
  <si>
    <t>Window World (Warehouse)</t>
  </si>
  <si>
    <t>https://www.google.com/maps/search/?api=1&amp;query=217+Westmonte+Dr+N+Seminole+FL</t>
  </si>
  <si>
    <t>215 Westmonte Dr N</t>
  </si>
  <si>
    <t>215 N Westmonte Dr LLC</t>
  </si>
  <si>
    <t>2129 14 510 0B00 0140</t>
  </si>
  <si>
    <t>https://www.google.com/maps/search/?api=1&amp;query=215+Westmonte+Dr+N+Seminole+FL</t>
  </si>
  <si>
    <t>495 Montgomery Pl</t>
  </si>
  <si>
    <t>495 Building LLC</t>
  </si>
  <si>
    <t>2129 15 521 0000 00B0</t>
  </si>
  <si>
    <t>https://www.loopnet.com/Listing/495-N-Montgomery-Ave-Sheffield-AL/30815591/</t>
  </si>
  <si>
    <t>https://www.google.com/maps/search/?api=1&amp;query=495+Montgomery+Pl+Seminole+FL</t>
  </si>
  <si>
    <t>491 Montgomery Pl</t>
  </si>
  <si>
    <t>Universal Property &amp; Casualty Insurance Company</t>
  </si>
  <si>
    <t>2129 15 521 0000 00D0</t>
  </si>
  <si>
    <t>Universal Property &amp; Casualty (Insurance HQ)</t>
  </si>
  <si>
    <t>https://www.google.com/maps/search/?api=1&amp;query=491+Montgomery+Pl+Seminole+FL</t>
  </si>
  <si>
    <t>385 Pearl Lake Cswy S</t>
  </si>
  <si>
    <t>South Pearl Lake Holdings LLC</t>
  </si>
  <si>
    <t>2129 16 507 0000 0050</t>
  </si>
  <si>
    <t>https://www.loopnet.com/Listing/385-S-Pearl-Lake-Cswy-Altamonte-Springs-FL/20650577/</t>
  </si>
  <si>
    <t>https://www.google.com/maps/search/?api=1&amp;query=385+Pearl+Lake+Cswy+S+Seminole+FL</t>
  </si>
  <si>
    <t>1170 SR 436 W</t>
  </si>
  <si>
    <t>Jr Trust Holdings Inc</t>
  </si>
  <si>
    <t>2129 17 502 0A00 0220</t>
  </si>
  <si>
    <t>Pet Supermarket (Retail)</t>
  </si>
  <si>
    <t>https://www.google.com/maps/search/?api=1&amp;query=1170+SR+436+W+Seminole+FL</t>
  </si>
  <si>
    <t>3312 SR 436 E</t>
  </si>
  <si>
    <t>Fischer Paul J Enh Life Est &amp; Fischer Carrie L Enh Life Est</t>
  </si>
  <si>
    <t>2129 18 504 0000 0030</t>
  </si>
  <si>
    <t>Residential / Agricultural Land</t>
  </si>
  <si>
    <t>https://www.google.com/maps/search/?api=1&amp;query=3312+SR+436+E+Seminole+FL</t>
  </si>
  <si>
    <t>624 Executive Park Ct</t>
  </si>
  <si>
    <t>Mv Marvil LLC</t>
  </si>
  <si>
    <t>2129 18 527 0000 0010</t>
  </si>
  <si>
    <t>Marvil Engineering (Civil Engineers)</t>
  </si>
  <si>
    <t>https://www.google.com/maps/search/?api=1&amp;query=624+Executive+Park+Ct+Seminole+FL</t>
  </si>
  <si>
    <t>9200 Bear Lake Rd</t>
  </si>
  <si>
    <t>Leesburg Development 2 LLC</t>
  </si>
  <si>
    <t>2129 20 300 008A 0000</t>
  </si>
  <si>
    <t>https://www.google.com/maps/search/?api=1&amp;query=9200+Bear+Lake+Rd+Seminole+FL</t>
  </si>
  <si>
    <t>531 SR 434 S</t>
  </si>
  <si>
    <t>531 Mc4 Holdings LLC</t>
  </si>
  <si>
    <t>2129 21 516 0000 0010</t>
  </si>
  <si>
    <t>Vacant Retail Strip</t>
  </si>
  <si>
    <t>https://www.loopnet.com/Listing/531-S-State-Road-434-Altamonte-Springs-FL/18724440/</t>
  </si>
  <si>
    <t>https://www.google.com/maps/search/?api=1&amp;query=531+SR+434+S+Seminole+FL</t>
  </si>
  <si>
    <t>475 Maitland Ave</t>
  </si>
  <si>
    <t>Lkj Asset Mgmt LLC</t>
  </si>
  <si>
    <t>2129 24 300 003A 0000</t>
  </si>
  <si>
    <t>LKJ Financial (Financial Planning)</t>
  </si>
  <si>
    <t>https://www.google.com/maps/search/?api=1&amp;query=475+Maitland+Ave+Seminole+FL</t>
  </si>
  <si>
    <t>465 Maitland Ave</t>
  </si>
  <si>
    <t>Pitts Lisa A</t>
  </si>
  <si>
    <t>2129 24 300 003B 0000</t>
  </si>
  <si>
    <t>Lisa Pitts Eley Real Estate</t>
  </si>
  <si>
    <t>https://www.google.com/maps/search/?api=1&amp;query=465+Maitland+Ave+Seminole+FL</t>
  </si>
  <si>
    <t>1640 Maitland Ave</t>
  </si>
  <si>
    <t>Valle Property Holdings LLC</t>
  </si>
  <si>
    <t>2129 24 300 0410 0000</t>
  </si>
  <si>
    <t>Valle Property Management</t>
  </si>
  <si>
    <t>https://www.google.com/maps/search/?api=1&amp;query=1640+Maitland+Ave+Seminole+FL</t>
  </si>
  <si>
    <t>711 Ballard St</t>
  </si>
  <si>
    <t>Planned Legacy Property Group LLC C/O Hudson Jeffrey R</t>
  </si>
  <si>
    <t>2129 24 501 0A00 0060</t>
  </si>
  <si>
    <t>Planned Legacy (Law Firm)</t>
  </si>
  <si>
    <t>https://www.google.com/maps/search/?api=1&amp;query=711+Ballard+St+Seminole+FL</t>
  </si>
  <si>
    <t>597 Maitland Ave</t>
  </si>
  <si>
    <t>John C Chow Living Trust</t>
  </si>
  <si>
    <t>2129 24 503 0B00 0090</t>
  </si>
  <si>
    <t>John Chow, CPA</t>
  </si>
  <si>
    <t>https://www.google.com/maps/search/?api=1&amp;query=597+Maitland+Ave+Seminole+FL</t>
  </si>
  <si>
    <t>630 Main St</t>
  </si>
  <si>
    <t>Chris Marie Real Estate V LLC</t>
  </si>
  <si>
    <t>2129 24 503 0D00 0090</t>
  </si>
  <si>
    <t>Residential / Investment Property</t>
  </si>
  <si>
    <t>https://www.google.com/maps/search/?api=1&amp;query=630+Main+St+Seminole+FL</t>
  </si>
  <si>
    <t>659 Maitland # A Ave</t>
  </si>
  <si>
    <t>Moncla Gail A Enh Life Est</t>
  </si>
  <si>
    <t>2129 24 503 0F00 0100</t>
  </si>
  <si>
    <t>Residential / Office Conversion</t>
  </si>
  <si>
    <t>https://www.google.com/maps/search/?api=1&amp;query=659+Maitland+%23+A+Ave+Seminole+FL</t>
  </si>
  <si>
    <t>620 Maitland Ave</t>
  </si>
  <si>
    <t>620 Maitland LLC</t>
  </si>
  <si>
    <t>2129 24 504 0G00 0090</t>
  </si>
  <si>
    <t>Maitland Avenue Office Center</t>
  </si>
  <si>
    <t>https://www.google.com/maps/search/?api=1&amp;query=620+Maitland+Ave+Seminole+FL</t>
  </si>
  <si>
    <t>608 Maitland Ave</t>
  </si>
  <si>
    <t>Ejaz &amp; Aneesa Ahmad Rev Trust</t>
  </si>
  <si>
    <t>2129 24 504 0G00 0130</t>
  </si>
  <si>
    <t>Ahmad Associates (Engineering)</t>
  </si>
  <si>
    <t>https://www.google.com/maps/search/?api=1&amp;query=608+Maitland+Ave+Seminole+FL</t>
  </si>
  <si>
    <t>1495 Maitland Ave</t>
  </si>
  <si>
    <t>2129 24 509 0C00 0110</t>
  </si>
  <si>
    <t>https://www.google.com/maps/search/?api=1&amp;query=1495+Maitland+Ave+Seminole+FL</t>
  </si>
  <si>
    <t>1100 Town Plaza Ct</t>
  </si>
  <si>
    <t>1100 Town Plaza LLC</t>
  </si>
  <si>
    <t>2130 01 505 0000 0040</t>
  </si>
  <si>
    <t>Vacant Flex Office</t>
  </si>
  <si>
    <t>https://www.loopnet.com/Listing/1100-Town-Plaza-Ct-Winter-Springs-FL/25139039/</t>
  </si>
  <si>
    <t>https://www.google.com/maps/search/?api=1&amp;query=1100+Town+Plaza+Ct+Seminole+FL</t>
  </si>
  <si>
    <t>1300 Town Plaza Ct</t>
  </si>
  <si>
    <t>Alkoli Investments LLC</t>
  </si>
  <si>
    <t>2130 01 505 0000 0050</t>
  </si>
  <si>
    <t>Alkoli Investments (General Office)</t>
  </si>
  <si>
    <t>https://www.google.com/maps/search/?api=1&amp;query=1300+Town+Plaza+Ct+Seminole+FL</t>
  </si>
  <si>
    <t>1600 Town Plaza Ct</t>
  </si>
  <si>
    <t>Rigoberto M Veloso &amp; Melanie A Veloso Rev Trust</t>
  </si>
  <si>
    <t>2130 01 505 0000 0070</t>
  </si>
  <si>
    <t>Veloso Law Firm</t>
  </si>
  <si>
    <t>https://www.google.com/maps/search/?api=1&amp;query=1600+Town+Plaza+Ct+Seminole+FL</t>
  </si>
  <si>
    <t>1700 Town Plaza Ct</t>
  </si>
  <si>
    <t>Bluebook Real Estate LLC</t>
  </si>
  <si>
    <t>2130 01 505 0000 0080</t>
  </si>
  <si>
    <t>Bluebook Real Estate</t>
  </si>
  <si>
    <t>https://www.google.com/maps/search/?api=1&amp;query=1700+Town+Plaza+Ct+Seminole+FL</t>
  </si>
  <si>
    <t>1800 Town Plaza Ct</t>
  </si>
  <si>
    <t>1806 Town Plaza Ct LLC</t>
  </si>
  <si>
    <t>2130 01 505 0000 0090</t>
  </si>
  <si>
    <t>https://www.loopnet.com/Listing/1800-Town-Plaza-Ct-Winter-Springs-FL/29666491/</t>
  </si>
  <si>
    <t>https://www.google.com/maps/search/?api=1&amp;query=1800+Town+Plaza+Ct+Seminole+FL</t>
  </si>
  <si>
    <t>1900 Town Plaza Ct</t>
  </si>
  <si>
    <t>Noll Realty LLC</t>
  </si>
  <si>
    <t>2130 01 505 0000 0100</t>
  </si>
  <si>
    <t>Noll Realty</t>
  </si>
  <si>
    <t>https://www.google.com/maps/search/?api=1&amp;query=1900+Town+Plaza+Ct+Seminole+FL</t>
  </si>
  <si>
    <t>2000 Town Plaza Ct</t>
  </si>
  <si>
    <t>Ray Pinewood LLC</t>
  </si>
  <si>
    <t>2130 01 505 0000 0110</t>
  </si>
  <si>
    <t>Ray Pinewood (Industrial Flex)</t>
  </si>
  <si>
    <t>https://www.google.com/maps/search/?api=1&amp;query=2000+Town+Plaza+Ct+Seminole+FL</t>
  </si>
  <si>
    <t>131 SR 434 W</t>
  </si>
  <si>
    <t>Wsvc Properties LLC</t>
  </si>
  <si>
    <t>2130 03 504 0000 002A</t>
  </si>
  <si>
    <t>Winter Springs Veterinary Clinic</t>
  </si>
  <si>
    <t>https://www.google.com/maps/search/?api=1&amp;query=131+SR+434+W+Seminole+FL</t>
  </si>
  <si>
    <t>890 SR 434 E</t>
  </si>
  <si>
    <t>Jp Holdings Inc</t>
  </si>
  <si>
    <t>2130 05 501 0000 0040</t>
  </si>
  <si>
    <t>JP Holdings (General Office)</t>
  </si>
  <si>
    <t>https://www.google.com/maps/search/?api=1&amp;query=890+SR+434+E+Seminole+FL</t>
  </si>
  <si>
    <t>685 Ronald Reagan Blvd S</t>
  </si>
  <si>
    <t>Wbaai LLC</t>
  </si>
  <si>
    <t>2130 05 516 0000 0030</t>
  </si>
  <si>
    <t>Industrial / Auto Repair</t>
  </si>
  <si>
    <t>https://www.google.com/maps/search/?api=1&amp;query=685+Ronald+Reagan+Blvd+S+Seminole+FL</t>
  </si>
  <si>
    <t>150 Dog Track Rd</t>
  </si>
  <si>
    <t>Alusco Holdings LLC</t>
  </si>
  <si>
    <t>2130 05 518 0000 001C</t>
  </si>
  <si>
    <t>Alusco Holdings (Industrial Warehouse)</t>
  </si>
  <si>
    <t>https://www.google.com/maps/search/?api=1&amp;query=150+Dog+Track+Rd+Seminole+FL</t>
  </si>
  <si>
    <t>160 Evergreen Ave W</t>
  </si>
  <si>
    <t>Giotto Properties LLC</t>
  </si>
  <si>
    <t>2130 06 502 0100 0070</t>
  </si>
  <si>
    <t>Giotto Studios (Art/Design)</t>
  </si>
  <si>
    <t>https://www.google.com/maps/search/?api=1&amp;query=160+Evergreen+Ave+W+Seminole+FL</t>
  </si>
  <si>
    <t>282 Short Ave</t>
  </si>
  <si>
    <t>Mathura Ventures LLC C/O Mila Realty</t>
  </si>
  <si>
    <t>2130 06 503 0000 0210</t>
  </si>
  <si>
    <t>Mila Realty</t>
  </si>
  <si>
    <t>https://www.google.com/maps/search/?api=1&amp;query=282+Short+Ave+Seminole+FL</t>
  </si>
  <si>
    <t>672 Florida Central Pkwy</t>
  </si>
  <si>
    <t>Engineered Machining LLC</t>
  </si>
  <si>
    <t>2130 06 505 0000 00E0</t>
  </si>
  <si>
    <t>Engineered Machining (Industrial)</t>
  </si>
  <si>
    <t>https://www.google.com/maps/search/?api=1&amp;query=672+Florida+Central+Pkwy+Seminole+FL</t>
  </si>
  <si>
    <t>660 Florida Central Pkwy</t>
  </si>
  <si>
    <t>Handford Enterprises 660 LLC</t>
  </si>
  <si>
    <t>2130 06 505 0000 00H0</t>
  </si>
  <si>
    <t>Handford Enterprises (Industrial Flex)</t>
  </si>
  <si>
    <t>https://www.google.com/maps/search/?api=1&amp;query=660+Florida+Central+Pkwy+Seminole+FL</t>
  </si>
  <si>
    <t>Handford Enterprises 656 LLC</t>
  </si>
  <si>
    <t>2130 06 505 0000 00I0</t>
  </si>
  <si>
    <t>648 Florida Central Pkwy</t>
  </si>
  <si>
    <t>Sheehan John &amp; Huminski Glenn</t>
  </si>
  <si>
    <t>2130 06 505 0000 00K0</t>
  </si>
  <si>
    <t>Industrial Flex Condo</t>
  </si>
  <si>
    <t>https://www.google.com/maps/search/?api=1&amp;query=648+Florida+Central+Pkwy+Seminole+FL</t>
  </si>
  <si>
    <t>556 Florida Central Pkwy</t>
  </si>
  <si>
    <t>Qays Holdings LLC C/O Alpha Equity Realty And Management Inc</t>
  </si>
  <si>
    <t>2130 06 506 0000 0010</t>
  </si>
  <si>
    <t>Alpha Equity (Industrial/Office)</t>
  </si>
  <si>
    <t>https://www.google.com/maps/search/?api=1&amp;query=556+Florida+Central+Pkwy+Seminole+FL</t>
  </si>
  <si>
    <t>780 Florida Central Pkwy</t>
  </si>
  <si>
    <t>Wit Developers LLC</t>
  </si>
  <si>
    <t>2130 06 507 0000 7800</t>
  </si>
  <si>
    <t>Wit Developers (Tech/Software)</t>
  </si>
  <si>
    <t>https://www.google.com/maps/search/?api=1&amp;query=780+Florida+Central+Pkwy+Seminole+FL</t>
  </si>
  <si>
    <t>477 Commerce # 101 Way</t>
  </si>
  <si>
    <t>Briella Investments LLC</t>
  </si>
  <si>
    <t>2130 06 510 0000 0140</t>
  </si>
  <si>
    <t>Briella Investments (Industrial Flex)</t>
  </si>
  <si>
    <t>https://www.google.com/maps/search/?api=1&amp;query=477+Commerce+%23+101+Way+Seminole+FL</t>
  </si>
  <si>
    <t>740 Florida Central Pkwy</t>
  </si>
  <si>
    <t>Seawalls Of America LLC</t>
  </si>
  <si>
    <t>2130 06 510 0000 0170</t>
  </si>
  <si>
    <t>Seawalls of America (Marine Construction)</t>
  </si>
  <si>
    <t>https://www.google.com/maps/search/?api=1&amp;query=740+Florida+Central+Pkwy+Seminole+FL</t>
  </si>
  <si>
    <t>976 Florida Central Pkwy</t>
  </si>
  <si>
    <t>976 Florida Central Parkway Holdings LLC C/O Musleem Moe</t>
  </si>
  <si>
    <t>2130 06 510 0000 023A</t>
  </si>
  <si>
    <t>Vacant / Industrial Flex</t>
  </si>
  <si>
    <t>https://www.loopnet.com/Listing/976-Florida-Central-Pky-Longwood-FL/16524108/</t>
  </si>
  <si>
    <t>https://www.google.com/maps/search/?api=1&amp;query=976+Florida+Central+Pkwy+Seminole+FL</t>
  </si>
  <si>
    <t>1024 Florida Central Pkwy</t>
  </si>
  <si>
    <t>Advocates &amp; Guardians For The Elderly &amp; Disabled Inc</t>
  </si>
  <si>
    <t>2130 06 510 0000 0270</t>
  </si>
  <si>
    <t>Advocates for the Elderly (Non-Profit/Admin)</t>
  </si>
  <si>
    <t>https://www.google.com/maps/search/?api=1&amp;query=1024+Florida+Central+Pkwy+Seminole+FL</t>
  </si>
  <si>
    <t>950 Explorer Cv</t>
  </si>
  <si>
    <t>Xplorer LLC</t>
  </si>
  <si>
    <t>2130 07 520 0000 0070</t>
  </si>
  <si>
    <t>Xplorer LLC (General Business)</t>
  </si>
  <si>
    <t>https://www.google.com/maps/search/?api=1&amp;query=950+Explorer+Cv+Seminole+FL</t>
  </si>
  <si>
    <t>3490 US Hwy 17 92 # A S</t>
  </si>
  <si>
    <t>Shah Ashish &amp; Shah Hetal &amp; Kuwar Dinesh &amp; Shah Hetal</t>
  </si>
  <si>
    <t>2130 08 510 EA00 0260</t>
  </si>
  <si>
    <t>https://www.loopnet.com/Listing/3490-S-US-Highway-17-92-Casselberry-FL/4318047/</t>
  </si>
  <si>
    <t>https://www.google.com/maps/search/?api=1&amp;query=3490+US+Hwy+17+92+%23+A+S+Seminole+FL</t>
  </si>
  <si>
    <t>340 Oleander Way</t>
  </si>
  <si>
    <t>Orlando South Park II LLC</t>
  </si>
  <si>
    <t>2130 08 511 0D00 003B</t>
  </si>
  <si>
    <t>Orlando South Park (Industrial/Flex)</t>
  </si>
  <si>
    <t>https://www.google.com/maps/search/?api=1&amp;query=340+Oleander+Way+Seminole+FL</t>
  </si>
  <si>
    <t>195 Concord Dr</t>
  </si>
  <si>
    <t>Building 195 LLC</t>
  </si>
  <si>
    <t>2130 08 511 0H00 0360</t>
  </si>
  <si>
    <t>Building 195 (Industrial/Flex)</t>
  </si>
  <si>
    <t>https://www.google.com/maps/search/?api=1&amp;query=195+Concord+Dr+Seminole+FL</t>
  </si>
  <si>
    <t>1319 Lake Dr</t>
  </si>
  <si>
    <t>Anglers Inv LLC</t>
  </si>
  <si>
    <t>2130 09 5BM 0B00 048A</t>
  </si>
  <si>
    <t>Anglers Investments (General Commercial)</t>
  </si>
  <si>
    <t>https://www.google.com/maps/search/?api=1&amp;query=1319+Lake+Dr+Seminole+FL</t>
  </si>
  <si>
    <t>128 Oxford Rd</t>
  </si>
  <si>
    <t>Robert M Reid Rev Trust</t>
  </si>
  <si>
    <t>2130 17 300 029D 0000</t>
  </si>
  <si>
    <t>https://www.google.com/maps/search/?api=1&amp;query=128+Oxford+Rd+Seminole+FL</t>
  </si>
  <si>
    <t>5200 US Hwy 17 92 S</t>
  </si>
  <si>
    <t>5200 Casselberry Building LLC</t>
  </si>
  <si>
    <t>2130 17 506 0G00 0010</t>
  </si>
  <si>
    <t>Vacant Commercial Building</t>
  </si>
  <si>
    <t>https://www.loopnet.com/Listing/5200-S-US-Highway-17-92-Casselberry-FL/21800277/</t>
  </si>
  <si>
    <t>https://www.google.com/maps/search/?api=1&amp;query=5200+US+Hwy+17+92+S+Seminole+FL</t>
  </si>
  <si>
    <t>134 Fernwood Blvd</t>
  </si>
  <si>
    <t>Cmm Realty Fl LLC</t>
  </si>
  <si>
    <t>2130 17 510 0000 004F</t>
  </si>
  <si>
    <t>CMM Realty (Real Estate)</t>
  </si>
  <si>
    <t>https://www.google.com/maps/search/?api=1&amp;query=134+Fernwood+Blvd+Seminole+FL</t>
  </si>
  <si>
    <t>110 Anchor Rd</t>
  </si>
  <si>
    <t>Sauceda Oscar</t>
  </si>
  <si>
    <t>2130 18 501 0600 0050</t>
  </si>
  <si>
    <t>Oscar Sauceda (Residential/Construction)</t>
  </si>
  <si>
    <t>https://www.google.com/maps/search/?api=1&amp;query=110+Anchor+Rd+Seminole+FL</t>
  </si>
  <si>
    <t>200 Via De Lago</t>
  </si>
  <si>
    <t>200 Via De Lago LLC</t>
  </si>
  <si>
    <t>2130 18 526 0000 0010</t>
  </si>
  <si>
    <t>Vacant / Residential Land</t>
  </si>
  <si>
    <t>https://www.google.com/maps/search/?api=1&amp;query=200+Via+De+Lago+Seminole+FL</t>
  </si>
  <si>
    <t>113 Candace Dr</t>
  </si>
  <si>
    <t>113 Candace Drive LLC</t>
  </si>
  <si>
    <t>2130 19 300 053E 0000</t>
  </si>
  <si>
    <t>https://www.google.com/maps/search/?api=1&amp;query=113+Candace+Dr+Seminole+FL</t>
  </si>
  <si>
    <t>384 Wilshire Blvd</t>
  </si>
  <si>
    <t>Gen Cassel LLC</t>
  </si>
  <si>
    <t>2130 20 5HW 0000 002A</t>
  </si>
  <si>
    <t>Gen Cassel LLC (General Business)</t>
  </si>
  <si>
    <t>https://www.google.com/maps/search/?api=1&amp;query=384+Wilshire+Blvd+Seminole+FL</t>
  </si>
  <si>
    <t>950 Winter Park Dr S</t>
  </si>
  <si>
    <t>Revest Capital Group LLC</t>
  </si>
  <si>
    <t>2130 21 506 0B00 0000</t>
  </si>
  <si>
    <t>Revest Capital Group (Investment)</t>
  </si>
  <si>
    <t>https://www.google.com/maps/search/?api=1&amp;query=950+Winter+Park+Dr+S+Seminole+FL</t>
  </si>
  <si>
    <t>5626 Red Bug Lake Rd</t>
  </si>
  <si>
    <t>Weeks Real Estate LLC</t>
  </si>
  <si>
    <t>2130 24 300 005D 0000</t>
  </si>
  <si>
    <t>Weeks Real Estate</t>
  </si>
  <si>
    <t>https://www.google.com/maps/search/?api=1&amp;query=5626+Red+Bug+Lake+Rd+Seminole+FL</t>
  </si>
  <si>
    <t>1484 Tuskawilla Rd</t>
  </si>
  <si>
    <t>Lumawilla LLC</t>
  </si>
  <si>
    <t>2130 24 300 0190 0000</t>
  </si>
  <si>
    <t>https://www.loopnet.com/Listing/1484-Tuskawilla-Rd-Oviedo-FL/29666491/</t>
  </si>
  <si>
    <t>https://www.google.com/maps/search/?api=1&amp;query=1484+Tuskawilla+Rd+Seminole+FL</t>
  </si>
  <si>
    <t>1016 Spring Villas Pt</t>
  </si>
  <si>
    <t>Southeastern Properties LLC</t>
  </si>
  <si>
    <t>2130 24 503 0000 0020</t>
  </si>
  <si>
    <t>Southeastern Properties (Real Estate)</t>
  </si>
  <si>
    <t>https://www.google.com/maps/search/?api=1&amp;query=1016+Spring+Villas+Pt+Seminole+FL</t>
  </si>
  <si>
    <t>1081 Willa Springs Dr</t>
  </si>
  <si>
    <t>Atg Real Estate LLC</t>
  </si>
  <si>
    <t>2130 24 508 0000 0100</t>
  </si>
  <si>
    <t>ATG Real Estate (Construction/General)</t>
  </si>
  <si>
    <t>https://www.google.com/maps/search/?api=1&amp;query=1081+Willa+Springs+Dr+Seminole+FL</t>
  </si>
  <si>
    <t>5745 Canton Cv</t>
  </si>
  <si>
    <t>Canton Cove Castle LLC</t>
  </si>
  <si>
    <t>2130 24 510 0000 0010</t>
  </si>
  <si>
    <t>Canton Cove Castle (Office/Admin)</t>
  </si>
  <si>
    <t>https://www.google.com/maps/search/?api=1&amp;query=5745+Canton+Cv+Seminole+FL</t>
  </si>
  <si>
    <t>5739 Canton Cv</t>
  </si>
  <si>
    <t>Collins Realty Group LLC</t>
  </si>
  <si>
    <t>2130 24 510 0000 0020</t>
  </si>
  <si>
    <t>Collins Realty Group</t>
  </si>
  <si>
    <t>https://www.google.com/maps/search/?api=1&amp;query=5739+Canton+Cv+Seminole+FL</t>
  </si>
  <si>
    <t>5732 Canton Cv</t>
  </si>
  <si>
    <t>Giuliano Orozco Properties LLC</t>
  </si>
  <si>
    <t>2130 24 510 0000 0050</t>
  </si>
  <si>
    <t>Giuliano Orozco Properties</t>
  </si>
  <si>
    <t>https://www.google.com/maps/search/?api=1&amp;query=5732+Canton+Cv+Seminole+FL</t>
  </si>
  <si>
    <t>5750 Canton Cv</t>
  </si>
  <si>
    <t>5750 Canton Cove LLC</t>
  </si>
  <si>
    <t>2130 24 510 0000 0080</t>
  </si>
  <si>
    <t>https://www.google.com/maps/search/?api=1&amp;query=5750+Canton+Cv+Seminole+FL</t>
  </si>
  <si>
    <t>1101 Tuskawilla Pt E</t>
  </si>
  <si>
    <t>1101 Tuskawilla Point LLC</t>
  </si>
  <si>
    <t>2130 24 511 0000 0020</t>
  </si>
  <si>
    <t>Tuskawilla Point (General Office)</t>
  </si>
  <si>
    <t>https://www.google.com/maps/search/?api=1&amp;query=1101+Tuskawilla+Pt+E+Seminole+FL</t>
  </si>
  <si>
    <t>1311 Sundial Pt</t>
  </si>
  <si>
    <t>Sundial Djil Investments LLC</t>
  </si>
  <si>
    <t>2130 24 523 0200 0000</t>
  </si>
  <si>
    <t>Sundial DJIL (General Office)</t>
  </si>
  <si>
    <t>https://www.google.com/maps/search/?api=1&amp;query=1311+Sundial+Pt+Seminole+FL</t>
  </si>
  <si>
    <t>1331 Sundial Pt</t>
  </si>
  <si>
    <t>1331 Sundial Pt LLC</t>
  </si>
  <si>
    <t>2130 24 523 0400 0000</t>
  </si>
  <si>
    <t>https://www.google.com/maps/search/?api=1&amp;query=1331+Sundial+Pt+Seminole+FL</t>
  </si>
  <si>
    <t>1351 Sundial Pt</t>
  </si>
  <si>
    <t>Employu Inc</t>
  </si>
  <si>
    <t>2130 24 523 0600 0000</t>
  </si>
  <si>
    <t>EmployU (Non-Profit Employment Service)</t>
  </si>
  <si>
    <t>https://www.google.com/maps/search/?api=1&amp;query=1351+Sundial+Pt+Seminole+FL</t>
  </si>
  <si>
    <t>2460 Howell Market Ln</t>
  </si>
  <si>
    <t>Leto Holdings LLC</t>
  </si>
  <si>
    <t>2130 27 5VT 0000 0020</t>
  </si>
  <si>
    <t>Leto Holdings (General Office)</t>
  </si>
  <si>
    <t>https://www.google.com/maps/search/?api=1&amp;query=2460+Howell+Market+Ln+Seminole+FL</t>
  </si>
  <si>
    <t>467 Lake Howell Rd</t>
  </si>
  <si>
    <t>847 Knickerbocker Ave LLC</t>
  </si>
  <si>
    <t>2130 28 300 0350 0000</t>
  </si>
  <si>
    <t>https://www.loopnet.com/Listing/467-Lake-Howell-Rd-Maitland-FL/21081763/</t>
  </si>
  <si>
    <t>https://www.google.com/maps/search/?api=1&amp;query=467+Lake+Howell+Rd+Seminole+FL</t>
  </si>
  <si>
    <t>402 Lake Howell Rd</t>
  </si>
  <si>
    <t>Jackson Rutledge Road LLC</t>
  </si>
  <si>
    <t>2130 28 509 0000 0010</t>
  </si>
  <si>
    <t>Jackson Rutledge (General Business)</t>
  </si>
  <si>
    <t>https://www.google.com/maps/search/?api=1&amp;query=402+Lake+Howell+Rd+Seminole+FL</t>
  </si>
  <si>
    <t>1211 SR 436</t>
  </si>
  <si>
    <t>Unicenter Orlando LLC</t>
  </si>
  <si>
    <t>2130 28 534 0000 0010</t>
  </si>
  <si>
    <t>UniCenter (Retail Plaza)</t>
  </si>
  <si>
    <t>https://www.google.com/maps/search/?api=1&amp;query=1211+SR+436+Seminole+FL</t>
  </si>
  <si>
    <t>2228 Winter Woods Blvd</t>
  </si>
  <si>
    <t>2130 33 300 005F 0000</t>
  </si>
  <si>
    <t>Emma II LLC (General Office)</t>
  </si>
  <si>
    <t>https://www.google.com/maps/search/?api=1&amp;query=2228+Winter+Woods+Blvd+Seminole+FL</t>
  </si>
  <si>
    <t>7719 Fox Knoll Pl</t>
  </si>
  <si>
    <t>Mlc Properties LLC</t>
  </si>
  <si>
    <t>2130 35 300 0080 0000</t>
  </si>
  <si>
    <t>MLC Properties (Investment)</t>
  </si>
  <si>
    <t>https://www.google.com/maps/search/?api=1&amp;query=7719+Fox+Knoll+Pl+Seminole+FL</t>
  </si>
  <si>
    <t>890 Northern # C Way</t>
  </si>
  <si>
    <t>Eichsteadt Gary A &amp; Rebecca K</t>
  </si>
  <si>
    <t>2131 07 509 0000 00C0</t>
  </si>
  <si>
    <t>Gary Eichsteadt (Private Office)</t>
  </si>
  <si>
    <t>https://www.google.com/maps/search/?api=1&amp;query=890+Northern+%23+C+Way+Seminole+FL</t>
  </si>
  <si>
    <t>890 Northern # D Way</t>
  </si>
  <si>
    <t>Metropulos Capital Trust Inc</t>
  </si>
  <si>
    <t>2131 07 509 0000 00D0</t>
  </si>
  <si>
    <t>Metropulos Capital (Financial)</t>
  </si>
  <si>
    <t>https://www.google.com/maps/search/?api=1&amp;query=890+Northern+%23+D+Way+Seminole+FL</t>
  </si>
  <si>
    <t>475 Broadway St W</t>
  </si>
  <si>
    <t>Jolorann LLC</t>
  </si>
  <si>
    <t>2131 09 503 0D00 0010</t>
  </si>
  <si>
    <t>Jolorann LLC (Industrial/Flex)</t>
  </si>
  <si>
    <t>https://www.google.com/maps/search/?api=1&amp;query=475+Broadway+St+W+Seminole+FL</t>
  </si>
  <si>
    <t>261 Plaza # B Dr</t>
  </si>
  <si>
    <t>261 Plaza LLC</t>
  </si>
  <si>
    <t>2131 09 509 0000 0060</t>
  </si>
  <si>
    <t>261 Plaza LLC (General Office)</t>
  </si>
  <si>
    <t>https://www.google.com/maps/search/?api=1&amp;query=261+Plaza+%23+B+Dr+Seminole+FL</t>
  </si>
  <si>
    <t>1884 CR 419 W</t>
  </si>
  <si>
    <t>Orchid Real Estate Holdings LLC</t>
  </si>
  <si>
    <t>2131 13 507 0000 0010</t>
  </si>
  <si>
    <t>Orchid Real Estate</t>
  </si>
  <si>
    <t>https://www.google.com/maps/search/?api=1&amp;query=1884+CR+419+W+Seminole+FL</t>
  </si>
  <si>
    <t>1221 Broadway St E</t>
  </si>
  <si>
    <t>1221 E Broadway St LLC</t>
  </si>
  <si>
    <t>2131 14 300 018A 0000</t>
  </si>
  <si>
    <t>Vacant Commercial / 1221 E Broadway</t>
  </si>
  <si>
    <t>https://www.google.com/maps/search/?api=1&amp;query=1221+Broadway+St+E+Seminole+FL</t>
  </si>
  <si>
    <t>1470 Swanson Dr</t>
  </si>
  <si>
    <t>2131 14 511 0000 0200</t>
  </si>
  <si>
    <t>Oviedo Veterinary Care (Expansion/Office)</t>
  </si>
  <si>
    <t>https://www.google.com/maps/search/?api=1&amp;query=1470+Swanson+Dr+Seminole+FL</t>
  </si>
  <si>
    <t>1486 Swanson Dr</t>
  </si>
  <si>
    <t>Swanson Hub Land Trust</t>
  </si>
  <si>
    <t>2131 14 511 0000 022A</t>
  </si>
  <si>
    <t>Swanson Hub (General Office)</t>
  </si>
  <si>
    <t>https://www.google.com/maps/search/?api=1&amp;query=1486+Swanson+Dr+Seminole+FL</t>
  </si>
  <si>
    <t>1490 Swanson Dr</t>
  </si>
  <si>
    <t>Burgunder Karl A Enh Life Est &amp; Burgunder Sheila M Enh Life Est</t>
  </si>
  <si>
    <t>2131 14 511 0000 022B</t>
  </si>
  <si>
    <t>Karl Burgunder (Private Office)</t>
  </si>
  <si>
    <t>https://www.google.com/maps/search/?api=1&amp;query=1490+Swanson+Dr+Seminole+FL</t>
  </si>
  <si>
    <t>865 Oviedo # 1015 Blvd</t>
  </si>
  <si>
    <t>Paradise Realty Usa LLC</t>
  </si>
  <si>
    <t>2131 15 538 0000 0020</t>
  </si>
  <si>
    <t>Paradise Realty USA</t>
  </si>
  <si>
    <t>https://www.google.com/maps/search/?api=1&amp;query=865+Oviedo+%23+1015+Blvd+Seminole+FL</t>
  </si>
  <si>
    <t>820 Broadway St W</t>
  </si>
  <si>
    <t>Zrb Holdings LLC</t>
  </si>
  <si>
    <t>2131 16 300 0190 0000</t>
  </si>
  <si>
    <t>ZRB Holdings (Investment/Land)</t>
  </si>
  <si>
    <t>https://www.google.com/maps/search/?api=1&amp;query=820+Broadway+St+W+Seminole+FL</t>
  </si>
  <si>
    <t>996 Westwood Sq</t>
  </si>
  <si>
    <t>Lcw Westwood Square LLC</t>
  </si>
  <si>
    <t>2131 16 300 033B 0000</t>
  </si>
  <si>
    <t>LCW Westwood Square (Retail/Office)</t>
  </si>
  <si>
    <t>https://www.google.com/maps/search/?api=1&amp;query=996+Westwood+Sq+Seminole+FL</t>
  </si>
  <si>
    <t>1515 Broadway St W</t>
  </si>
  <si>
    <t>Lady Capital LLC</t>
  </si>
  <si>
    <t>2131 16 502 0B00 00A0</t>
  </si>
  <si>
    <t>Lady Capital (Investment)</t>
  </si>
  <si>
    <t>https://www.google.com/maps/search/?api=1&amp;query=1515+Broadway+St+W+Seminole+FL</t>
  </si>
  <si>
    <t>1675 Broadway St W</t>
  </si>
  <si>
    <t>Verax Oviedo LLC</t>
  </si>
  <si>
    <t>2131 16 502 0B00 018A</t>
  </si>
  <si>
    <t>Verax Oviedo (General Business)</t>
  </si>
  <si>
    <t>https://www.google.com/maps/search/?api=1&amp;query=1675+Broadway+St+W+Seminole+FL</t>
  </si>
  <si>
    <t>1750 Broadway St W</t>
  </si>
  <si>
    <t>Glenda M Conley Family Trust</t>
  </si>
  <si>
    <t>2131 16 508 0000 0030</t>
  </si>
  <si>
    <t>https://www.google.com/maps/search/?api=1&amp;query=1750+Broadway+St+W+Seminole+FL</t>
  </si>
  <si>
    <t>1425 Broadway St W</t>
  </si>
  <si>
    <t>Nochas Investment Group LLC</t>
  </si>
  <si>
    <t>2131 16 512 0000 0010</t>
  </si>
  <si>
    <t>Nochas Investment (General Business)</t>
  </si>
  <si>
    <t>https://www.google.com/maps/search/?api=1&amp;query=1425+Broadway+St+W+Seminole+FL</t>
  </si>
  <si>
    <t>864 Executive Dr</t>
  </si>
  <si>
    <t>Hrb Investments LLC</t>
  </si>
  <si>
    <t>2131 16 513 0000 0050</t>
  </si>
  <si>
    <t>HRB Investments (General Office)</t>
  </si>
  <si>
    <t>https://www.google.com/maps/search/?api=1&amp;query=864+Executive+Dr+Seminole+FL</t>
  </si>
  <si>
    <t>808 Executive Dr</t>
  </si>
  <si>
    <t>Anermi LLC</t>
  </si>
  <si>
    <t>2131 16 513 0000 0120</t>
  </si>
  <si>
    <t>Anermi LLC (General Office)</t>
  </si>
  <si>
    <t>https://www.google.com/maps/search/?api=1&amp;query=808+Executive+Dr+Seminole+FL</t>
  </si>
  <si>
    <t>870 Clark St</t>
  </si>
  <si>
    <t>Aurorasp LLC</t>
  </si>
  <si>
    <t>2131 16 513 0000 0200</t>
  </si>
  <si>
    <t>AuroraSP (Tech/Software)</t>
  </si>
  <si>
    <t>https://www.google.com/maps/search/?api=1&amp;query=870+Clark+St+Seminole+FL</t>
  </si>
  <si>
    <t>820 Clark St</t>
  </si>
  <si>
    <t>820 Clark LLC</t>
  </si>
  <si>
    <t>2131 16 513 0000 0240</t>
  </si>
  <si>
    <t>820 Clark LLC (Industrial/Flex)</t>
  </si>
  <si>
    <t>https://www.google.com/maps/search/?api=1&amp;query=820+Clark+St+Seminole+FL</t>
  </si>
  <si>
    <t>2020 Winter Springs Blvd</t>
  </si>
  <si>
    <t>Keen Properties 3 LLC The</t>
  </si>
  <si>
    <t>2131 16 519 0200 0000</t>
  </si>
  <si>
    <t>The Keen Properties (Real Estate)</t>
  </si>
  <si>
    <t>https://www.google.com/maps/search/?api=1&amp;query=2020+Winter+Springs+Blvd+Seminole+FL</t>
  </si>
  <si>
    <t>15 Windsormere Way</t>
  </si>
  <si>
    <t>My Parents Place LLC</t>
  </si>
  <si>
    <t>2131 16 522 0000 0020</t>
  </si>
  <si>
    <t>My Parents Place (Assisted Living/Residential)</t>
  </si>
  <si>
    <t>https://www.google.com/maps/search/?api=1&amp;query=15+Windsormere+Way+Seminole+FL</t>
  </si>
  <si>
    <t>35 Windsormere Way</t>
  </si>
  <si>
    <t>Ram Siyaram LLC</t>
  </si>
  <si>
    <t>2131 16 522 0000 0040</t>
  </si>
  <si>
    <t>Ram Siyaram (General Business)</t>
  </si>
  <si>
    <t>https://www.google.com/maps/search/?api=1&amp;query=35+Windsormere+Way+Seminole+FL</t>
  </si>
  <si>
    <t>2079 Winter Springs Blvd</t>
  </si>
  <si>
    <t>Broadway Dog Spot LLC Attn: Tax Dept</t>
  </si>
  <si>
    <t>2131 16 524 0000 0020</t>
  </si>
  <si>
    <t>The Dog Spot (Pet Grooming/Boarding)</t>
  </si>
  <si>
    <t>https://www.google.com/maps/search/?api=1&amp;query=2079+Winter+Springs+Blvd+Seminole+FL</t>
  </si>
  <si>
    <t>3000 Dovera Dr</t>
  </si>
  <si>
    <t>A Duda &amp; Sons Inc</t>
  </si>
  <si>
    <t>2131 17 300 001Q 0000</t>
  </si>
  <si>
    <t>A. Duda &amp; Sons (Agricultural HQ)</t>
  </si>
  <si>
    <t>https://www.google.com/maps/search/?api=1&amp;query=3000+Dovera+Dr+Seminole+FL</t>
  </si>
  <si>
    <t>7139 Red Bug Lake Rd</t>
  </si>
  <si>
    <t>7139 Red Bug Oviedo Re LLC Attn: Lease Admin</t>
  </si>
  <si>
    <t>2131 19 514 0000 0040</t>
  </si>
  <si>
    <t>Tires Plus (Auto Repair)</t>
  </si>
  <si>
    <t>https://www.google.com/maps/search/?api=1&amp;query=7139+Red+Bug+Lake+Rd+Seminole+FL</t>
  </si>
  <si>
    <t>7400 Red Bug Lake Rd</t>
  </si>
  <si>
    <t>Uscofw 7400 Red Bug Lake Road LLC</t>
  </si>
  <si>
    <t>2131 20 504 0000 0010</t>
  </si>
  <si>
    <t>Extra Space Storage</t>
  </si>
  <si>
    <t>https://www.google.com/maps/search/?api=1&amp;query=7400+Red+Bug+Lake+Rd+Seminole+FL</t>
  </si>
  <si>
    <t>2386 SR 426 W</t>
  </si>
  <si>
    <t>Canine Properties Of Orlando LLC</t>
  </si>
  <si>
    <t>2131 20 5CB 0000 0060</t>
  </si>
  <si>
    <t>Dogtopia (Dog Daycare)</t>
  </si>
  <si>
    <t>https://www.google.com/maps/search/?api=1&amp;query=2386+SR+426+W+Seminole+FL</t>
  </si>
  <si>
    <t>2092 Church St</t>
  </si>
  <si>
    <t>Cnp One LLC</t>
  </si>
  <si>
    <t>2131 20 5CB 0000 00A0</t>
  </si>
  <si>
    <t>CNP One (Investment)</t>
  </si>
  <si>
    <t>https://www.google.com/maps/search/?api=1&amp;query=2092+Church+St+Seminole+FL</t>
  </si>
  <si>
    <t>290 Mitchell Hammock Rd W</t>
  </si>
  <si>
    <t>Oviedo W Mitchell Hammock Rd LLC</t>
  </si>
  <si>
    <t>2131 21 300 001B 0000</t>
  </si>
  <si>
    <t>Mission Road Animal Clinic (Veterinary)</t>
  </si>
  <si>
    <t>https://www.google.com/maps/search/?api=1&amp;query=290+Mitchell+Hammock+Rd+W+Seminole+FL</t>
  </si>
  <si>
    <t>100 Alexandria Blvd</t>
  </si>
  <si>
    <t>Mabel Properties LLC</t>
  </si>
  <si>
    <t>2131 22 510 0000 0010</t>
  </si>
  <si>
    <t>Mabel Properties (General Office)</t>
  </si>
  <si>
    <t>https://www.google.com/maps/search/?api=1&amp;query=100+Alexandria+Blvd+Seminole+FL</t>
  </si>
  <si>
    <t>120 Alexandria Blvd</t>
  </si>
  <si>
    <t>2131 22 510 0000 0020</t>
  </si>
  <si>
    <t>https://www.google.com/maps/search/?api=1&amp;query=120+Alexandria+Blvd+Seminole+FL</t>
  </si>
  <si>
    <t>140 Alexandria Blvd</t>
  </si>
  <si>
    <t>Waterstone Fellowship Ministries Inc</t>
  </si>
  <si>
    <t>2131 22 510 0000 0030</t>
  </si>
  <si>
    <t>Waterstone Fellowship (Church)</t>
  </si>
  <si>
    <t>https://www.google.com/maps/search/?api=1&amp;query=140+Alexandria+Blvd+Seminole+FL</t>
  </si>
  <si>
    <t>1250 City View Ctr</t>
  </si>
  <si>
    <t>1250 City View Center LLC</t>
  </si>
  <si>
    <t>2131 22 520 0000 0030</t>
  </si>
  <si>
    <t>City View Center (General Office)</t>
  </si>
  <si>
    <t>https://www.google.com/maps/search/?api=1&amp;query=1250+City+View+Ctr+Seminole+FL</t>
  </si>
  <si>
    <t>1300 City View Ctr</t>
  </si>
  <si>
    <t>2131 22 520 0000 0050</t>
  </si>
  <si>
    <t>Future Realty (Real Estate)</t>
  </si>
  <si>
    <t>https://www.google.com/maps/search/?api=1&amp;query=1300+City+View+Ctr+Seminole+FL</t>
  </si>
  <si>
    <t>1350 City View Ctr</t>
  </si>
  <si>
    <t>Mahatma LLC</t>
  </si>
  <si>
    <t>2131 22 520 0000 0070</t>
  </si>
  <si>
    <t>Mahatma LLC (General Office)</t>
  </si>
  <si>
    <t>https://www.google.com/maps/search/?api=1&amp;query=1350+City+View+Ctr+Seminole+FL</t>
  </si>
  <si>
    <t>2100 Alafaya Trl</t>
  </si>
  <si>
    <t>Watson Properties 3 LLC</t>
  </si>
  <si>
    <t>2131 27 300 022D 0000</t>
  </si>
  <si>
    <t>https://www.google.com/maps/search/?api=1&amp;query=2100+Alafaya+Trl+Seminole+FL</t>
  </si>
  <si>
    <t>113 Chapman Rd W</t>
  </si>
  <si>
    <t>Stephen John Ratcliff Rev Trust &amp; Kaufmann Paul M</t>
  </si>
  <si>
    <t>2131 27 507 0000 0040</t>
  </si>
  <si>
    <t>Ratcliff/Kaufmann (Private/Residential)</t>
  </si>
  <si>
    <t>https://www.google.com/maps/search/?api=1&amp;query=113+Chapman+Rd+W+Seminole+FL</t>
  </si>
  <si>
    <t>2959 Alafaya Trl</t>
  </si>
  <si>
    <t>Emf Of Winter Park Inc</t>
  </si>
  <si>
    <t>2131 27 5CC 0A00 0030</t>
  </si>
  <si>
    <t>EMF of Winter Park (Industrial)</t>
  </si>
  <si>
    <t>https://www.google.com/maps/search/?api=1&amp;query=2959+Alafaya+Trl+Seminole+FL</t>
  </si>
  <si>
    <t>2985 Alafaya Trl</t>
  </si>
  <si>
    <t>Alafaya Re LLC</t>
  </si>
  <si>
    <t>2131 27 5CC 0A00 0100</t>
  </si>
  <si>
    <t>Alafaya RE (Commercial Land)</t>
  </si>
  <si>
    <t>https://www.google.com/maps/search/?api=1&amp;query=2985+Alafaya+Trl+Seminole+FL</t>
  </si>
  <si>
    <t>2545 Connection Pt</t>
  </si>
  <si>
    <t>Cpcc Oviedo LLC</t>
  </si>
  <si>
    <t>2131 29 300 0070 0000</t>
  </si>
  <si>
    <t>CPCC Oviedo (School/Daycare)</t>
  </si>
  <si>
    <t>https://www.google.com/maps/search/?api=1&amp;query=2545+Connection+Pt+Seminole+FL</t>
  </si>
  <si>
    <t>2637 SR 426 W</t>
  </si>
  <si>
    <t>Bc Circle Group LLC</t>
  </si>
  <si>
    <t>2131 29 501 0000 0120</t>
  </si>
  <si>
    <t>BC Circle Group (Industrial)</t>
  </si>
  <si>
    <t>https://www.google.com/maps/search/?api=1&amp;query=2637+SR+426+W+Seminole+FL</t>
  </si>
  <si>
    <t>2584 SR 426 W</t>
  </si>
  <si>
    <t>Buxton Rock LLC</t>
  </si>
  <si>
    <t>2131 29 502 0000 002A</t>
  </si>
  <si>
    <t>Buxton Rock (Industrial)</t>
  </si>
  <si>
    <t>https://www.google.com/maps/search/?api=1&amp;query=2584+SR+426+W+Seminole+FL</t>
  </si>
  <si>
    <t>2784 Wrights Rd</t>
  </si>
  <si>
    <t>Central Fl Industrial LLC</t>
  </si>
  <si>
    <t>2131 31 512 0000 0010</t>
  </si>
  <si>
    <t>Central FL Industrial (Warehouse)</t>
  </si>
  <si>
    <t>https://www.google.com/maps/search/?api=1&amp;query=2784+Wrights+Rd+Seminole+FL</t>
  </si>
  <si>
    <t>5409 Deep Lake Rd</t>
  </si>
  <si>
    <t>Myka Property Ix LLC</t>
  </si>
  <si>
    <t>2131 31 517 0000 0020</t>
  </si>
  <si>
    <t>Myka Property (Residential Investment)</t>
  </si>
  <si>
    <t>https://www.google.com/maps/search/?api=1&amp;query=5409+Deep+Lake+Rd+Seminole+FL</t>
  </si>
  <si>
    <t>574 Econ River Pl</t>
  </si>
  <si>
    <t>Krnk LLC</t>
  </si>
  <si>
    <t>2131 33 502 0000 010A</t>
  </si>
  <si>
    <t>KRNK LLC (General Business)</t>
  </si>
  <si>
    <t>https://www.google.com/maps/search/?api=1&amp;query=574+Econ+River+Pl+Seminole+FL</t>
  </si>
  <si>
    <t>200 Palm Valley # 1080 Dr E</t>
  </si>
  <si>
    <t>Lre Palm Valley LLC</t>
  </si>
  <si>
    <t>2131 34 519 0000 1000</t>
  </si>
  <si>
    <t>LRE Palm Valley (Office/Flex)</t>
  </si>
  <si>
    <t>https://www.google.com/maps/search/?api=1&amp;query=200+Palm+Valley+%23+1080+Dr+E+Seminole+FL</t>
  </si>
  <si>
    <t>200 Palm Valley # 2000 Dr E</t>
  </si>
  <si>
    <t>Cppi Investments LLC</t>
  </si>
  <si>
    <t>2131 34 519 0000 2000</t>
  </si>
  <si>
    <t>Charles Perry Partners (Construction)</t>
  </si>
  <si>
    <t>https://www.google.com/maps/search/?api=1&amp;query=200+Palm+Valley+%23+2000+Dr+E+Seminole+FL</t>
  </si>
  <si>
    <t>3125 Washington St</t>
  </si>
  <si>
    <t>ORGR1</t>
  </si>
  <si>
    <t>2027 22 2736 09 033</t>
  </si>
  <si>
    <t>Unknown</t>
  </si>
  <si>
    <t>https://www.google.com/maps/search/3125+Washington+St,+FL</t>
  </si>
  <si>
    <t>777 Palm Dr</t>
  </si>
  <si>
    <t>Inland Group LLC</t>
  </si>
  <si>
    <t>2227 13 0004 01 002</t>
  </si>
  <si>
    <t>https://www.google.com/maps/search/777+Palm+Dr,+FL</t>
  </si>
  <si>
    <t>591 Susan B Britt Ct</t>
  </si>
  <si>
    <t>Land Acquisition Management Professi</t>
  </si>
  <si>
    <t>2227 13 0895 00 140</t>
  </si>
  <si>
    <t>https://www.google.com/maps/search/591+Susan+B+Britt+Ct,+FL</t>
  </si>
  <si>
    <t>160 Plant St E</t>
  </si>
  <si>
    <t>Parlor Re Wg LLC</t>
  </si>
  <si>
    <t>2227 23 2888 01 011</t>
  </si>
  <si>
    <t>Unknown (Parlor Re Wg LLC)</t>
  </si>
  <si>
    <t>https://www.google.com/maps/search/160+Plant+St+E,+FL</t>
  </si>
  <si>
    <t>8 Highland Av N</t>
  </si>
  <si>
    <t>Wgh Property LLC</t>
  </si>
  <si>
    <t>2227 23 2548 01 010</t>
  </si>
  <si>
    <t>https://www.google.com/maps/search/8+Highland+Av+N,+FL</t>
  </si>
  <si>
    <t>Advent Health University</t>
  </si>
  <si>
    <t>Building Age</t>
  </si>
  <si>
    <t>https://www.google.com/maps/search/5749+Westgate+Dr,+FL+R13</t>
  </si>
  <si>
    <t>**HCA Florida Maitland Emergency (Freestanding ER)** MEDICAL CENTER</t>
  </si>
  <si>
    <t>**AdventHealth Medical Group Cardiology** MEDICAL CENTER</t>
  </si>
  <si>
    <t>Orlando Medical Dental Center MEDICAL CENTER</t>
  </si>
  <si>
    <t>**Charter Research (Clinical Trials)** MEDICAL CENTER</t>
  </si>
  <si>
    <t>**Florida Lung, Asthma &amp; Sleep Specialists** MEDICAL CENTER</t>
  </si>
  <si>
    <t>Orlando Health Jewett Orthopedic Institute MEDICAL CENTER</t>
  </si>
  <si>
    <t>**HCA Florida Eustis Emergency Room** MEDICAL CENTER</t>
  </si>
  <si>
    <t>**Clermont VA Clinic (Veterans Affairs)** MEDICAL CENTER</t>
  </si>
  <si>
    <t>**Florida Cancer Specialists** MEDICAL CENTER</t>
  </si>
  <si>
    <t>Hematology and Oncology MEDICAL CENTER</t>
  </si>
  <si>
    <t>Vacant "2nd Gen Medical" for Lease (used to be DaVita Dialysis)</t>
  </si>
  <si>
    <t>Hospitals</t>
  </si>
  <si>
    <t>OVERALL SUMMARY BY CATEGORY</t>
  </si>
  <si>
    <t>Category</t>
  </si>
  <si>
    <t># Sales</t>
  </si>
  <si>
    <t>Total Volume</t>
  </si>
  <si>
    <t>Avg Price</t>
  </si>
  <si>
    <t>Median Price</t>
  </si>
  <si>
    <t>Avg $/SF</t>
  </si>
  <si>
    <t>Median $/SF</t>
  </si>
  <si>
    <t>Avg Size (SF)</t>
  </si>
  <si>
    <t>TOTAL</t>
  </si>
  <si>
    <t>ANNUAL TRENDS (2020–2025)</t>
  </si>
  <si>
    <t>Year</t>
  </si>
  <si>
    <t>COUNTY BREAKDOWN</t>
  </si>
  <si>
    <t>BUILDING AGE ANALYSIS</t>
  </si>
  <si>
    <t>New (0–10 yrs)</t>
  </si>
  <si>
    <t>Normal (11–25 yrs)</t>
  </si>
  <si>
    <t>Old (26+ yrs)</t>
  </si>
  <si>
    <t>Min Price</t>
  </si>
  <si>
    <t>Max Price</t>
  </si>
  <si>
    <t>SIZE BRACKET ANALYSIS</t>
  </si>
  <si>
    <t>Size Bracket</t>
  </si>
  <si>
    <t>Small (&lt; 3,000 SF)</t>
  </si>
  <si>
    <t>Mid-Small (3,000–5,999 SF)</t>
  </si>
  <si>
    <t>Mid (6,000–9,999 SF)</t>
  </si>
  <si>
    <t>Mid-Large (10,000–19,999 SF)</t>
  </si>
  <si>
    <t>Large (20,000+ SF)</t>
  </si>
  <si>
    <t>KEY MARKET METRICS FOR BUYERS</t>
  </si>
  <si>
    <t>Overall Median $/SF (All Sales)</t>
  </si>
  <si>
    <t>Overall Median Price (All Sales)</t>
  </si>
  <si>
    <t>Overall Median Building Size (SF)</t>
  </si>
  <si>
    <t>Most Active Year (by # Sales)</t>
  </si>
  <si>
    <t>Highest Volume Year (by $)</t>
  </si>
  <si>
    <t>Most Expensive County (Median $/SF)</t>
  </si>
  <si>
    <t>Most Affordable County (Median $/SF)</t>
  </si>
  <si>
    <t>&lt; 3K SF</t>
  </si>
  <si>
    <t>3–6K SF</t>
  </si>
  <si>
    <t>6–10K SF</t>
  </si>
  <si>
    <t>10–20K SF</t>
  </si>
  <si>
    <t>20K+ SF</t>
  </si>
  <si>
    <t>CENTRAL FLORIDA MEDICAL REAL ESTATE — 2020 ANNUAL REPORT</t>
  </si>
  <si>
    <t>Medical Office Building Sales | January–December 2020 | Orange, Seminole, Osceola &amp; Lake Counties</t>
  </si>
  <si>
    <t>2020 SNAPSHOT SUMMARY</t>
  </si>
  <si>
    <t>COUNTY BREAKDOWN — 2020</t>
  </si>
  <si>
    <t>🏥 LOCAL BUYER GUIDE — Doctor / Practice Owner (Under 6,000 SF)</t>
  </si>
  <si>
    <t>KEY METRICS — Small Practice Buildings (&lt; 6,000 SF)</t>
  </si>
  <si>
    <t>Total Small Practice Sales (2020)</t>
  </si>
  <si>
    <t>Average Price</t>
  </si>
  <si>
    <t>Average $/SF</t>
  </si>
  <si>
    <t>Avg Building Size (SF)</t>
  </si>
  <si>
    <t>Price Range — Lowest</t>
  </si>
  <si>
    <t>Price Range — Highest</t>
  </si>
  <si>
    <t>By County — Small Practice Buildings (&lt; 6,000 SF)</t>
  </si>
  <si>
    <t>🏢 INSTITUTIONAL BUYER GUIDE — Large Medical Buildings (10,000+ SF)</t>
  </si>
  <si>
    <t>KEY METRICS — Institutional-Grade Buildings (10,000+ SF)</t>
  </si>
  <si>
    <t>Total Large Building Sales (2020)</t>
  </si>
  <si>
    <t>By County — Large Buildings (10,000+ SF)</t>
  </si>
  <si>
    <t>By Category — Large Buildings (10,000+ SF)</t>
  </si>
  <si>
    <t>FULL 2020 SALES LIST (Sorted by Price, Low → High)</t>
  </si>
  <si>
    <t>Property Address</t>
  </si>
  <si>
    <t>Date</t>
  </si>
  <si>
    <t>Size (SF)</t>
  </si>
  <si>
    <t>Yr Built</t>
  </si>
  <si>
    <t>Old</t>
  </si>
  <si>
    <t>Normal</t>
  </si>
  <si>
    <t>New</t>
  </si>
  <si>
    <t>Multi-Tenant</t>
  </si>
  <si>
    <t>Buyer Type</t>
  </si>
  <si>
    <t>Local (&lt; 6K SF)</t>
  </si>
  <si>
    <t>Institutional (10K+ SF)</t>
  </si>
  <si>
    <t>COLOR KEY:</t>
  </si>
  <si>
    <t xml:space="preserve">  ● Green text = Small Practice (&lt; 6,000 SF) — Local Buyer Target</t>
  </si>
  <si>
    <t xml:space="preserve">  ● Blue bold text = Large Building (10,000+ SF) — Institutional Buyer Target</t>
  </si>
  <si>
    <t>💡 KEY TAKEAWAY FOR DOCTORS / PRACTICE OWNERS</t>
  </si>
  <si>
    <t>In 2020, a doctor looking to buy a small practice building could expect:</t>
  </si>
  <si>
    <t xml:space="preserve">  • Entry possible as low as $210K (Lake County)</t>
  </si>
  <si>
    <t>💡 KEY TAKEAWAY FOR INSTITUTIONAL BUYERS</t>
  </si>
  <si>
    <t>In 2020, institutional buyers targeting large medical buildings saw:</t>
  </si>
  <si>
    <t>🏥 MID-MARKET GUIDE — Group Practice / Small Clinic (6,000–9,999 SF)</t>
  </si>
  <si>
    <t>KEY METRICS — Mid-Size Buildings (6,000–9,999 SF)</t>
  </si>
  <si>
    <t>Total Mid-Market Sales (2020)</t>
  </si>
  <si>
    <t>By County — Mid-Size Buildings (6,000–9,999 SF)</t>
  </si>
  <si>
    <t>💡 KEY TAKEAWAY FOR GROUP PRACTICES / SMALL CLINICS</t>
  </si>
  <si>
    <t>In 2020, group practices looking for 6K–10K SF buildings found:</t>
  </si>
  <si>
    <t xml:space="preserve">  • 8 sales in this size bracket — 27% of total 2020 market</t>
  </si>
  <si>
    <t xml:space="preserve">  • Median price: $2.35M at $348/SF — highest $/SF of any size bracket</t>
  </si>
  <si>
    <t xml:space="preserve">  • Orange County dominated (5 of 8 sales) at $399/SF median</t>
  </si>
  <si>
    <t xml:space="preserve">  • Zero sales in Lake County — no mid-market product available</t>
  </si>
  <si>
    <t xml:space="preserve">  • Price range: $780K–$3.57M — wide variance by location &amp; condition</t>
  </si>
  <si>
    <t xml:space="preserve">  • $/SF premium: Mid-market buildings traded 34% above small practices</t>
  </si>
  <si>
    <t xml:space="preserve">  ● Orange italic text = Mid-Market (6,000–9,999 SF) — Group Practice Target</t>
  </si>
  <si>
    <t>MEDICAL ONLY (Excluding Hospitals) — Cleaner Comp Set</t>
  </si>
  <si>
    <t>Orange (excl. Hospitals)</t>
  </si>
  <si>
    <t>All Counties (excl. Hospitals)</t>
  </si>
  <si>
    <t>NOTE: Hospitals have very different $/SF profiles ($79/SF avg in 2020) and can skew county medians. This section isolates true medical office comps.</t>
  </si>
  <si>
    <t>📅 BUILDING AGE ANALYSIS — 2020 Sales</t>
  </si>
  <si>
    <t>$/SF Premium vs Old</t>
  </si>
  <si>
    <t>Baseline</t>
  </si>
  <si>
    <t>KEY INSIGHTS:</t>
  </si>
  <si>
    <t>New (0-10 yrs)</t>
  </si>
  <si>
    <t>Normal (11-25 yrs)</t>
  </si>
  <si>
    <t>Buyer Segment</t>
  </si>
  <si>
    <t>Mid-Market (6-10K SF)</t>
  </si>
  <si>
    <t xml:space="preserve">*2020 to 2025 Office Sales Data - Sorted via Google Gemini and Claude. Manual sorting via Nico Bañez. </t>
  </si>
  <si>
    <t>*Filter data of exclusively medical office sales and excluding nominal sales ($100)*</t>
  </si>
  <si>
    <t>Outlier?</t>
  </si>
  <si>
    <t>Yes</t>
  </si>
  <si>
    <t>Reason</t>
  </si>
  <si>
    <t>Outlier</t>
  </si>
  <si>
    <t xml:space="preserve">  • Median purchase price around $740K for a ~3,600 SF building</t>
  </si>
  <si>
    <t xml:space="preserve">  • Median $/SF of $242 — competitive entry point</t>
  </si>
  <si>
    <t xml:space="preserve">  • Lake County remained the most affordable market for small practices</t>
  </si>
  <si>
    <t xml:space="preserve">  • 12 of 24 adjusted sales (50%) were under 6K SF — half the market is small-practice product</t>
  </si>
  <si>
    <t xml:space="preserve">  • After removing $/SF outliers, pricing was tightly clustered around $240-255/SF</t>
  </si>
  <si>
    <t xml:space="preserve">  • Only 5 adjusted deals over 10K SF — very limited supply</t>
  </si>
  <si>
    <t xml:space="preserve">  • Median deal size: $5.1M at ~$220/SF — lower $/SF than small buildings</t>
  </si>
  <si>
    <t xml:space="preserve">  • Multi-Tenant Medical dominated the large-building segment</t>
  </si>
  <si>
    <t xml:space="preserve">  • Orange County was the primary institutional market</t>
  </si>
  <si>
    <t xml:space="preserve">  • Avg building size: ~16,600 SF — typical multi-tenant medical office</t>
  </si>
  <si>
    <t xml:space="preserve">  • With outliers removed, institutional pricing was more consistent</t>
  </si>
  <si>
    <t xml:space="preserve">  • New buildings (0–10 yrs) now show highest median $/SF ($332) after outlier adjustment — confirms premium for modern construction</t>
  </si>
  <si>
    <t xml:space="preserve">  • Normal-age (11–25 yrs) at $221/SF and Old (26+ yrs) at $257/SF — older buildings priced higher than mid-age, likely reflecting smaller sizes and medical tenant premiums</t>
  </si>
  <si>
    <t>Florida Cancer Specialists MEDICAL CENTER</t>
  </si>
  <si>
    <t>Clermont VA Clinic (Veterans Affairs) MEDICAL CENTER</t>
  </si>
  <si>
    <t>Kim Chiropractic Clinic</t>
  </si>
  <si>
    <t>Lifeskills Orlando (Outpatient Therapy)</t>
  </si>
  <si>
    <t>World of Pediatrics (Dr. Rafay Khan)</t>
  </si>
  <si>
    <t>Optum - Lake Ivanhoe (Primary Care)</t>
  </si>
  <si>
    <t>Complete Care Lake Mary (Injury/Rehab)</t>
  </si>
  <si>
    <t>Akumin (Radiology &amp; Imaging)</t>
  </si>
  <si>
    <t>Yes! Dental Associates</t>
  </si>
  <si>
    <t>SimonMed Imaging - Winter Park</t>
  </si>
  <si>
    <t>CENTRAL FLORIDA MEDICAL REAL ESTATE — 2021 ANNUAL REPORT</t>
  </si>
  <si>
    <t>Medical Office Building Sales | January–December 2021 | Orange, Seminole, Osceola &amp; Lake Counties</t>
  </si>
  <si>
    <t>2021 SNAPSHOT SUMMARY</t>
  </si>
  <si>
    <t>COUNTY BREAKDOWN — 2021</t>
  </si>
  <si>
    <t>NOTE: Hospitals have very different $/SF profiles and can skew county medians. This section isolates true medical office comps.</t>
  </si>
  <si>
    <t>In 2021, a doctor looking to buy a small practice building could expect:</t>
  </si>
  <si>
    <t>Total Small Practice Sales (2021)</t>
  </si>
  <si>
    <t>In 2021, group practices looking for 6K–10K SF buildings found:</t>
  </si>
  <si>
    <t>Total Mid-Market Sales (2021)</t>
  </si>
  <si>
    <t>In 2021, institutional buyers targeting large medical buildings saw:</t>
  </si>
  <si>
    <t>Total Large Building Sales (2021)</t>
  </si>
  <si>
    <t>BUILDING AGE ANALYSIS — 2021 (Adjusted, Outliers Excluded)</t>
  </si>
  <si>
    <t>Age Category</t>
  </si>
  <si>
    <t>💡 Building Age Insight: New buildings typically command highest $/SF. If they don't, outlier sales may be skewing the data — check the Outlier column in the sales list.</t>
  </si>
  <si>
    <t>FULL 2021 SALES LIST (Sorted by Price, Low → High)</t>
  </si>
  <si>
    <t>Medi-Weightloss Center Winter Park</t>
  </si>
  <si>
    <t>Physical Therapy Now Sanford</t>
  </si>
  <si>
    <t>Wholistic Dental Care</t>
  </si>
  <si>
    <t>Desai Dental (Winter Park Family Dentist)</t>
  </si>
  <si>
    <t>Newman Plastic Surgery</t>
  </si>
  <si>
    <t>Live Implant Training (Dental Implant Center)</t>
  </si>
  <si>
    <t>Plaza Dental (Dr. Efrain Plaza)</t>
  </si>
  <si>
    <t>Family First Homecare (Pediatric)</t>
  </si>
  <si>
    <t>Wolf Chiropractic Kissimmee</t>
  </si>
  <si>
    <t>Caya Health (Family Medicine/Counseling)</t>
  </si>
  <si>
    <t>Radiology and Imaging Specialists (RIS)</t>
  </si>
  <si>
    <t>Evolve Aesthetics (Medical Spa)</t>
  </si>
  <si>
    <t>HealthyMD (Primary Care/Wellness)</t>
  </si>
  <si>
    <t>Knight Dermatology Institute</t>
  </si>
  <si>
    <t>AdventHealth Centra Care Ocoee</t>
  </si>
  <si>
    <t>Winter Springs Endodontics</t>
  </si>
  <si>
    <t>Terracina Dental Care</t>
  </si>
  <si>
    <t>Multi-Tenant (Endocrinology / Dialysis)</t>
  </si>
  <si>
    <t>HCA Florida Eustis Emergency Room MEDICAL CENTER</t>
  </si>
  <si>
    <t>West Orange Professional Center</t>
  </si>
  <si>
    <t>AdventHealth Medical Group Cardiology MEDICAL CENTER</t>
  </si>
  <si>
    <t>Nemours Children's Health</t>
  </si>
  <si>
    <t>HCA Florida Maitland Emergency (Freestanding ER) MEDICAL CENTER</t>
  </si>
  <si>
    <t xml:space="preserve">  • Median purchase price of $621K for a ~3,600 SF building</t>
  </si>
  <si>
    <t xml:space="preserve">  • Median $/SF of $225 — competitive entry point vs. larger buildings</t>
  </si>
  <si>
    <t xml:space="preserve">  • Orange County had the most inventory (12 small sales)</t>
  </si>
  <si>
    <t xml:space="preserve">  • Seminole County offered best value ($225/SF median)</t>
  </si>
  <si>
    <t xml:space="preserve">  • Entry possible as low as $243K — strong bottom for small buyers</t>
  </si>
  <si>
    <t xml:space="preserve">  • 33 of 53 sales (62%) were under 6K SF — robust small-building market</t>
  </si>
  <si>
    <t xml:space="preserve">  • Only 5 mid-market sales in 2021 — very limited inventory</t>
  </si>
  <si>
    <t xml:space="preserve">  • Median price of $2.3M at $377/SF — significant $/SF premium</t>
  </si>
  <si>
    <t xml:space="preserve">  • $/SF premium of ~68% over small buildings ($377 vs $225)</t>
  </si>
  <si>
    <t xml:space="preserve">  • Price range $545K–$3.6M — wide spread reflects varying quality</t>
  </si>
  <si>
    <t xml:space="preserve">  • Orange County dominated with most mid-market product</t>
  </si>
  <si>
    <t xml:space="preserve">  • Low supply = competitive bidding for group practice space</t>
  </si>
  <si>
    <t xml:space="preserve">  • 15 deals over 10K SF — triple 2020's volume (5 deals)</t>
  </si>
  <si>
    <t xml:space="preserve">  • Median deal size: $5.05M at $252/SF</t>
  </si>
  <si>
    <t xml:space="preserve">  • Avg building size: 24,040 SF — true institutional-grade product</t>
  </si>
  <si>
    <t xml:space="preserve">  • Orange County was the primary market (most large-building sales)</t>
  </si>
  <si>
    <t xml:space="preserve">  • Hospital sales commanded premium: $529/SF median vs $235 medical</t>
  </si>
  <si>
    <t xml:space="preserve">  • Max sale: $15.5M — strong appetite for large medical assets</t>
  </si>
  <si>
    <t>CENTRAL FLORIDA MEDICAL REAL ESTATE — 2022 ANNUAL REPORT</t>
  </si>
  <si>
    <t>Medical Office Building Sales | January–December 2022 | Orange, Seminole, Osceola &amp; Lake Counties</t>
  </si>
  <si>
    <t>2022 SNAPSHOT SUMMARY</t>
  </si>
  <si>
    <t>COUNTY BREAKDOWN — 2022</t>
  </si>
  <si>
    <t>⏳ Takeaway text will be updated after you flag outliers.</t>
  </si>
  <si>
    <t>Total Small Practice Sales (2022)</t>
  </si>
  <si>
    <t>🏢 MID-MARKET GUIDE — Group Practice / Small Investor (6,000–10,000 SF)</t>
  </si>
  <si>
    <t>💡 KEY TAKEAWAY FOR MID-MARKET BUYERS</t>
  </si>
  <si>
    <t>KEY METRICS — Mid-Market Buildings (6,000–10,000 SF)</t>
  </si>
  <si>
    <t>Total Mid-Market Sales (2022)</t>
  </si>
  <si>
    <t>By County — Mid-Market Buildings (6,000–10,000 SF)</t>
  </si>
  <si>
    <t>Total Large Building Sales (2022)</t>
  </si>
  <si>
    <t>BUILDING AGE ANALYSIS — 2022 $/SF by Age Bracket</t>
  </si>
  <si>
    <t>Age Bracket</t>
  </si>
  <si>
    <t>New (0–5 yrs)</t>
  </si>
  <si>
    <t>Mid (6–20 yrs)</t>
  </si>
  <si>
    <t>Older (21+ yrs)</t>
  </si>
  <si>
    <t>Insight: Review after flagging outliers — new buildings should typically command highest $/SF.</t>
  </si>
  <si>
    <t>FULL 2022 SALES LIST (Sorted by Price, Low → High)</t>
  </si>
  <si>
    <t>My HealthMatrix (Hormone Therapy/Wellness)</t>
  </si>
  <si>
    <t>Schweiger Dermatology Group</t>
  </si>
  <si>
    <t>Center for Ankle &amp; Foot Care (Podiatry)</t>
  </si>
  <si>
    <t>Healing Psychiatry of Florida</t>
  </si>
  <si>
    <t>Witt Dermatology (Dr. Amy Witt)</t>
  </si>
  <si>
    <t>AdventHealth Medical Group (Family Medicine)</t>
  </si>
  <si>
    <t>HealthShare / Med-Surg Aesthetics</t>
  </si>
  <si>
    <t>The Spa Orlando (Massage &amp; Wellness)</t>
  </si>
  <si>
    <t>Mills Dental Group</t>
  </si>
  <si>
    <t>Life Concepts / Quest, Inc. (Disability Care)</t>
  </si>
  <si>
    <t>CAN Community Health / Miracle of Love</t>
  </si>
  <si>
    <t>PremierMED Family Practice &amp; Sports Medicine</t>
  </si>
  <si>
    <t>AdventHealth Sports Medicine &amp; Rehab</t>
  </si>
  <si>
    <t>Conquest Research (Medical Research Institute)</t>
  </si>
  <si>
    <t>AJH Complete Care (Primary Care)</t>
  </si>
  <si>
    <t>Regal Pointe (Urology Wellness / Magruder Laser)</t>
  </si>
  <si>
    <t>AdventHealth (Hospital Support/Admin)</t>
  </si>
  <si>
    <t>Flagship Healthcare Properties (Medical REIT)</t>
  </si>
  <si>
    <t>Salud Integral En La Montana (Medical Clinic)</t>
  </si>
  <si>
    <t xml:space="preserve">  ● Orange italic = Mid-Market (6,000–10,000 SF) — Group Practice Target</t>
  </si>
  <si>
    <t xml:space="preserve">  ● Blue bold = Large Building (10,000+ SF) — Institutional Buyer Target</t>
  </si>
  <si>
    <t xml:space="preserve">  ● Red background row = Flagged Outlier (type 'Yes' in column K)</t>
  </si>
  <si>
    <t>"Medical"</t>
  </si>
  <si>
    <t>"Multi-Tenant"</t>
  </si>
  <si>
    <t>"Hospitals"</t>
  </si>
  <si>
    <t>"Orange"</t>
  </si>
  <si>
    <t>"Seminole"</t>
  </si>
  <si>
    <t>"Osceola"</t>
  </si>
  <si>
    <t>"Lake"</t>
  </si>
  <si>
    <t>"Local (&lt; 6K SF)"</t>
  </si>
  <si>
    <t>"Institutional (10K+ SF)"</t>
  </si>
  <si>
    <t>CENTRAL FLORIDA MEDICAL REAL ESTATE — 2023 ANNUAL REPORT</t>
  </si>
  <si>
    <t>Medical Office Building Sales | January–December 2023 | Orange, Seminole, Osceola &amp; Lake Counties</t>
  </si>
  <si>
    <t>2023 SNAPSHOT SUMMARY</t>
  </si>
  <si>
    <t>COUNTY BREAKDOWN — 2023</t>
  </si>
  <si>
    <t>Total Sales (2023)</t>
  </si>
  <si>
    <t>BUILDING AGE ANALYSIS — 2023 $/SF by Age Bracket</t>
  </si>
  <si>
    <t>FULL 2023 SALES LIST (Sorted by Price, Low → High)</t>
  </si>
  <si>
    <t>Orlando Health General Surgery</t>
  </si>
  <si>
    <t>Orlando Dermatology Center (Dr. Blatnoy)</t>
  </si>
  <si>
    <t>Florida Emergency Medicine Foundation</t>
  </si>
  <si>
    <t>The Dermatology Group PA</t>
  </si>
  <si>
    <t>Maximized Living Health Center (Chiropractic)</t>
  </si>
  <si>
    <t>Lyon Counseling</t>
  </si>
  <si>
    <t>No longer Dr. Renee J. Mueller, MD (Colon and Rectal)</t>
  </si>
  <si>
    <t>Elegantly Dental</t>
  </si>
  <si>
    <t>Medical Office Development (Planned)</t>
  </si>
  <si>
    <t>Vision Source Maitland</t>
  </si>
  <si>
    <t>Premier Cardiology &amp; Vascular Associates</t>
  </si>
  <si>
    <t>CENTRAL FLORIDA MEDICAL REAL ESTATE — 2024 ANNUAL REPORT</t>
  </si>
  <si>
    <t>Medical Office Building Sales | January–December 2024 | Orange, Seminole, Osceola &amp; Lake Counties</t>
  </si>
  <si>
    <t>2024 SNAPSHOT SUMMARY</t>
  </si>
  <si>
    <t>COUNTY BREAKDOWN — 2024</t>
  </si>
  <si>
    <t>Total Sales (2024)</t>
  </si>
  <si>
    <t>💡 KEY TAKEAWAY — DOCTORS / PRACTICE OWNERS</t>
  </si>
  <si>
    <t>[Takeaway text will be added after outlier review]</t>
  </si>
  <si>
    <t>🏢 MID-MARKET GUIDE — Group Practice / Small Investor (6K–10K SF)</t>
  </si>
  <si>
    <t>KEY METRICS — Mid-Size Buildings (6,000–10,000 SF)</t>
  </si>
  <si>
    <t>💡 KEY TAKEAWAY — GROUP PRACTICES / SMALL INVESTORS</t>
  </si>
  <si>
    <t>By County — Mid-Size Buildings (6,000–10,000 SF)</t>
  </si>
  <si>
    <t>KEY METRICS — Large Medical Buildings (10,000+ SF)</t>
  </si>
  <si>
    <t>💡 KEY TAKEAWAY — INSTITUTIONAL BUYERS</t>
  </si>
  <si>
    <t>By County — Large Medical Buildings (10,000+ SF)</t>
  </si>
  <si>
    <t>BUILDING AGE ANALYSIS — 2024</t>
  </si>
  <si>
    <t>New (≤ 10 yrs)</t>
  </si>
  <si>
    <t>Mid-Age (11–25 yrs)</t>
  </si>
  <si>
    <t>Older (25+ yrs)</t>
  </si>
  <si>
    <t>💡 Building age insight: [Will be updated after outlier review]</t>
  </si>
  <si>
    <t>FULL 2024 SALES LIST (Sorted by Price, Low → High)</t>
  </si>
  <si>
    <t>NOTE: Building Age = Sale Year − Year Built. New ≤ 10 yrs, Mid-Age 11–25 yrs, Older 25+ yrs</t>
  </si>
  <si>
    <t>Mid (6-10K SF)</t>
  </si>
  <si>
    <t>Institutional (10K+)</t>
  </si>
  <si>
    <t>CENTRAL FLORIDA MEDICAL REAL ESTATE — 2025 ANNUAL REPORT</t>
  </si>
  <si>
    <t>Medical Office Building Sales | January–December 2025 | Orange, Seminole, Osceola &amp; Lake Counties</t>
  </si>
  <si>
    <t>2025 SNAPSHOT SUMMARY</t>
  </si>
  <si>
    <t>COUNTY BREAKDOWN — 2025</t>
  </si>
  <si>
    <t>Total Sales (2025)</t>
  </si>
  <si>
    <t>BUILDING AGE ANALYSIS — 2025</t>
  </si>
  <si>
    <t>FULL 2025 SALES LIST (Sorted by Price, Low → High)</t>
  </si>
  <si>
    <t>CENTRAL FLORIDA MEDICAL RE — 6-YEAR TREND DASHBOARD</t>
  </si>
  <si>
    <t>2020–2025 | Adjusted for Outliers | Plug &amp; Play — flag outliers on each year tab to update</t>
  </si>
  <si>
    <t>OVERALL MARKET TREND (Outliers Excluded)</t>
  </si>
  <si>
    <t># Sales (Adjusted)</t>
  </si>
  <si>
    <t>Outliers Excluded</t>
  </si>
  <si>
    <t>BUYER SEGMENT TREND — Median $/SF</t>
  </si>
  <si>
    <t>🏥 Local (&lt; 6K SF)</t>
  </si>
  <si>
    <t>🏢 Mid-Market (6–10K SF)</t>
  </si>
  <si>
    <t>🏢 Institutional (10K+ SF)</t>
  </si>
  <si>
    <t>BUYER SEGMENT TREND — Median Price</t>
  </si>
  <si>
    <t>DEAL COUNT BY BUYER SEGMENT</t>
  </si>
  <si>
    <t>Condo</t>
  </si>
  <si>
    <t>Multi tenant sale/ bad Cap Rate?</t>
  </si>
  <si>
    <t>Low Grade building</t>
  </si>
  <si>
    <t>Newly built medical center</t>
  </si>
  <si>
    <t>Newly built medical center (bought before it was built)</t>
  </si>
  <si>
    <t>Advent Health</t>
  </si>
  <si>
    <t>MedExpress Urgent Care (Optum) MEDICAL CENTER</t>
  </si>
  <si>
    <t xml:space="preserve">Multi unit deal? Bad Cap rate/ old building?  </t>
  </si>
  <si>
    <t>Advant Health</t>
  </si>
  <si>
    <t xml:space="preserve"> </t>
  </si>
  <si>
    <t>Central Florida Cardiology Group MEDICAL CENTER</t>
  </si>
  <si>
    <t>Sanitas MEDICAL CENTER</t>
  </si>
  <si>
    <t>Old building and investment sale</t>
  </si>
  <si>
    <t>Appraiser Link</t>
  </si>
  <si>
    <t>weird buidling /old</t>
  </si>
  <si>
    <t xml:space="preserve">https://vgispublic.ocpafl.org/webmapjs/?pid=292202000000062 </t>
  </si>
  <si>
    <t>New build up</t>
  </si>
  <si>
    <t>Not all medical</t>
  </si>
  <si>
    <t>Built it</t>
  </si>
  <si>
    <t>Appriaser Link</t>
  </si>
  <si>
    <t>Sold for 1M in 2005</t>
  </si>
  <si>
    <t>Coastal Mental Health Center (Condo)</t>
  </si>
  <si>
    <t>Towne Center Animal Hospital (Condo)</t>
  </si>
  <si>
    <t>Hospital, but too small to go under our "large buildings cateory"</t>
  </si>
  <si>
    <t>idea: have the top 5 sales each year here</t>
  </si>
  <si>
    <t>https://www.scpafl.org/search/parcels/details/?APPRID=5333656</t>
  </si>
  <si>
    <t>Bought before built (2023)</t>
  </si>
  <si>
    <t>https://www.scpafl.org/search/parcels/details/?APPRID=5189374</t>
  </si>
  <si>
    <t>Super old</t>
  </si>
  <si>
    <t>https://search.property-appraiser.org/Search/MainSearch?pin=152529135000SL0010</t>
  </si>
  <si>
    <t>https://www.scpafl.org/search/parcels/details/?APPRID=5270636</t>
  </si>
  <si>
    <t>https://www.scpafl.org/search/parcels/details/?APPRID=5270651</t>
  </si>
  <si>
    <t>https://search.property-appraiser.org/Search/MainSearch?pin=222529149600010030</t>
  </si>
  <si>
    <t>Extreme</t>
  </si>
  <si>
    <t>New SimonMed</t>
  </si>
  <si>
    <t>https://vgispublic.ocpafl.org/webmapjs/?pid=292212066400100</t>
  </si>
  <si>
    <t>https://vgispublic.ocpafl.org/webmapjs/?pid=292203100000060</t>
  </si>
  <si>
    <t>https://vgispublic.ocpafl.org/webmapjs/?pid=272005309501000</t>
  </si>
  <si>
    <t>https://lakecopropappr.com/property-details.aspx?AltKey=1239371</t>
  </si>
  <si>
    <t>You guys now here?</t>
  </si>
  <si>
    <t>https://vgispublic.ocpafl.org/webmapjs/?pid=272224674704000</t>
  </si>
  <si>
    <t>https://vgispublic.ocpafl.org/webmapjs/?pid=292225250801091</t>
  </si>
  <si>
    <t>9401 Summit Centre Way</t>
  </si>
  <si>
    <t>https://vgispublic.ocpafl.org/webmapjs/?pid=292128549903000</t>
  </si>
  <si>
    <t>https://www.scpafl.org/search/parcels/details/?APPRID=5303476</t>
  </si>
  <si>
    <t>https://vgispublic.ocpafl.org/webmapjs/?pid=292225153601030</t>
  </si>
  <si>
    <t>https://www.scpafl.org/search/parcels/details/?APPRID=5329157</t>
  </si>
  <si>
    <t>https://www.scpafl.org/search/parcels/details/?APPRID=5296890</t>
  </si>
  <si>
    <t>https://vgispublic.ocpafl.org/webmapjs/?pid=292213278401031</t>
  </si>
  <si>
    <t>https://vgispublic.ocpafl.org/webmapjs/?pid=292125651603020</t>
  </si>
  <si>
    <t>https://www.scpafl.org/search/parcels/details/?APPRID=5367522</t>
  </si>
  <si>
    <t>https://vgispublic.ocpafl.org/webmapjs/?pid=292225506400240</t>
  </si>
  <si>
    <t>https://www.scpafl.org/search/parcels/details/?APPRID=5224560</t>
  </si>
  <si>
    <t>https://vgispublic.ocpafl.org/webmapjs/?pid=282106000000047</t>
  </si>
  <si>
    <t>https://vgispublic.ocpafl.org/webmapjs/?pid=292210882806130</t>
  </si>
  <si>
    <t>https://vgispublic.ocpafl.org/webmapjs/?pid=282236494901000</t>
  </si>
  <si>
    <t>https://vgispublic.ocpafl.org/webmapjs/?pid=272223288801040</t>
  </si>
  <si>
    <t>https://vgispublic.ocpafl.org/webmapjs/?pid=272325583902000</t>
  </si>
  <si>
    <t>Multi unit deal? Bad Cap rate/ old building?</t>
  </si>
  <si>
    <t>https://vgispublic.ocpafl.org/webmapjs/?pid=292125651503020</t>
  </si>
  <si>
    <t>Hospital, but too small to go under our "large buildings category"</t>
  </si>
  <si>
    <t>weird building /old</t>
  </si>
  <si>
    <t>Anton Rx (Pharmacy)</t>
  </si>
  <si>
    <t>Andres Health Holdings (Tenant Unconfirmed)</t>
  </si>
  <si>
    <t>Healthy West Orange / Community Hub</t>
  </si>
  <si>
    <t>Owner-Occupied Dental Office / Beauty Salon</t>
  </si>
  <si>
    <t>WellMed at Apopka</t>
  </si>
  <si>
    <t>Octapharma Plasma</t>
  </si>
  <si>
    <t>Agape's Way Home Health Care</t>
  </si>
  <si>
    <t>Optima Diagnostic Imaging</t>
  </si>
  <si>
    <t>West Orange Orthopaedics &amp; Sports Medicine</t>
  </si>
  <si>
    <t>Synergy HomeCare</t>
  </si>
  <si>
    <t>HCA Florida Maitland Emergency (Freestanding ER)</t>
  </si>
  <si>
    <t>Maitland Dentistry</t>
  </si>
  <si>
    <t>Central Florida Dreamplex (Disability Therapy)</t>
  </si>
  <si>
    <t>Central Florida Periodontics &amp; Implantology</t>
  </si>
  <si>
    <t>AdventHealth Medical Group Pulmonology</t>
  </si>
  <si>
    <t>Ascend Vision Partners / Herschel Lasik</t>
  </si>
  <si>
    <t>Florida Hospital Diabetes Institute</t>
  </si>
  <si>
    <t>AIDS Healthcare Foundation (AHF) Pharmacy</t>
  </si>
  <si>
    <t>Orlando Health Clinic (Family Medicine)</t>
  </si>
  <si>
    <t>Charter Research (Clinical Trials) MEDICAL CENTER</t>
  </si>
  <si>
    <t>Florida Lung, Asthma &amp; Sleep Specialists MEDICAL CENTER</t>
  </si>
  <si>
    <t>Park Place Behavioral Health</t>
  </si>
  <si>
    <t>Nova Health Medical Group (Primary Care)</t>
  </si>
  <si>
    <t>Acute Patient Care / Dr. Ajaz Afzal</t>
  </si>
  <si>
    <t>Kidney Care of Central Florida</t>
  </si>
  <si>
    <t>Advanced Kidney Care of Central Florida</t>
  </si>
  <si>
    <t>Astha Health Services (Hospitalist Group)</t>
  </si>
  <si>
    <t>Kids Therapy Tower / Acorn Health (ABA Therapy)</t>
  </si>
  <si>
    <t>Sanitas Medical Center (Urgent/Primary Care)</t>
  </si>
  <si>
    <t>Mid-Florida Cancer Centers (Oncology)</t>
  </si>
  <si>
    <t>Save On Dentistry</t>
  </si>
  <si>
    <t>Dr. Shakti Narain (Pulmonary &amp; Sleep)</t>
  </si>
  <si>
    <t>Deuk Spine Institute (Dr. Deukmedjian)</t>
  </si>
  <si>
    <t>Orlando Health Urology</t>
  </si>
  <si>
    <t>Active Pain &amp; Injury Center</t>
  </si>
  <si>
    <t>Dr. Howard Buchoff (Rheumatology)</t>
  </si>
  <si>
    <t>Altamonte Pediatric Associates</t>
  </si>
  <si>
    <t>CFP Physicians Group (Family Practice)</t>
  </si>
  <si>
    <t>Steven M. Hall, DMD (Oviedo Smiles)</t>
  </si>
  <si>
    <t>Oviedo Pharmacy (Independent)/Pharmacy on the Park</t>
  </si>
  <si>
    <t>Modern Foot &amp; Ankle</t>
  </si>
  <si>
    <t>Emergency Care Medical Center / Heartland Dental (O-Town West)</t>
  </si>
  <si>
    <t>Radiance Health Rx (Pharmacy &amp; Wellness)</t>
  </si>
  <si>
    <t>Colonial Marketplace (Lifetime Eyecare)</t>
  </si>
  <si>
    <t>Mabbette Professional Center (Multiple Clinics)</t>
  </si>
  <si>
    <t>Flow Haus Yoga (Wellness)</t>
  </si>
  <si>
    <t>ACAM Building</t>
  </si>
  <si>
    <t>Can do a side by side of "Deal Volumne by Buyer Segment" to the inflation rate</t>
  </si>
  <si>
    <t>Add conditional formatting to these</t>
  </si>
  <si>
    <t>You guys know here?</t>
  </si>
  <si>
    <t>how would the data look if you did medical (under 6kSF), medical (over 6k SF), multi tenant, and hospiral</t>
  </si>
  <si>
    <t>CENTRAL FLORIDA MEDICAL REAL ESTATE — FLAGGED OUTLIERS</t>
  </si>
  <si>
    <t>Properties flagged as outliers across 2020–2025 sales | Excluded from core comp set</t>
  </si>
  <si>
    <t>Total Outliers:</t>
  </si>
  <si>
    <t>CENTRAL FLORIDA MEDICAL REAL ESTATE  — MARKET OVERVIEW (OUTLIERS REMOVED)</t>
  </si>
  <si>
    <t>Medical Office Building Sales | 2020–2025 | Orange, Seminole, Osceola &amp; Lake Counties | Excludes Flagged Outliers</t>
  </si>
  <si>
    <t>10x average sale price</t>
  </si>
  <si>
    <t>https://vgispublic.ocpafl.org/webmapjs/?pid=292224883302000</t>
  </si>
  <si>
    <t>Hospitals (rename to: Medical Centers)</t>
  </si>
  <si>
    <t>Row Labels</t>
  </si>
  <si>
    <t>(All)</t>
  </si>
  <si>
    <t>Total Sales</t>
  </si>
  <si>
    <t>TOTAL SALES</t>
  </si>
  <si>
    <t>TOTAL VOLUME</t>
  </si>
  <si>
    <t>AVG SALE PRICE</t>
  </si>
  <si>
    <t>CENTRAL FLORIDA HCRE SALES REPORT</t>
  </si>
  <si>
    <t>Powered by: Lee &amp; Associates</t>
  </si>
  <si>
    <t>Medical Office Building Sales | Orange, Seminole, Osceola &amp; Lake Counties | 2020-2025</t>
  </si>
  <si>
    <t>Created by: Nico Bañez</t>
  </si>
  <si>
    <t>Min $/SF</t>
  </si>
  <si>
    <t>Max $/SF</t>
  </si>
  <si>
    <t>MEDIAN $/SF</t>
  </si>
  <si>
    <t>$/SF RANGE</t>
  </si>
  <si>
    <t>SALE PRICE RANGE</t>
  </si>
  <si>
    <t>COUNTY PRICING COMPARISON</t>
  </si>
  <si>
    <t>Avg Size</t>
  </si>
  <si>
    <t>AVG  $/SF</t>
  </si>
  <si>
    <t>MEDIAN SALE PRICE</t>
  </si>
  <si>
    <t>TOP SALES</t>
  </si>
  <si>
    <t>Address</t>
  </si>
  <si>
    <t>Size</t>
  </si>
  <si>
    <t>Tenant</t>
  </si>
  <si>
    <t>CATEGORY BREAKDOWN</t>
  </si>
  <si>
    <t>(Multiple Items)</t>
  </si>
  <si>
    <t>4. 10 - 20K SF</t>
  </si>
  <si>
    <t>5. 20K+ SF</t>
  </si>
  <si>
    <t>3. 6 - 10K SF</t>
  </si>
  <si>
    <t>2. 3 - 6K SF</t>
  </si>
  <si>
    <t>1. &lt; 3K SF</t>
  </si>
  <si>
    <t>CENTRAL FLORIDA HEALTHCARE REAL ESTATE — MARKET TRENDS (2020–2025)</t>
  </si>
  <si>
    <t>1. INTEREST RATE ENVIRONMENT</t>
  </si>
  <si>
    <t>2025 YTD</t>
  </si>
  <si>
    <t>Fed Funds Rate (Avg %)</t>
  </si>
  <si>
    <t>10-Year Treasury (Avg %)</t>
  </si>
  <si>
    <t>2. POPULATION GROWTH BY COUNTY</t>
  </si>
  <si>
    <t>2025 Est.</t>
  </si>
  <si>
    <t>Orange County</t>
  </si>
  <si>
    <t>Seminole County</t>
  </si>
  <si>
    <t>Lake County</t>
  </si>
  <si>
    <t>4-County Total</t>
  </si>
  <si>
    <t>3. MEDICAL OFFICE CONSTRUCTION COSTS</t>
  </si>
  <si>
    <t>Construction Cost ($/SF)</t>
  </si>
  <si>
    <t>N/A</t>
  </si>
  <si>
    <t>⚠️ Data behind paywall — requires RSMeans, Gordian, or Cumming construction cost reports. Enter your data above.</t>
  </si>
  <si>
    <t>4. HEALTHCARE REAL ESTATE CAP RATES</t>
  </si>
  <si>
    <t>Medical Office Cap Rate (%)</t>
  </si>
  <si>
    <t>⚠️ Data behind paywall — requires CBRE, JLL, or RCA cap rate surveys. Enter your data above.</t>
  </si>
  <si>
    <t xml:space="preserve">  Orange YoY Growth</t>
  </si>
  <si>
    <t xml:space="preserve">  Seminole YoY Growth</t>
  </si>
  <si>
    <t xml:space="preserve">  Osceola YoY Growth</t>
  </si>
  <si>
    <t xml:space="preserve">  Lake YoY Growth</t>
  </si>
  <si>
    <t>SOURCES &amp; REFERENCES</t>
  </si>
  <si>
    <t>Interest Rate Data</t>
  </si>
  <si>
    <t>Board of Governors of the Federal Reserve System. "Federal Funds Effective Rate [FEDFUNDS]." FRED, Federal Reserve Bank of St. Louis. Retrieved April 2025. https://fred.stlouisfed.org/series/FEDFUNDS</t>
  </si>
  <si>
    <t>Board of Governors of the Federal Reserve System. "Market Yield on U.S. Treasury Securities at 10-Year Constant Maturity [DGS10]." FRED, Federal Reserve Bank of St. Louis. Retrieved April 2025. https://fred.stlouisfed.org/series/DGS10</t>
  </si>
  <si>
    <t>Population Data</t>
  </si>
  <si>
    <t>Florida Legislature, Office of Economic &amp; Demographic Research (EDR). "County Area Profiles: Orange County, Osceola County." Retrieved April 2025. https://edr.state.fl.us/content/area-profiles/</t>
  </si>
  <si>
    <t>U.S. Census Bureau. "QuickFacts: Seminole County, FL; Lake County, FL." Retrieved April 2025. https://www.census.gov/quickfacts/</t>
  </si>
  <si>
    <t>Florida-Demographics.com. "Seminole County Demographics." Census-derived population estimates. Retrieved April 2025. https://www.florida-demographics.com/seminole-county-demographics</t>
  </si>
  <si>
    <t>Construction Cost &amp; Cap Rate Data (Not Yet Populated)</t>
  </si>
  <si>
    <t>Construction cost data requires a paid subscription to RSMeans/Gordian, Cumming Corp, or local contractor cost surveys. Cap rate data requires a paid subscription to CBRE Research, JLL Research, Revista, or Real Capital Analytics (MSCI).</t>
  </si>
  <si>
    <t>Methodology Notes</t>
  </si>
  <si>
    <t>Report prepared using data retrieved April 2025. All figures are subject to revision upon release of updated government estimates.</t>
  </si>
  <si>
    <t>5. MSA POPULATION COMPARISON (2020–2024)</t>
  </si>
  <si>
    <t>Metro Area (MSA)</t>
  </si>
  <si>
    <t>4-Year Growth</t>
  </si>
  <si>
    <t>Orlando-Kissimmee-Sanford, FL ★</t>
  </si>
  <si>
    <t>Dallas-Fort Worth-Arlington, TX</t>
  </si>
  <si>
    <t>Charlotte-Concord-Gastonia, NC-SC</t>
  </si>
  <si>
    <t>San Antonio-New Braunfels, TX</t>
  </si>
  <si>
    <t>Tampa-St. Petersburg-Clearwater, FL</t>
  </si>
  <si>
    <t>Nashville-Davidson-Murfreesboro-Franklin, TN</t>
  </si>
  <si>
    <t>Phoenix-Mesa-Scottsdale, AZ</t>
  </si>
  <si>
    <t>Miami-Fort Lauderdale-West Palm Beach, FL</t>
  </si>
  <si>
    <t>Population in thousands. Source: U.S. Census Bureau via FRED, Vintage 2024 estimates (July 1 of each year).</t>
  </si>
  <si>
    <t>MSA</t>
  </si>
  <si>
    <t>4-Year Growth (2020-2024)</t>
  </si>
  <si>
    <t>Orlando ★</t>
  </si>
  <si>
    <t>Dallas-Fort Worth</t>
  </si>
  <si>
    <t>Charlotte</t>
  </si>
  <si>
    <t>San Antonio</t>
  </si>
  <si>
    <t>Tampa</t>
  </si>
  <si>
    <t>Nashville</t>
  </si>
  <si>
    <t>Phoenix</t>
  </si>
  <si>
    <t>Miami</t>
  </si>
  <si>
    <t>MSA Population Comparison Data</t>
  </si>
  <si>
    <t>U.S. Census Bureau. "Annual Estimates of the Resident Population for Metropolitan Statistical Areas." Vintage 2024. Retrieved via FRED, Federal Reserve Bank of St. Louis, April 2025. Series: ORLPOP, DFWPOP, CGRPOP, SATPOP, TMAPOP, NVLPOP, PHXPOP, MIMPOP. https://fred.stlouisfed.org/release?rid=111</t>
  </si>
  <si>
    <t>Interest rates reflect annual averages of daily observations; 2025 figures represent January–April year-to-date averages. Population estimates for Seminole County (2021–2023) and Lake County (2021–2023) are linear interpolations between U.S. Census 2020 decennial counts and the latest available annual estimate. MSA population estimates are July 1 estimates from the Census Bureau's Vintage 2024 series. All other population figures are sourced directly from FL EDR or U.S. Census Bureau releases.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</si>
</sst>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164" formatCode="_(* #,##0_);_(* \(#,##0\);_(* &quot;-&quot;??_);_(@_)"/>
    <numFmt numFmtId="165" formatCode="#,##0\ &quot;SF&quot;\ "/>
    <numFmt numFmtId="166" formatCode="_(&quot;$&quot;* #,##0_);_(&quot;$&quot;* \(#,##0\);_(&quot;$&quot;* &quot;-&quot;??_);_(@_)"/>
    <numFmt numFmtId="167" formatCode="&quot;$&quot;#,##0.00"/>
    <numFmt numFmtId="168" formatCode="&quot;$&quot;#,##0"/>
    <numFmt numFmtId="169" formatCode="0.0%"/>
    <numFmt numFmtId="170" formatCode="&quot;$&quot;#,##0,,&quot;M&quot;"/>
    <numFmt numFmtId="171" formatCode="&quot;$&quot;#,##0,&quot;K&quot;"/>
    <numFmt numFmtId="172" formatCode="&quot;$&quot;#,##0,\K"/>
    <numFmt numFmtId="173" formatCode="#,##0&quot; SF&quot;"/>
    <numFmt numFmtId="174" formatCode="#,##0.0"/>
  </numFmts>
  <fonts count="104">
    <font>
      <sz val="12"/>
      <color theme="1"/>
      <name val="Aptos Narrow"/>
      <family val="2"/>
      <scheme val="minor"/>
    </font>
    <font>
      <sz val="12"/>
      <color theme="1"/>
      <name val="Aptos Narrow"/>
      <family val="2"/>
      <scheme val="minor"/>
    </font>
    <font>
      <sz val="12"/>
      <color rgb="FFFF0000"/>
      <name val="Aptos Narrow"/>
      <family val="2"/>
      <scheme val="minor"/>
    </font>
    <font>
      <u/>
      <sz val="12"/>
      <color theme="10"/>
      <name val="Aptos Narrow"/>
      <family val="2"/>
      <scheme val="minor"/>
    </font>
    <font>
      <b/>
      <sz val="20"/>
      <color theme="0"/>
      <name val="Aptos Narrow"/>
      <scheme val="minor"/>
    </font>
    <font>
      <b/>
      <sz val="12"/>
      <color theme="3" tint="0.249977111117893"/>
      <name val="Aptos Narrow"/>
      <scheme val="minor"/>
    </font>
    <font>
      <sz val="11"/>
      <color theme="3" tint="0.249977111117893"/>
      <name val="Aptos Narrow"/>
      <scheme val="minor"/>
    </font>
    <font>
      <sz val="12"/>
      <color theme="3" tint="0.249977111117893"/>
      <name val="Aptos Narrow"/>
      <scheme val="minor"/>
    </font>
    <font>
      <sz val="12"/>
      <color theme="3" tint="0.249977111117893"/>
      <name val="Aptos Narrow"/>
      <family val="2"/>
      <scheme val="minor"/>
    </font>
    <font>
      <sz val="12"/>
      <color theme="10"/>
      <name val="Aptos Narrow"/>
      <family val="2"/>
      <scheme val="minor"/>
    </font>
    <font>
      <b/>
      <sz val="11"/>
      <color theme="3" tint="0.249977111117893"/>
      <name val="Aptos Narrow"/>
      <scheme val="minor"/>
    </font>
    <font>
      <sz val="12"/>
      <color rgb="FF000000"/>
      <name val="Aptos Narrow"/>
      <family val="2"/>
      <scheme val="minor"/>
    </font>
    <font>
      <b/>
      <sz val="12"/>
      <color theme="1"/>
      <name val="Aptos Narrow"/>
      <scheme val="minor"/>
    </font>
    <font>
      <b/>
      <sz val="12"/>
      <color theme="3" tint="0.249977111117893"/>
      <name val="Aptos Narrow"/>
      <family val="2"/>
      <scheme val="minor"/>
    </font>
    <font>
      <b/>
      <sz val="20"/>
      <color rgb="FFFFFFFF"/>
      <name val="Aptos Narrow"/>
      <scheme val="minor"/>
    </font>
    <font>
      <sz val="12"/>
      <color theme="1"/>
      <name val="Aptos Narrow"/>
      <scheme val="minor"/>
    </font>
    <font>
      <b/>
      <sz val="12"/>
      <color rgb="FF000000"/>
      <name val="Aptos Narrow"/>
      <scheme val="minor"/>
    </font>
    <font>
      <b/>
      <sz val="18"/>
      <color rgb="FFFFFFFF"/>
      <name val="Aptos Narrow"/>
      <scheme val="minor"/>
    </font>
    <font>
      <i/>
      <sz val="12"/>
      <color rgb="FF666666"/>
      <name val="Aptos Narrow"/>
      <scheme val="minor"/>
    </font>
    <font>
      <b/>
      <sz val="14"/>
      <color rgb="FFFFFFFF"/>
      <name val="Aptos Narrow"/>
      <scheme val="minor"/>
    </font>
    <font>
      <b/>
      <sz val="11"/>
      <color rgb="FFFFFFFF"/>
      <name val="Aptos Narrow"/>
      <scheme val="minor"/>
    </font>
    <font>
      <b/>
      <sz val="11"/>
      <color theme="1"/>
      <name val="Aptos Narrow"/>
      <scheme val="minor"/>
    </font>
    <font>
      <sz val="11"/>
      <color theme="1"/>
      <name val="Aptos Narrow"/>
      <scheme val="minor"/>
    </font>
    <font>
      <b/>
      <sz val="10"/>
      <color theme="1"/>
      <name val="Aptos Narrow"/>
      <family val="2"/>
      <scheme val="minor"/>
    </font>
    <font>
      <b/>
      <sz val="10"/>
      <color rgb="FFFFFFFF"/>
      <name val="Aptos Narrow"/>
      <scheme val="minor"/>
    </font>
    <font>
      <b/>
      <sz val="10"/>
      <color theme="1"/>
      <name val="Aptos Narrow"/>
      <scheme val="minor"/>
    </font>
    <font>
      <b/>
      <sz val="11"/>
      <color rgb="FF2E7D32"/>
      <name val="Aptos Narrow"/>
      <scheme val="minor"/>
    </font>
    <font>
      <b/>
      <sz val="11"/>
      <color rgb="FF1565C0"/>
      <name val="Aptos Narrow"/>
      <scheme val="minor"/>
    </font>
    <font>
      <sz val="10"/>
      <color theme="1"/>
      <name val="Aptos Narrow"/>
      <scheme val="minor"/>
    </font>
    <font>
      <sz val="10"/>
      <color rgb="FF2E7D32"/>
      <name val="Aptos Narrow"/>
      <scheme val="minor"/>
    </font>
    <font>
      <sz val="10"/>
      <color rgb="FF1565C0"/>
      <name val="Aptos Narrow"/>
      <scheme val="minor"/>
    </font>
    <font>
      <b/>
      <sz val="10"/>
      <color rgb="FF1565C0"/>
      <name val="Aptos Narrow"/>
      <scheme val="minor"/>
    </font>
    <font>
      <sz val="11"/>
      <color rgb="FF000000"/>
      <name val="Aptos Narrow"/>
      <scheme val="minor"/>
    </font>
    <font>
      <b/>
      <sz val="11"/>
      <color rgb="FFE65100"/>
      <name val="Aptos Narrow"/>
      <scheme val="minor"/>
    </font>
    <font>
      <b/>
      <sz val="11"/>
      <color rgb="FF000000"/>
      <name val="Aptos Narrow"/>
      <scheme val="minor"/>
    </font>
    <font>
      <sz val="10"/>
      <color rgb="FF000000"/>
      <name val="Aptos Narrow"/>
      <scheme val="minor"/>
    </font>
    <font>
      <b/>
      <i/>
      <sz val="10"/>
      <color rgb="FFE65100"/>
      <name val="Aptos Narrow"/>
      <scheme val="minor"/>
    </font>
    <font>
      <b/>
      <sz val="12"/>
      <color rgb="FFFFFFFF"/>
      <name val="Aptos Narrow"/>
      <scheme val="minor"/>
    </font>
    <font>
      <b/>
      <i/>
      <sz val="9"/>
      <color rgb="FF7B1FA2"/>
      <name val="Aptos Narrow"/>
      <scheme val="minor"/>
    </font>
    <font>
      <b/>
      <sz val="12"/>
      <color rgb="FF2E7D32"/>
      <name val="Aptos Narrow"/>
      <scheme val="minor"/>
    </font>
    <font>
      <b/>
      <sz val="12"/>
      <color rgb="FFF57F17"/>
      <name val="Aptos Narrow"/>
      <scheme val="minor"/>
    </font>
    <font>
      <i/>
      <sz val="12"/>
      <color rgb="FF607D8B"/>
      <name val="Aptos Narrow"/>
      <scheme val="minor"/>
    </font>
    <font>
      <b/>
      <sz val="10"/>
      <color rgb="FF37474F"/>
      <name val="Aptos Narrow"/>
      <scheme val="minor"/>
    </font>
    <font>
      <sz val="10"/>
      <color theme="1"/>
      <name val="Aptos Narrow"/>
      <family val="2"/>
      <scheme val="minor"/>
    </font>
    <font>
      <sz val="10"/>
      <color rgb="FFE65100"/>
      <name val="Aptos Narrow"/>
      <scheme val="minor"/>
    </font>
    <font>
      <sz val="10"/>
      <color rgb="FFB71C1C"/>
      <name val="Aptos Narrow"/>
      <scheme val="minor"/>
    </font>
    <font>
      <b/>
      <sz val="10"/>
      <color rgb="FFB71C1C"/>
      <name val="Aptos Narrow"/>
      <scheme val="minor"/>
    </font>
    <font>
      <i/>
      <sz val="9"/>
      <color rgb="FF666666"/>
      <name val="Aptos Narrow"/>
      <scheme val="minor"/>
    </font>
    <font>
      <i/>
      <sz val="10"/>
      <color theme="1"/>
      <name val="Aptos Narrow"/>
      <scheme val="minor"/>
    </font>
    <font>
      <i/>
      <sz val="10"/>
      <color rgb="FFE65100"/>
      <name val="Aptos Narrow"/>
      <scheme val="minor"/>
    </font>
    <font>
      <i/>
      <sz val="10"/>
      <color rgb="FF215C98"/>
      <name val="Aptos Narrow"/>
      <scheme val="minor"/>
    </font>
    <font>
      <i/>
      <sz val="11"/>
      <color rgb="FF666666"/>
      <name val="Aptos Narrow"/>
      <scheme val="minor"/>
    </font>
    <font>
      <b/>
      <sz val="13"/>
      <color rgb="FFFFFFFF"/>
      <name val="Aptos Narrow"/>
      <scheme val="minor"/>
    </font>
    <font>
      <sz val="10"/>
      <color rgb="FF999999"/>
      <name val="Aptos Narrow"/>
      <scheme val="minor"/>
    </font>
    <font>
      <i/>
      <sz val="10"/>
      <color rgb="FF999999"/>
      <name val="Aptos Narrow"/>
      <scheme val="minor"/>
    </font>
    <font>
      <b/>
      <sz val="12"/>
      <color theme="1"/>
      <name val="Aptos Narrow"/>
      <family val="2"/>
      <scheme val="minor"/>
    </font>
    <font>
      <b/>
      <sz val="28"/>
      <color rgb="FF98002D"/>
      <name val="Aptos Narrow"/>
      <scheme val="minor"/>
    </font>
    <font>
      <b/>
      <sz val="14"/>
      <color rgb="FF666666"/>
      <name val="Aptos Narrow"/>
      <scheme val="minor"/>
    </font>
    <font>
      <b/>
      <sz val="36"/>
      <color rgb="FF98002D"/>
      <name val="Aptos Narrow"/>
      <scheme val="minor"/>
    </font>
    <font>
      <i/>
      <sz val="12"/>
      <color theme="1"/>
      <name val="Aptos Narrow"/>
      <scheme val="minor"/>
    </font>
    <font>
      <b/>
      <sz val="36"/>
      <color rgb="FFFFFFFF"/>
      <name val="Aptos Narrow (Body)"/>
    </font>
    <font>
      <i/>
      <sz val="16"/>
      <color theme="0"/>
      <name val="Aptos Narrow"/>
      <scheme val="minor"/>
    </font>
    <font>
      <b/>
      <i/>
      <sz val="14"/>
      <color theme="1"/>
      <name val="Aptos Narrow"/>
      <scheme val="minor"/>
    </font>
    <font>
      <b/>
      <sz val="26"/>
      <color rgb="FF98002D"/>
      <name val="Aptos Narrow"/>
      <scheme val="minor"/>
    </font>
    <font>
      <b/>
      <sz val="36"/>
      <color rgb="FF98002D"/>
      <name val="Calibri"/>
      <family val="2"/>
    </font>
    <font>
      <b/>
      <sz val="36"/>
      <color rgb="FFFFFFFF"/>
      <name val="Calibri"/>
      <family val="2"/>
    </font>
    <font>
      <b/>
      <sz val="24"/>
      <color rgb="FF98002D"/>
      <name val="Calibri"/>
      <family val="2"/>
    </font>
    <font>
      <b/>
      <sz val="48"/>
      <color rgb="FFFFFFFF"/>
      <name val="Calibri"/>
      <family val="2"/>
    </font>
    <font>
      <i/>
      <sz val="20"/>
      <color theme="0"/>
      <name val="Aptos Narrow"/>
      <scheme val="minor"/>
    </font>
    <font>
      <sz val="18"/>
      <color rgb="FF333333"/>
      <name val="Aptos Narrow"/>
      <scheme val="minor"/>
    </font>
    <font>
      <b/>
      <sz val="22"/>
      <color rgb="FF333333"/>
      <name val="Aptos Narrow"/>
      <scheme val="minor"/>
    </font>
    <font>
      <b/>
      <sz val="24"/>
      <color rgb="FFFFFFFF"/>
      <name val="Aptos Narrow"/>
      <scheme val="minor"/>
    </font>
    <font>
      <b/>
      <i/>
      <sz val="16"/>
      <color theme="0"/>
      <name val="Aptos Narrow"/>
      <scheme val="minor"/>
    </font>
    <font>
      <sz val="14"/>
      <color rgb="FF333333"/>
      <name val="Aptos Narrow"/>
      <scheme val="minor"/>
    </font>
    <font>
      <b/>
      <sz val="18"/>
      <color rgb="FF666666"/>
      <name val="Aptos Narrow"/>
      <scheme val="minor"/>
    </font>
    <font>
      <b/>
      <sz val="22"/>
      <color theme="1"/>
      <name val="Aptos Narrow"/>
      <scheme val="minor"/>
    </font>
    <font>
      <b/>
      <sz val="72"/>
      <color theme="1"/>
      <name val="Calibri Bold"/>
    </font>
    <font>
      <b/>
      <sz val="72"/>
      <color theme="1"/>
      <name val="Calibri"/>
      <family val="2"/>
    </font>
    <font>
      <b/>
      <sz val="14"/>
      <color rgb="FF1F4E79"/>
      <name val="Calibri"/>
      <family val="2"/>
    </font>
    <font>
      <b/>
      <sz val="12"/>
      <color rgb="FF1F4E79"/>
      <name val="Calibri"/>
      <family val="2"/>
    </font>
    <font>
      <b/>
      <sz val="12"/>
      <color rgb="FFFFFFFF"/>
      <name val="Aptos Narrow"/>
      <family val="2"/>
      <scheme val="minor"/>
    </font>
    <font>
      <b/>
      <sz val="12"/>
      <color theme="1"/>
      <name val="Calibri"/>
      <family val="2"/>
    </font>
    <font>
      <sz val="10"/>
      <color rgb="FF000000"/>
      <name val="Tahoma"/>
      <family val="2"/>
    </font>
    <font>
      <b/>
      <sz val="10"/>
      <color rgb="FF000000"/>
      <name val="Tahoma"/>
      <family val="2"/>
    </font>
    <font>
      <b/>
      <sz val="12"/>
      <color rgb="FF1F4E79"/>
      <name val="Aptos Narrow"/>
      <family val="2"/>
      <scheme val="minor"/>
    </font>
    <font>
      <sz val="12"/>
      <color rgb="FF808080"/>
      <name val="Aptos Narrow"/>
      <family val="2"/>
      <scheme val="minor"/>
    </font>
    <font>
      <i/>
      <sz val="12"/>
      <color rgb="FF808080"/>
      <name val="Aptos Narrow"/>
      <family val="2"/>
      <scheme val="minor"/>
    </font>
    <font>
      <i/>
      <sz val="9"/>
      <color rgb="FFC00000"/>
      <name val="Aptos Narrow"/>
      <family val="2"/>
      <scheme val="minor"/>
    </font>
    <font>
      <b/>
      <i/>
      <sz val="9"/>
      <color rgb="FF808080"/>
      <name val="Calibri"/>
      <family val="2"/>
    </font>
    <font>
      <i/>
      <sz val="9"/>
      <color rgb="FF808080"/>
      <name val="Aptos Narrow"/>
      <family val="2"/>
      <scheme val="minor"/>
    </font>
    <font>
      <sz val="9"/>
      <color rgb="FF666666"/>
      <name val="Aptos Narrow"/>
      <family val="2"/>
      <scheme val="minor"/>
    </font>
    <font>
      <b/>
      <sz val="11"/>
      <color rgb="FF1F4E79"/>
      <name val="Calibri"/>
      <family val="2"/>
    </font>
    <font>
      <b/>
      <sz val="9"/>
      <color rgb="FF333333"/>
      <name val="Aptos Narrow"/>
      <scheme val="minor"/>
    </font>
    <font>
      <sz val="9"/>
      <color rgb="FF444444"/>
      <name val="Aptos Narrow"/>
      <scheme val="minor"/>
    </font>
    <font>
      <sz val="9"/>
      <color theme="1"/>
      <name val="Aptos Narrow"/>
      <family val="2"/>
      <scheme val="minor"/>
    </font>
    <font>
      <i/>
      <sz val="9"/>
      <color rgb="FF999999"/>
      <name val="Aptos Narrow"/>
      <scheme val="minor"/>
    </font>
    <font>
      <b/>
      <sz val="9"/>
      <color rgb="FFD35400"/>
      <name val="Aptos Narrow"/>
      <scheme val="minor"/>
    </font>
    <font>
      <sz val="9"/>
      <color theme="1"/>
      <name val="Aptos Narrow"/>
      <scheme val="minor"/>
    </font>
    <font>
      <i/>
      <sz val="8"/>
      <color rgb="FF999999"/>
      <name val="Aptos Narrow"/>
      <scheme val="minor"/>
    </font>
    <font>
      <b/>
      <sz val="9"/>
      <color theme="1"/>
      <name val="Aptos Narrow"/>
      <family val="2"/>
      <scheme val="minor"/>
    </font>
    <font>
      <sz val="1"/>
      <color rgb="FFFFFFFF"/>
      <name val="Aptos Narrow"/>
      <family val="2"/>
      <scheme val="minor"/>
    </font>
    <font>
      <b/>
      <sz val="9"/>
      <color rgb="FF444444"/>
      <name val="Aptos Narrow"/>
      <scheme val="minor"/>
    </font>
    <font>
      <i/>
      <sz val="9"/>
      <color rgb="FF444444"/>
      <name val="Aptos Narrow"/>
      <scheme val="minor"/>
    </font>
    <font>
      <b/>
      <sz val="9"/>
      <color rgb="FFFFFFFF"/>
      <name val="Aptos Narrow"/>
      <scheme val="minor"/>
    </font>
  </fonts>
  <fills count="33">
    <fill>
      <patternFill patternType="none"/>
    </fill>
    <fill>
      <patternFill patternType="gray125"/>
    </fill>
    <fill>
      <patternFill patternType="solid">
        <fgColor rgb="FFA60202"/>
        <bgColor indexed="64"/>
      </patternFill>
    </fill>
    <fill>
      <patternFill patternType="solid">
        <fgColor rgb="FFFFFF00"/>
        <bgColor indexed="64"/>
      </patternFill>
    </fill>
    <fill>
      <patternFill patternType="solid">
        <fgColor rgb="FF4D93D9"/>
        <bgColor indexed="64"/>
      </patternFill>
    </fill>
    <fill>
      <patternFill patternType="solid">
        <fgColor rgb="FF215C98"/>
        <bgColor indexed="64"/>
      </patternFill>
    </fill>
    <fill>
      <patternFill patternType="solid">
        <fgColor rgb="FF2E7D32"/>
        <bgColor indexed="64"/>
      </patternFill>
    </fill>
    <fill>
      <patternFill patternType="solid">
        <fgColor rgb="FF4CAF50"/>
        <bgColor indexed="64"/>
      </patternFill>
    </fill>
    <fill>
      <patternFill patternType="solid">
        <fgColor rgb="FF1565C0"/>
        <bgColor indexed="64"/>
      </patternFill>
    </fill>
    <fill>
      <patternFill patternType="solid">
        <fgColor rgb="FF1976D2"/>
        <bgColor indexed="64"/>
      </patternFill>
    </fill>
    <fill>
      <patternFill patternType="solid">
        <fgColor rgb="FFE8F0FE"/>
        <bgColor indexed="64"/>
      </patternFill>
    </fill>
    <fill>
      <patternFill patternType="solid">
        <fgColor rgb="FFE8F5E9"/>
        <bgColor indexed="64"/>
      </patternFill>
    </fill>
    <fill>
      <patternFill patternType="solid">
        <fgColor rgb="FFE3F2FD"/>
        <bgColor indexed="64"/>
      </patternFill>
    </fill>
    <fill>
      <patternFill patternType="solid">
        <fgColor rgb="FFE65100"/>
        <bgColor indexed="64"/>
      </patternFill>
    </fill>
    <fill>
      <patternFill patternType="solid">
        <fgColor rgb="FFEF6C00"/>
        <bgColor indexed="64"/>
      </patternFill>
    </fill>
    <fill>
      <patternFill patternType="solid">
        <fgColor rgb="FFFFF3E0"/>
        <bgColor indexed="64"/>
      </patternFill>
    </fill>
    <fill>
      <patternFill patternType="solid">
        <fgColor rgb="FF7B1FA2"/>
        <bgColor indexed="64"/>
      </patternFill>
    </fill>
    <fill>
      <patternFill patternType="solid">
        <fgColor rgb="FF9C27B0"/>
        <bgColor indexed="64"/>
      </patternFill>
    </fill>
    <fill>
      <patternFill patternType="solid">
        <fgColor rgb="FF37474F"/>
        <bgColor indexed="64"/>
      </patternFill>
    </fill>
    <fill>
      <patternFill patternType="solid">
        <fgColor rgb="FF607D8B"/>
        <bgColor indexed="64"/>
      </patternFill>
    </fill>
    <fill>
      <patternFill patternType="solid">
        <fgColor rgb="FFFFF8E1"/>
        <bgColor indexed="64"/>
      </patternFill>
    </fill>
    <fill>
      <patternFill patternType="solid">
        <fgColor rgb="FFFFEBEE"/>
        <bgColor indexed="64"/>
      </patternFill>
    </fill>
    <fill>
      <patternFill patternType="solid">
        <fgColor rgb="FFFB8C00"/>
        <bgColor indexed="64"/>
      </patternFill>
    </fill>
    <fill>
      <patternFill patternType="solid">
        <fgColor rgb="FFF57C00"/>
        <bgColor indexed="64"/>
      </patternFill>
    </fill>
    <fill>
      <patternFill patternType="solid">
        <fgColor rgb="FFFFF2F2"/>
        <bgColor indexed="64"/>
      </patternFill>
    </fill>
    <fill>
      <patternFill patternType="solid">
        <fgColor rgb="FFF9F0F0"/>
        <bgColor indexed="64"/>
      </patternFill>
    </fill>
    <fill>
      <patternFill patternType="solid">
        <fgColor rgb="FF98002D"/>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E8D5D5"/>
        <bgColor indexed="64"/>
      </patternFill>
    </fill>
    <fill>
      <patternFill patternType="solid">
        <fgColor rgb="FFFFFFFF"/>
        <bgColor indexed="64"/>
      </patternFill>
    </fill>
    <fill>
      <patternFill patternType="solid">
        <fgColor rgb="FF1F4E79"/>
        <bgColor indexed="64"/>
      </patternFill>
    </fill>
    <fill>
      <patternFill patternType="solid">
        <fgColor rgb="FFFFF3E8"/>
        <bgColor indexed="64"/>
      </patternFill>
    </fill>
  </fills>
  <borders count="84">
    <border>
      <left/>
      <right/>
      <top/>
      <bottom/>
      <diagonal/>
    </border>
    <border>
      <left/>
      <right/>
      <top/>
      <bottom style="thin">
        <color theme="8"/>
      </bottom>
      <diagonal/>
    </border>
    <border>
      <left/>
      <right/>
      <top/>
      <bottom style="thin">
        <color auto="1"/>
      </bottom>
      <diagonal/>
    </border>
    <border>
      <left/>
      <right/>
      <top/>
      <bottom style="thin">
        <color rgb="FFA02B93"/>
      </bottom>
      <diagonal/>
    </border>
    <border>
      <left/>
      <right/>
      <top style="medium">
        <color auto="1"/>
      </top>
      <bottom/>
      <diagonal/>
    </border>
    <border>
      <left/>
      <right/>
      <top/>
      <bottom style="medium">
        <color auto="1"/>
      </bottom>
      <diagonal/>
    </border>
    <border>
      <left/>
      <right/>
      <top style="thin">
        <color rgb="FFD0D0D0"/>
      </top>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style="thin">
        <color rgb="FFD0D0D0"/>
      </left>
      <right/>
      <top style="thin">
        <color rgb="FFD0D0D0"/>
      </top>
      <bottom/>
      <diagonal/>
    </border>
    <border>
      <left style="thin">
        <color rgb="FFD0D0D0"/>
      </left>
      <right style="thin">
        <color rgb="FFD0D0D0"/>
      </right>
      <top style="thin">
        <color auto="1"/>
      </top>
      <bottom style="thin">
        <color rgb="FFD0D0D0"/>
      </bottom>
      <diagonal/>
    </border>
    <border>
      <left style="thin">
        <color rgb="FFD0D0D0"/>
      </left>
      <right/>
      <top style="thin">
        <color auto="1"/>
      </top>
      <bottom style="thin">
        <color rgb="FFD0D0D0"/>
      </bottom>
      <diagonal/>
    </border>
    <border>
      <left style="thin">
        <color rgb="FFD0D0D0"/>
      </left>
      <right style="thin">
        <color rgb="FFD0D0D0"/>
      </right>
      <top style="thin">
        <color rgb="FFD0D0D0"/>
      </top>
      <bottom style="thin">
        <color auto="1"/>
      </bottom>
      <diagonal/>
    </border>
    <border>
      <left style="thin">
        <color auto="1"/>
      </left>
      <right style="thin">
        <color rgb="FFD0D0D0"/>
      </right>
      <top style="thin">
        <color auto="1"/>
      </top>
      <bottom style="thin">
        <color rgb="FFD0D0D0"/>
      </bottom>
      <diagonal/>
    </border>
    <border>
      <left style="thin">
        <color auto="1"/>
      </left>
      <right style="thin">
        <color rgb="FFD0D0D0"/>
      </right>
      <top style="thin">
        <color rgb="FFD0D0D0"/>
      </top>
      <bottom style="thin">
        <color rgb="FFD0D0D0"/>
      </bottom>
      <diagonal/>
    </border>
    <border>
      <left style="thin">
        <color auto="1"/>
      </left>
      <right style="thin">
        <color rgb="FFD0D0D0"/>
      </right>
      <top style="thin">
        <color rgb="FFD0D0D0"/>
      </top>
      <bottom style="thin">
        <color auto="1"/>
      </bottom>
      <diagonal/>
    </border>
    <border>
      <left style="thin">
        <color rgb="FFD0D0D0"/>
      </left>
      <right style="thin">
        <color auto="1"/>
      </right>
      <top style="thin">
        <color auto="1"/>
      </top>
      <bottom style="thin">
        <color rgb="FFD0D0D0"/>
      </bottom>
      <diagonal/>
    </border>
    <border>
      <left style="thin">
        <color rgb="FFD0D0D0"/>
      </left>
      <right style="thin">
        <color auto="1"/>
      </right>
      <top style="thin">
        <color rgb="FFD0D0D0"/>
      </top>
      <bottom style="thin">
        <color rgb="FFD0D0D0"/>
      </bottom>
      <diagonal/>
    </border>
    <border>
      <left style="thin">
        <color rgb="FFD0D0D0"/>
      </left>
      <right style="thin">
        <color auto="1"/>
      </right>
      <top style="thin">
        <color rgb="FFD0D0D0"/>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medium">
        <color rgb="FF2E7D32"/>
      </bottom>
      <diagonal/>
    </border>
    <border>
      <left style="medium">
        <color auto="1"/>
      </left>
      <right/>
      <top/>
      <bottom/>
      <diagonal/>
    </border>
    <border>
      <left style="medium">
        <color rgb="FF2E7D32"/>
      </left>
      <right/>
      <top/>
      <bottom/>
      <diagonal/>
    </border>
    <border>
      <left style="medium">
        <color rgb="FF2E7D32"/>
      </left>
      <right/>
      <top/>
      <bottom style="medium">
        <color rgb="FF2E7D32"/>
      </bottom>
      <diagonal/>
    </border>
    <border>
      <left/>
      <right style="medium">
        <color auto="1"/>
      </right>
      <top/>
      <bottom/>
      <diagonal/>
    </border>
    <border>
      <left/>
      <right style="medium">
        <color rgb="FF2E7D32"/>
      </right>
      <top/>
      <bottom/>
      <diagonal/>
    </border>
    <border>
      <left/>
      <right style="medium">
        <color rgb="FF2E7D32"/>
      </right>
      <top/>
      <bottom style="medium">
        <color rgb="FF2E7D32"/>
      </bottom>
      <diagonal/>
    </border>
    <border>
      <left/>
      <right/>
      <top/>
      <bottom style="medium">
        <color rgb="FF1565C0"/>
      </bottom>
      <diagonal/>
    </border>
    <border>
      <left style="medium">
        <color rgb="FF1565C0"/>
      </left>
      <right/>
      <top/>
      <bottom/>
      <diagonal/>
    </border>
    <border>
      <left style="medium">
        <color rgb="FF1565C0"/>
      </left>
      <right/>
      <top/>
      <bottom style="medium">
        <color rgb="FF1565C0"/>
      </bottom>
      <diagonal/>
    </border>
    <border>
      <left/>
      <right style="medium">
        <color rgb="FF1565C0"/>
      </right>
      <top/>
      <bottom/>
      <diagonal/>
    </border>
    <border>
      <left/>
      <right style="medium">
        <color rgb="FF1565C0"/>
      </right>
      <top/>
      <bottom style="medium">
        <color rgb="FF1565C0"/>
      </bottom>
      <diagonal/>
    </border>
    <border>
      <left/>
      <right/>
      <top/>
      <bottom style="medium">
        <color rgb="FFE65100"/>
      </bottom>
      <diagonal/>
    </border>
    <border>
      <left style="medium">
        <color rgb="FFE65100"/>
      </left>
      <right/>
      <top/>
      <bottom/>
      <diagonal/>
    </border>
    <border>
      <left style="medium">
        <color rgb="FFE65100"/>
      </left>
      <right/>
      <top/>
      <bottom style="medium">
        <color rgb="FFE65100"/>
      </bottom>
      <diagonal/>
    </border>
    <border>
      <left/>
      <right style="medium">
        <color rgb="FFE65100"/>
      </right>
      <top/>
      <bottom/>
      <diagonal/>
    </border>
    <border>
      <left/>
      <right style="medium">
        <color rgb="FFE65100"/>
      </right>
      <top/>
      <bottom style="medium">
        <color rgb="FFE65100"/>
      </bottom>
      <diagonal/>
    </border>
    <border>
      <left style="thin">
        <color auto="1"/>
      </left>
      <right style="thin">
        <color rgb="FFD0D0D0"/>
      </right>
      <top/>
      <bottom/>
      <diagonal/>
    </border>
    <border>
      <left style="thin">
        <color auto="1"/>
      </left>
      <right style="thin">
        <color rgb="FFD0D0D0"/>
      </right>
      <top/>
      <bottom style="thin">
        <color auto="1"/>
      </bottom>
      <diagonal/>
    </border>
    <border>
      <left style="thin">
        <color auto="1"/>
      </left>
      <right style="thin">
        <color rgb="FFD0D0D0"/>
      </right>
      <top style="thin">
        <color auto="1"/>
      </top>
      <bottom/>
      <diagonal/>
    </border>
    <border>
      <left style="thin">
        <color rgb="FFD0D0D0"/>
      </left>
      <right style="thin">
        <color rgb="FFD0D0D0"/>
      </right>
      <top style="thin">
        <color auto="1"/>
      </top>
      <bottom/>
      <diagonal/>
    </border>
    <border>
      <left style="thin">
        <color rgb="FFD0D0D0"/>
      </left>
      <right style="thin">
        <color auto="1"/>
      </right>
      <top style="thin">
        <color auto="1"/>
      </top>
      <bottom/>
      <diagonal/>
    </border>
    <border>
      <left style="thin">
        <color rgb="FFD0D0D0"/>
      </left>
      <right style="thin">
        <color rgb="FFD0D0D0"/>
      </right>
      <top/>
      <bottom style="thin">
        <color auto="1"/>
      </bottom>
      <diagonal/>
    </border>
    <border>
      <left style="thin">
        <color rgb="FFD0D0D0"/>
      </left>
      <right style="thin">
        <color auto="1"/>
      </right>
      <top/>
      <bottom style="thin">
        <color auto="1"/>
      </bottom>
      <diagonal/>
    </border>
    <border>
      <left style="thin">
        <color auto="1"/>
      </left>
      <right style="thin">
        <color rgb="FFD0D0D0"/>
      </right>
      <top style="thin">
        <color rgb="FFD0D0D0"/>
      </top>
      <bottom style="medium">
        <color rgb="FFD0D0D0"/>
      </bottom>
      <diagonal/>
    </border>
    <border>
      <left style="thin">
        <color rgb="FFD0D0D0"/>
      </left>
      <right style="thin">
        <color rgb="FFD0D0D0"/>
      </right>
      <top style="thin">
        <color rgb="FFD0D0D0"/>
      </top>
      <bottom style="medium">
        <color rgb="FFD0D0D0"/>
      </bottom>
      <diagonal/>
    </border>
    <border>
      <left style="thin">
        <color rgb="FFD0D0D0"/>
      </left>
      <right style="thin">
        <color auto="1"/>
      </right>
      <top style="thin">
        <color rgb="FFD0D0D0"/>
      </top>
      <bottom style="medium">
        <color rgb="FFD0D0D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rgb="FF000000"/>
      </top>
      <bottom/>
      <diagonal/>
    </border>
    <border>
      <left style="thin">
        <color rgb="FFD0D0D0"/>
      </left>
      <right/>
      <top style="thin">
        <color rgb="FF000000"/>
      </top>
      <bottom/>
      <diagonal/>
    </border>
    <border>
      <left style="thin">
        <color rgb="FF000000"/>
      </left>
      <right/>
      <top style="thin">
        <color rgb="FF000000"/>
      </top>
      <bottom/>
      <diagonal/>
    </border>
    <border>
      <left style="thin">
        <color rgb="FFD0D0D0"/>
      </left>
      <right style="thin">
        <color rgb="FF000000"/>
      </right>
      <top style="thin">
        <color rgb="FF000000"/>
      </top>
      <bottom/>
      <diagonal/>
    </border>
    <border>
      <left style="thin">
        <color rgb="FF000000"/>
      </left>
      <right/>
      <top style="thin">
        <color rgb="FFD0D0D0"/>
      </top>
      <bottom/>
      <diagonal/>
    </border>
    <border>
      <left style="thin">
        <color rgb="FFD0D0D0"/>
      </left>
      <right style="thin">
        <color rgb="FF000000"/>
      </right>
      <top style="thin">
        <color rgb="FFD0D0D0"/>
      </top>
      <bottom/>
      <diagonal/>
    </border>
    <border>
      <left/>
      <right/>
      <top style="thin">
        <color rgb="FFD0D0D0"/>
      </top>
      <bottom style="thin">
        <color rgb="FF000000"/>
      </bottom>
      <diagonal/>
    </border>
    <border>
      <left style="thin">
        <color rgb="FF000000"/>
      </left>
      <right/>
      <top style="thin">
        <color rgb="FFD0D0D0"/>
      </top>
      <bottom style="thin">
        <color rgb="FF000000"/>
      </bottom>
      <diagonal/>
    </border>
    <border>
      <left style="thin">
        <color rgb="FFD0D0D0"/>
      </left>
      <right/>
      <top style="thin">
        <color rgb="FFD0D0D0"/>
      </top>
      <bottom style="thin">
        <color rgb="FF000000"/>
      </bottom>
      <diagonal/>
    </border>
    <border>
      <left style="thin">
        <color rgb="FFD0D0D0"/>
      </left>
      <right style="thin">
        <color rgb="FF000000"/>
      </right>
      <top style="thin">
        <color rgb="FFD0D0D0"/>
      </top>
      <bottom style="thin">
        <color rgb="FF000000"/>
      </bottom>
      <diagonal/>
    </border>
    <border>
      <left style="thin">
        <color rgb="FFD0D0D0"/>
      </left>
      <right/>
      <top/>
      <bottom/>
      <diagonal/>
    </border>
    <border>
      <left style="thin">
        <color rgb="FFD0D0D0"/>
      </left>
      <right style="thin">
        <color rgb="FFD0D0D0"/>
      </right>
      <top/>
      <bottom/>
      <diagonal/>
    </border>
    <border>
      <left/>
      <right/>
      <top style="thin">
        <color rgb="FFA02B93"/>
      </top>
      <bottom style="thin">
        <color rgb="FFA02B93"/>
      </bottom>
      <diagonal/>
    </border>
    <border>
      <left/>
      <right/>
      <top/>
      <bottom style="thick">
        <color theme="2" tint="-9.9978637043366805E-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right/>
      <top/>
      <bottom style="medium">
        <color rgb="FF1F4E79"/>
      </bottom>
      <diagonal/>
    </border>
    <border>
      <left/>
      <right/>
      <top style="medium">
        <color rgb="FF1F4E79"/>
      </top>
      <bottom style="thin">
        <color rgb="FFD9E2F3"/>
      </bottom>
      <diagonal/>
    </border>
    <border>
      <left/>
      <right/>
      <top style="medium">
        <color rgb="FF1F4E79"/>
      </top>
      <bottom/>
      <diagonal/>
    </border>
    <border>
      <left/>
      <right/>
      <top style="thin">
        <color rgb="FFD9E2F3"/>
      </top>
      <bottom style="thin">
        <color rgb="FFD9E2F3"/>
      </bottom>
      <diagonal/>
    </border>
    <border>
      <left/>
      <right/>
      <top style="thin">
        <color rgb="FFD9E2F3"/>
      </top>
      <bottom/>
      <diagonal/>
    </border>
    <border>
      <left/>
      <right/>
      <top style="thin">
        <color rgb="FFD9E2F3"/>
      </top>
      <bottom style="medium">
        <color rgb="FF1F4E79"/>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485">
    <xf numFmtId="0" fontId="0" fillId="0" borderId="0" xfId="0"/>
    <xf numFmtId="0" fontId="0" fillId="0" borderId="0" xfId="0" applyAlignment="1">
      <alignment wrapText="1"/>
    </xf>
    <xf numFmtId="0" fontId="4" fillId="2" borderId="1" xfId="0" applyFont="1" applyFill="1" applyBorder="1"/>
    <xf numFmtId="0" fontId="4" fillId="2" borderId="1" xfId="0" applyFont="1" applyFill="1" applyBorder="1" applyAlignment="1">
      <alignment horizontal="left"/>
    </xf>
    <xf numFmtId="14" fontId="4" fillId="2" borderId="1" xfId="0" applyNumberFormat="1" applyFont="1" applyFill="1" applyBorder="1" applyAlignment="1">
      <alignment wrapText="1"/>
    </xf>
    <xf numFmtId="164" fontId="4" fillId="2" borderId="1" xfId="1" applyNumberFormat="1" applyFont="1" applyFill="1" applyBorder="1" applyAlignment="1">
      <alignment horizontal="right"/>
    </xf>
    <xf numFmtId="164" fontId="4" fillId="2" borderId="1" xfId="1" applyNumberFormat="1" applyFont="1" applyFill="1" applyBorder="1" applyAlignment="1">
      <alignment horizontal="center"/>
    </xf>
    <xf numFmtId="165" fontId="4" fillId="2" borderId="1" xfId="0" applyNumberFormat="1" applyFont="1" applyFill="1" applyBorder="1" applyAlignment="1">
      <alignment horizontal="center" wrapText="1"/>
    </xf>
    <xf numFmtId="0" fontId="4" fillId="2" borderId="1" xfId="0" applyFont="1" applyFill="1" applyBorder="1" applyAlignment="1">
      <alignment horizontal="left" wrapText="1"/>
    </xf>
    <xf numFmtId="1" fontId="4" fillId="2" borderId="1" xfId="0" applyNumberFormat="1" applyFont="1" applyFill="1" applyBorder="1" applyAlignment="1">
      <alignment horizontal="center"/>
    </xf>
    <xf numFmtId="0" fontId="4" fillId="2" borderId="1" xfId="0" applyFont="1" applyFill="1" applyBorder="1" applyAlignment="1">
      <alignment wrapText="1"/>
    </xf>
    <xf numFmtId="49" fontId="5" fillId="0" borderId="0" xfId="0" applyNumberFormat="1" applyFont="1"/>
    <xf numFmtId="0" fontId="6" fillId="0" borderId="0" xfId="0" applyFont="1" applyAlignment="1">
      <alignment horizontal="left"/>
    </xf>
    <xf numFmtId="49" fontId="7" fillId="0" borderId="0" xfId="0" quotePrefix="1" applyNumberFormat="1" applyFont="1"/>
    <xf numFmtId="166" fontId="7" fillId="0" borderId="0" xfId="1" applyNumberFormat="1" applyFont="1" applyFill="1" applyAlignment="1">
      <alignment horizontal="right"/>
    </xf>
    <xf numFmtId="166" fontId="7" fillId="0" borderId="0" xfId="1" applyNumberFormat="1" applyFont="1" applyFill="1" applyAlignment="1">
      <alignment horizontal="center"/>
    </xf>
    <xf numFmtId="165" fontId="7" fillId="0" borderId="0" xfId="0" applyNumberFormat="1" applyFont="1" applyAlignment="1">
      <alignment horizontal="center"/>
    </xf>
    <xf numFmtId="49" fontId="7" fillId="0" borderId="0" xfId="0" applyNumberFormat="1" applyFont="1" applyAlignment="1">
      <alignment horizontal="left" wrapText="1"/>
    </xf>
    <xf numFmtId="1" fontId="7" fillId="0" borderId="0" xfId="0" applyNumberFormat="1" applyFont="1" applyAlignment="1">
      <alignment horizontal="center"/>
    </xf>
    <xf numFmtId="49" fontId="7" fillId="0" borderId="0" xfId="0" applyNumberFormat="1" applyFont="1"/>
    <xf numFmtId="0" fontId="7" fillId="0" borderId="0" xfId="0" applyFont="1"/>
    <xf numFmtId="0" fontId="5" fillId="0" borderId="0" xfId="0" applyFont="1" applyAlignment="1">
      <alignment wrapText="1"/>
    </xf>
    <xf numFmtId="0" fontId="3" fillId="0" borderId="0" xfId="2" applyFill="1"/>
    <xf numFmtId="0" fontId="7" fillId="0" borderId="0" xfId="0" applyFont="1" applyAlignment="1">
      <alignment horizontal="left"/>
    </xf>
    <xf numFmtId="166" fontId="7" fillId="0" borderId="0" xfId="1" applyNumberFormat="1" applyFont="1" applyAlignment="1">
      <alignment horizontal="right"/>
    </xf>
    <xf numFmtId="166" fontId="7" fillId="0" borderId="0" xfId="1" applyNumberFormat="1" applyFont="1" applyAlignment="1">
      <alignment horizontal="center"/>
    </xf>
    <xf numFmtId="0" fontId="3" fillId="0" borderId="0" xfId="2"/>
    <xf numFmtId="0" fontId="8" fillId="0" borderId="0" xfId="0" applyFont="1"/>
    <xf numFmtId="0" fontId="9" fillId="0" borderId="0" xfId="2" applyFont="1" applyAlignment="1">
      <alignment wrapText="1"/>
    </xf>
    <xf numFmtId="49" fontId="10" fillId="0" borderId="0" xfId="0" applyNumberFormat="1" applyFont="1"/>
    <xf numFmtId="49" fontId="6" fillId="0" borderId="0" xfId="0" applyNumberFormat="1" applyFont="1"/>
    <xf numFmtId="166" fontId="6" fillId="0" borderId="0" xfId="1" applyNumberFormat="1" applyFont="1" applyAlignment="1">
      <alignment horizontal="right"/>
    </xf>
    <xf numFmtId="166" fontId="6" fillId="0" borderId="0" xfId="1" applyNumberFormat="1" applyFont="1" applyAlignment="1">
      <alignment horizontal="center"/>
    </xf>
    <xf numFmtId="165" fontId="6" fillId="0" borderId="0" xfId="0" applyNumberFormat="1" applyFont="1" applyAlignment="1">
      <alignment horizontal="center"/>
    </xf>
    <xf numFmtId="49" fontId="6" fillId="0" borderId="0" xfId="0" applyNumberFormat="1" applyFont="1" applyAlignment="1">
      <alignment horizontal="left" wrapText="1"/>
    </xf>
    <xf numFmtId="1" fontId="6" fillId="0" borderId="0" xfId="0" applyNumberFormat="1" applyFont="1" applyAlignment="1">
      <alignment horizontal="center"/>
    </xf>
    <xf numFmtId="0" fontId="0" fillId="3" borderId="0" xfId="0" applyFill="1"/>
    <xf numFmtId="0" fontId="7" fillId="3" borderId="0" xfId="0" applyFont="1" applyFill="1"/>
    <xf numFmtId="166" fontId="6" fillId="0" borderId="0" xfId="1" applyNumberFormat="1" applyFont="1" applyFill="1" applyAlignment="1">
      <alignment horizontal="right"/>
    </xf>
    <xf numFmtId="166" fontId="6" fillId="0" borderId="0" xfId="1" applyNumberFormat="1" applyFont="1" applyFill="1" applyAlignment="1">
      <alignment horizontal="center"/>
    </xf>
    <xf numFmtId="0" fontId="2" fillId="0" borderId="0" xfId="0" applyFont="1"/>
    <xf numFmtId="0" fontId="11" fillId="0" borderId="0" xfId="0" applyFont="1"/>
    <xf numFmtId="49" fontId="5" fillId="3" borderId="0" xfId="0" applyNumberFormat="1" applyFont="1" applyFill="1"/>
    <xf numFmtId="0" fontId="12" fillId="0" borderId="0" xfId="0" applyFont="1"/>
    <xf numFmtId="164" fontId="0" fillId="0" borderId="0" xfId="1" applyNumberFormat="1" applyFont="1" applyAlignment="1">
      <alignment horizontal="right"/>
    </xf>
    <xf numFmtId="164" fontId="0" fillId="0" borderId="0" xfId="1" applyNumberFormat="1" applyFont="1" applyAlignment="1">
      <alignment horizontal="center"/>
    </xf>
    <xf numFmtId="165" fontId="0" fillId="0" borderId="0" xfId="0" applyNumberFormat="1" applyAlignment="1">
      <alignment horizontal="center"/>
    </xf>
    <xf numFmtId="0" fontId="0" fillId="0" borderId="0" xfId="0" applyAlignment="1">
      <alignment horizontal="left" wrapText="1"/>
    </xf>
    <xf numFmtId="1" fontId="0" fillId="0" borderId="0" xfId="0" applyNumberFormat="1" applyAlignment="1">
      <alignment horizontal="center"/>
    </xf>
    <xf numFmtId="0" fontId="13" fillId="0" borderId="0" xfId="0" applyFont="1" applyAlignment="1">
      <alignment wrapText="1"/>
    </xf>
    <xf numFmtId="0" fontId="4" fillId="2" borderId="0" xfId="0" applyFont="1" applyFill="1"/>
    <xf numFmtId="0" fontId="14" fillId="2" borderId="3" xfId="0" applyFont="1" applyFill="1" applyBorder="1"/>
    <xf numFmtId="0" fontId="16" fillId="4" borderId="0" xfId="0" applyFont="1" applyFill="1"/>
    <xf numFmtId="0" fontId="17" fillId="2" borderId="0" xfId="0" applyFont="1" applyFill="1"/>
    <xf numFmtId="0" fontId="18" fillId="0" borderId="0" xfId="0" applyFont="1"/>
    <xf numFmtId="0" fontId="19" fillId="5" borderId="0" xfId="0" applyFont="1" applyFill="1"/>
    <xf numFmtId="0" fontId="20" fillId="4" borderId="0" xfId="0" applyFont="1" applyFill="1" applyAlignment="1">
      <alignment horizontal="center"/>
    </xf>
    <xf numFmtId="0" fontId="21" fillId="0" borderId="0" xfId="0" applyFont="1"/>
    <xf numFmtId="0" fontId="21" fillId="0" borderId="4" xfId="0" applyFont="1" applyBorder="1"/>
    <xf numFmtId="0" fontId="22" fillId="0" borderId="0" xfId="0" applyFont="1"/>
    <xf numFmtId="0" fontId="22" fillId="0" borderId="0" xfId="0" applyFont="1" applyAlignment="1">
      <alignment horizontal="center"/>
    </xf>
    <xf numFmtId="167" fontId="22" fillId="0" borderId="0" xfId="0" applyNumberFormat="1" applyFont="1" applyAlignment="1">
      <alignment horizontal="center"/>
    </xf>
    <xf numFmtId="3" fontId="22" fillId="0" borderId="0" xfId="0" applyNumberFormat="1" applyFont="1" applyAlignment="1">
      <alignment horizontal="center"/>
    </xf>
    <xf numFmtId="168" fontId="22" fillId="0" borderId="0" xfId="0" applyNumberFormat="1" applyFont="1" applyAlignment="1">
      <alignment horizontal="center"/>
    </xf>
    <xf numFmtId="3" fontId="21" fillId="0" borderId="4" xfId="0" applyNumberFormat="1" applyFont="1" applyBorder="1" applyAlignment="1">
      <alignment horizontal="center"/>
    </xf>
    <xf numFmtId="168" fontId="21" fillId="0" borderId="4" xfId="0" applyNumberFormat="1" applyFont="1" applyBorder="1" applyAlignment="1">
      <alignment horizontal="center"/>
    </xf>
    <xf numFmtId="167" fontId="21" fillId="0" borderId="4" xfId="0" applyNumberFormat="1" applyFont="1" applyBorder="1" applyAlignment="1">
      <alignment horizontal="center"/>
    </xf>
    <xf numFmtId="49" fontId="0" fillId="0" borderId="0" xfId="0" applyNumberFormat="1"/>
    <xf numFmtId="167" fontId="0" fillId="0" borderId="0" xfId="0" applyNumberFormat="1"/>
    <xf numFmtId="0" fontId="23" fillId="0" borderId="0" xfId="0" applyFont="1"/>
    <xf numFmtId="0" fontId="24" fillId="4" borderId="0" xfId="0" applyFont="1" applyFill="1" applyAlignment="1">
      <alignment horizontal="center"/>
    </xf>
    <xf numFmtId="0" fontId="25" fillId="0" borderId="0" xfId="0" applyFont="1"/>
    <xf numFmtId="0" fontId="22" fillId="2" borderId="0" xfId="0" applyFont="1" applyFill="1"/>
    <xf numFmtId="0" fontId="22" fillId="5" borderId="0" xfId="0" applyFont="1" applyFill="1"/>
    <xf numFmtId="3" fontId="21" fillId="0" borderId="0" xfId="0" applyNumberFormat="1" applyFont="1" applyAlignment="1">
      <alignment horizontal="center"/>
    </xf>
    <xf numFmtId="168" fontId="21" fillId="0" borderId="0" xfId="0" applyNumberFormat="1" applyFont="1" applyAlignment="1">
      <alignment horizontal="center"/>
    </xf>
    <xf numFmtId="167" fontId="21" fillId="0" borderId="0" xfId="0" applyNumberFormat="1" applyFont="1" applyAlignment="1">
      <alignment horizontal="center"/>
    </xf>
    <xf numFmtId="3" fontId="22" fillId="0" borderId="2" xfId="0" applyNumberFormat="1" applyFont="1" applyBorder="1" applyAlignment="1">
      <alignment horizontal="center"/>
    </xf>
    <xf numFmtId="168" fontId="22" fillId="0" borderId="2" xfId="0" applyNumberFormat="1" applyFont="1" applyBorder="1" applyAlignment="1">
      <alignment horizontal="center"/>
    </xf>
    <xf numFmtId="167" fontId="22" fillId="0" borderId="2" xfId="0" applyNumberFormat="1" applyFont="1" applyBorder="1" applyAlignment="1">
      <alignment horizontal="center"/>
    </xf>
    <xf numFmtId="0" fontId="21" fillId="0" borderId="5" xfId="0" applyFont="1" applyBorder="1"/>
    <xf numFmtId="3" fontId="22" fillId="0" borderId="5" xfId="0" applyNumberFormat="1" applyFont="1" applyBorder="1" applyAlignment="1">
      <alignment horizontal="center"/>
    </xf>
    <xf numFmtId="168" fontId="22" fillId="0" borderId="5" xfId="0" applyNumberFormat="1" applyFont="1" applyBorder="1" applyAlignment="1">
      <alignment horizontal="center"/>
    </xf>
    <xf numFmtId="167" fontId="22" fillId="0" borderId="5" xfId="0" applyNumberFormat="1" applyFont="1" applyBorder="1" applyAlignment="1">
      <alignment horizontal="center"/>
    </xf>
    <xf numFmtId="0" fontId="19" fillId="6" borderId="0" xfId="0" applyFont="1" applyFill="1"/>
    <xf numFmtId="0" fontId="22" fillId="6" borderId="0" xfId="0" applyFont="1" applyFill="1"/>
    <xf numFmtId="0" fontId="26" fillId="0" borderId="0" xfId="0" applyFont="1"/>
    <xf numFmtId="0" fontId="19" fillId="8" borderId="0" xfId="0" applyFont="1" applyFill="1"/>
    <xf numFmtId="0" fontId="22" fillId="8" borderId="0" xfId="0" applyFont="1" applyFill="1"/>
    <xf numFmtId="0" fontId="27" fillId="0" borderId="0" xfId="0" applyFont="1"/>
    <xf numFmtId="0" fontId="20" fillId="9" borderId="0" xfId="0" applyFont="1" applyFill="1" applyAlignment="1">
      <alignment horizontal="center"/>
    </xf>
    <xf numFmtId="1" fontId="22" fillId="0" borderId="0" xfId="0" applyNumberFormat="1" applyFont="1" applyAlignment="1">
      <alignment horizontal="center"/>
    </xf>
    <xf numFmtId="0" fontId="22" fillId="10" borderId="0" xfId="0" applyFont="1" applyFill="1"/>
    <xf numFmtId="0" fontId="22" fillId="10" borderId="0" xfId="0" applyFont="1" applyFill="1" applyAlignment="1">
      <alignment horizontal="center"/>
    </xf>
    <xf numFmtId="168" fontId="22" fillId="10" borderId="0" xfId="0" applyNumberFormat="1" applyFont="1" applyFill="1" applyAlignment="1">
      <alignment horizontal="center"/>
    </xf>
    <xf numFmtId="167" fontId="22" fillId="10" borderId="0" xfId="0" applyNumberFormat="1" applyFont="1" applyFill="1" applyAlignment="1">
      <alignment horizontal="center"/>
    </xf>
    <xf numFmtId="3" fontId="22" fillId="10" borderId="0" xfId="0" applyNumberFormat="1" applyFont="1" applyFill="1" applyAlignment="1">
      <alignment horizontal="center"/>
    </xf>
    <xf numFmtId="1" fontId="22" fillId="10" borderId="0" xfId="0" applyNumberFormat="1" applyFont="1" applyFill="1" applyAlignment="1">
      <alignment horizontal="center"/>
    </xf>
    <xf numFmtId="0" fontId="22" fillId="10" borderId="0" xfId="0" applyFont="1" applyFill="1" applyAlignment="1">
      <alignment horizontal="center" wrapText="1"/>
    </xf>
    <xf numFmtId="0" fontId="28" fillId="0" borderId="0" xfId="0" applyFont="1"/>
    <xf numFmtId="3" fontId="28" fillId="0" borderId="0" xfId="0" applyNumberFormat="1" applyFont="1"/>
    <xf numFmtId="168" fontId="28" fillId="0" borderId="0" xfId="0" applyNumberFormat="1" applyFont="1"/>
    <xf numFmtId="167" fontId="28" fillId="0" borderId="0" xfId="0" applyNumberFormat="1" applyFont="1"/>
    <xf numFmtId="0" fontId="29" fillId="0" borderId="0" xfId="0" applyFont="1"/>
    <xf numFmtId="0" fontId="30" fillId="0" borderId="0" xfId="0" applyFont="1"/>
    <xf numFmtId="0" fontId="31" fillId="0" borderId="0" xfId="0" applyFont="1"/>
    <xf numFmtId="0" fontId="20" fillId="6" borderId="0" xfId="0" applyFont="1" applyFill="1"/>
    <xf numFmtId="0" fontId="28" fillId="11" borderId="0" xfId="0" applyFont="1" applyFill="1"/>
    <xf numFmtId="0" fontId="22" fillId="11" borderId="0" xfId="0" applyFont="1" applyFill="1"/>
    <xf numFmtId="0" fontId="20" fillId="8" borderId="0" xfId="0" applyFont="1" applyFill="1"/>
    <xf numFmtId="0" fontId="28" fillId="12" borderId="0" xfId="0" applyFont="1" applyFill="1"/>
    <xf numFmtId="0" fontId="22" fillId="12" borderId="0" xfId="0" applyFont="1" applyFill="1"/>
    <xf numFmtId="0" fontId="21" fillId="0" borderId="6" xfId="0" applyFont="1" applyBorder="1"/>
    <xf numFmtId="0" fontId="20" fillId="4" borderId="7" xfId="0" applyFont="1" applyFill="1" applyBorder="1" applyAlignment="1">
      <alignment horizontal="center"/>
    </xf>
    <xf numFmtId="0" fontId="20" fillId="4" borderId="8" xfId="0" applyFont="1" applyFill="1" applyBorder="1" applyAlignment="1">
      <alignment horizontal="center"/>
    </xf>
    <xf numFmtId="0" fontId="20" fillId="4" borderId="9" xfId="0" applyFont="1" applyFill="1" applyBorder="1" applyAlignment="1">
      <alignment horizontal="center"/>
    </xf>
    <xf numFmtId="0" fontId="21" fillId="0" borderId="10" xfId="0" applyFont="1" applyBorder="1"/>
    <xf numFmtId="3" fontId="22" fillId="0" borderId="11" xfId="0" applyNumberFormat="1" applyFont="1" applyBorder="1" applyAlignment="1">
      <alignment horizontal="center"/>
    </xf>
    <xf numFmtId="168" fontId="22" fillId="0" borderId="11" xfId="0" applyNumberFormat="1" applyFont="1" applyBorder="1" applyAlignment="1">
      <alignment horizontal="center"/>
    </xf>
    <xf numFmtId="167" fontId="22" fillId="0" borderId="11" xfId="0" applyNumberFormat="1" applyFont="1" applyBorder="1" applyAlignment="1">
      <alignment horizontal="center"/>
    </xf>
    <xf numFmtId="168" fontId="22" fillId="0" borderId="12" xfId="0" applyNumberFormat="1" applyFont="1" applyBorder="1" applyAlignment="1">
      <alignment horizontal="center"/>
    </xf>
    <xf numFmtId="3" fontId="22" fillId="0" borderId="6" xfId="0" applyNumberFormat="1" applyFont="1" applyBorder="1" applyAlignment="1">
      <alignment horizontal="center"/>
    </xf>
    <xf numFmtId="168" fontId="22" fillId="0" borderId="6" xfId="0" applyNumberFormat="1" applyFont="1" applyBorder="1" applyAlignment="1">
      <alignment horizontal="center"/>
    </xf>
    <xf numFmtId="167" fontId="22" fillId="0" borderId="6" xfId="0" applyNumberFormat="1" applyFont="1" applyBorder="1" applyAlignment="1">
      <alignment horizontal="center"/>
    </xf>
    <xf numFmtId="168" fontId="22" fillId="0" borderId="13" xfId="0" applyNumberFormat="1" applyFont="1" applyBorder="1" applyAlignment="1">
      <alignment horizontal="center"/>
    </xf>
    <xf numFmtId="0" fontId="22" fillId="10" borderId="11" xfId="0" applyFont="1" applyFill="1" applyBorder="1" applyAlignment="1">
      <alignment horizontal="center"/>
    </xf>
    <xf numFmtId="168" fontId="22" fillId="10" borderId="11" xfId="0" applyNumberFormat="1" applyFont="1" applyFill="1" applyBorder="1" applyAlignment="1">
      <alignment horizontal="center"/>
    </xf>
    <xf numFmtId="167" fontId="22" fillId="10" borderId="11" xfId="0" applyNumberFormat="1" applyFont="1" applyFill="1" applyBorder="1" applyAlignment="1">
      <alignment horizontal="center"/>
    </xf>
    <xf numFmtId="3" fontId="22" fillId="10" borderId="11" xfId="0" applyNumberFormat="1" applyFont="1" applyFill="1" applyBorder="1" applyAlignment="1">
      <alignment horizontal="center"/>
    </xf>
    <xf numFmtId="1" fontId="22" fillId="10" borderId="11" xfId="0" applyNumberFormat="1" applyFont="1" applyFill="1" applyBorder="1" applyAlignment="1">
      <alignment horizontal="center"/>
    </xf>
    <xf numFmtId="0" fontId="22" fillId="0" borderId="11" xfId="0" applyFont="1" applyBorder="1" applyAlignment="1">
      <alignment horizontal="center"/>
    </xf>
    <xf numFmtId="1" fontId="22" fillId="0" borderId="11" xfId="0" applyNumberFormat="1" applyFont="1" applyBorder="1" applyAlignment="1">
      <alignment horizontal="center"/>
    </xf>
    <xf numFmtId="0" fontId="20" fillId="4" borderId="14" xfId="0" applyFont="1" applyFill="1" applyBorder="1" applyAlignment="1">
      <alignment horizontal="center"/>
    </xf>
    <xf numFmtId="3" fontId="21" fillId="0" borderId="16" xfId="0" applyNumberFormat="1" applyFont="1" applyBorder="1" applyAlignment="1">
      <alignment horizontal="center"/>
    </xf>
    <xf numFmtId="168" fontId="21" fillId="0" borderId="16" xfId="0" applyNumberFormat="1" applyFont="1" applyBorder="1" applyAlignment="1">
      <alignment horizontal="center"/>
    </xf>
    <xf numFmtId="167" fontId="21" fillId="0" borderId="16" xfId="0" applyNumberFormat="1" applyFont="1" applyBorder="1" applyAlignment="1">
      <alignment horizontal="center"/>
    </xf>
    <xf numFmtId="0" fontId="20" fillId="4" borderId="17" xfId="0" applyFont="1" applyFill="1" applyBorder="1" applyAlignment="1">
      <alignment horizontal="center"/>
    </xf>
    <xf numFmtId="0" fontId="21" fillId="0" borderId="18" xfId="0" applyFont="1" applyBorder="1"/>
    <xf numFmtId="0" fontId="21" fillId="0" borderId="19" xfId="0" applyFont="1" applyBorder="1"/>
    <xf numFmtId="0" fontId="20" fillId="4" borderId="20" xfId="0" applyFont="1" applyFill="1" applyBorder="1" applyAlignment="1">
      <alignment horizontal="center"/>
    </xf>
    <xf numFmtId="168" fontId="22" fillId="0" borderId="21" xfId="0" applyNumberFormat="1" applyFont="1" applyBorder="1" applyAlignment="1">
      <alignment horizontal="center"/>
    </xf>
    <xf numFmtId="168" fontId="21" fillId="0" borderId="22" xfId="0" applyNumberFormat="1" applyFont="1" applyBorder="1" applyAlignment="1">
      <alignment horizontal="center"/>
    </xf>
    <xf numFmtId="3" fontId="22" fillId="0" borderId="16" xfId="0" applyNumberFormat="1" applyFont="1" applyBorder="1" applyAlignment="1">
      <alignment horizontal="center"/>
    </xf>
    <xf numFmtId="168" fontId="22" fillId="0" borderId="16" xfId="0" applyNumberFormat="1" applyFont="1" applyBorder="1" applyAlignment="1">
      <alignment horizontal="center"/>
    </xf>
    <xf numFmtId="167" fontId="22" fillId="0" borderId="16" xfId="0" applyNumberFormat="1" applyFont="1" applyBorder="1" applyAlignment="1">
      <alignment horizontal="center"/>
    </xf>
    <xf numFmtId="168" fontId="22" fillId="0" borderId="22" xfId="0" applyNumberFormat="1" applyFont="1" applyBorder="1" applyAlignment="1">
      <alignment horizontal="center"/>
    </xf>
    <xf numFmtId="0" fontId="21" fillId="0" borderId="23" xfId="0" applyFont="1" applyBorder="1"/>
    <xf numFmtId="0" fontId="21" fillId="0" borderId="24" xfId="0" applyFont="1" applyBorder="1"/>
    <xf numFmtId="0" fontId="21" fillId="0" borderId="25" xfId="0" applyFont="1" applyBorder="1"/>
    <xf numFmtId="3" fontId="22" fillId="0" borderId="26" xfId="0" applyNumberFormat="1" applyFont="1" applyBorder="1" applyAlignment="1">
      <alignment horizontal="center"/>
    </xf>
    <xf numFmtId="168" fontId="22" fillId="0" borderId="27" xfId="0" applyNumberFormat="1" applyFont="1" applyBorder="1" applyAlignment="1">
      <alignment horizontal="center"/>
    </xf>
    <xf numFmtId="167" fontId="22" fillId="0" borderId="27" xfId="0" applyNumberFormat="1" applyFont="1" applyBorder="1" applyAlignment="1">
      <alignment horizontal="center"/>
    </xf>
    <xf numFmtId="3" fontId="22" fillId="0" borderId="27" xfId="0" applyNumberFormat="1" applyFont="1" applyBorder="1" applyAlignment="1">
      <alignment horizontal="center"/>
    </xf>
    <xf numFmtId="168" fontId="22" fillId="0" borderId="28" xfId="0" applyNumberFormat="1" applyFont="1" applyBorder="1" applyAlignment="1">
      <alignment horizontal="center"/>
    </xf>
    <xf numFmtId="0" fontId="20" fillId="7" borderId="14" xfId="0" applyFont="1" applyFill="1" applyBorder="1" applyAlignment="1">
      <alignment horizontal="center"/>
    </xf>
    <xf numFmtId="0" fontId="20" fillId="7" borderId="15" xfId="0" applyFont="1" applyFill="1" applyBorder="1" applyAlignment="1">
      <alignment horizontal="center"/>
    </xf>
    <xf numFmtId="0" fontId="20" fillId="7" borderId="17" xfId="0" applyFont="1" applyFill="1" applyBorder="1" applyAlignment="1">
      <alignment horizontal="center"/>
    </xf>
    <xf numFmtId="0" fontId="20" fillId="9" borderId="14" xfId="0" applyFont="1" applyFill="1" applyBorder="1" applyAlignment="1">
      <alignment horizontal="center"/>
    </xf>
    <xf numFmtId="0" fontId="20" fillId="9" borderId="17" xfId="0" applyFont="1" applyFill="1" applyBorder="1" applyAlignment="1">
      <alignment horizontal="center"/>
    </xf>
    <xf numFmtId="0" fontId="20" fillId="9" borderId="20" xfId="0" applyFont="1" applyFill="1" applyBorder="1" applyAlignment="1">
      <alignment horizontal="center"/>
    </xf>
    <xf numFmtId="0" fontId="22" fillId="6" borderId="4" xfId="0" applyFont="1" applyFill="1" applyBorder="1"/>
    <xf numFmtId="0" fontId="22" fillId="11" borderId="5" xfId="0" applyFont="1" applyFill="1" applyBorder="1"/>
    <xf numFmtId="0" fontId="22" fillId="11" borderId="29" xfId="0" applyFont="1" applyFill="1" applyBorder="1"/>
    <xf numFmtId="0" fontId="28" fillId="11" borderId="30" xfId="0" applyFont="1" applyFill="1" applyBorder="1"/>
    <xf numFmtId="0" fontId="22" fillId="11" borderId="30" xfId="0" applyFont="1" applyFill="1" applyBorder="1"/>
    <xf numFmtId="0" fontId="22" fillId="11" borderId="31" xfId="0" applyFont="1" applyFill="1" applyBorder="1"/>
    <xf numFmtId="0" fontId="22" fillId="11" borderId="32" xfId="0" applyFont="1" applyFill="1" applyBorder="1"/>
    <xf numFmtId="0" fontId="22" fillId="11" borderId="33" xfId="0" applyFont="1" applyFill="1" applyBorder="1"/>
    <xf numFmtId="0" fontId="22" fillId="11" borderId="34" xfId="0" applyFont="1" applyFill="1" applyBorder="1"/>
    <xf numFmtId="0" fontId="22" fillId="11" borderId="35" xfId="0" applyFont="1" applyFill="1" applyBorder="1"/>
    <xf numFmtId="0" fontId="22" fillId="8" borderId="4" xfId="0" applyFont="1" applyFill="1" applyBorder="1"/>
    <xf numFmtId="0" fontId="22" fillId="12" borderId="5" xfId="0" applyFont="1" applyFill="1" applyBorder="1"/>
    <xf numFmtId="0" fontId="22" fillId="12" borderId="36" xfId="0" applyFont="1" applyFill="1" applyBorder="1"/>
    <xf numFmtId="0" fontId="28" fillId="12" borderId="30" xfId="0" applyFont="1" applyFill="1" applyBorder="1"/>
    <xf numFmtId="0" fontId="22" fillId="12" borderId="30" xfId="0" applyFont="1" applyFill="1" applyBorder="1"/>
    <xf numFmtId="0" fontId="22" fillId="12" borderId="37" xfId="0" applyFont="1" applyFill="1" applyBorder="1"/>
    <xf numFmtId="0" fontId="22" fillId="12" borderId="38" xfId="0" applyFont="1" applyFill="1" applyBorder="1"/>
    <xf numFmtId="0" fontId="22" fillId="12" borderId="33" xfId="0" applyFont="1" applyFill="1" applyBorder="1"/>
    <xf numFmtId="0" fontId="22" fillId="12" borderId="39" xfId="0" applyFont="1" applyFill="1" applyBorder="1"/>
    <xf numFmtId="0" fontId="22" fillId="12" borderId="40" xfId="0" applyFont="1" applyFill="1" applyBorder="1"/>
    <xf numFmtId="0" fontId="32" fillId="0" borderId="0" xfId="0" applyFont="1"/>
    <xf numFmtId="0" fontId="19" fillId="13" borderId="0" xfId="0" applyFont="1" applyFill="1"/>
    <xf numFmtId="0" fontId="32" fillId="13" borderId="0" xfId="0" applyFont="1" applyFill="1"/>
    <xf numFmtId="0" fontId="33" fillId="0" borderId="0" xfId="0" applyFont="1"/>
    <xf numFmtId="0" fontId="20" fillId="13" borderId="0" xfId="0" applyFont="1" applyFill="1"/>
    <xf numFmtId="0" fontId="34" fillId="0" borderId="23" xfId="0" applyFont="1" applyBorder="1"/>
    <xf numFmtId="0" fontId="34" fillId="0" borderId="24" xfId="0" applyFont="1" applyBorder="1"/>
    <xf numFmtId="0" fontId="34" fillId="0" borderId="25" xfId="0" applyFont="1" applyBorder="1"/>
    <xf numFmtId="3" fontId="32" fillId="0" borderId="26" xfId="0" applyNumberFormat="1" applyFont="1" applyBorder="1" applyAlignment="1">
      <alignment horizontal="center"/>
    </xf>
    <xf numFmtId="168" fontId="32" fillId="0" borderId="27" xfId="0" applyNumberFormat="1" applyFont="1" applyBorder="1" applyAlignment="1">
      <alignment horizontal="center"/>
    </xf>
    <xf numFmtId="167" fontId="32" fillId="0" borderId="27" xfId="0" applyNumberFormat="1" applyFont="1" applyBorder="1" applyAlignment="1">
      <alignment horizontal="center"/>
    </xf>
    <xf numFmtId="3" fontId="32" fillId="0" borderId="27" xfId="0" applyNumberFormat="1" applyFont="1" applyBorder="1" applyAlignment="1">
      <alignment horizontal="center"/>
    </xf>
    <xf numFmtId="168" fontId="32" fillId="0" borderId="28" xfId="0" applyNumberFormat="1" applyFont="1" applyBorder="1" applyAlignment="1">
      <alignment horizontal="center"/>
    </xf>
    <xf numFmtId="3" fontId="32" fillId="0" borderId="11" xfId="0" applyNumberFormat="1" applyFont="1" applyBorder="1" applyAlignment="1">
      <alignment horizontal="center"/>
    </xf>
    <xf numFmtId="168" fontId="32" fillId="0" borderId="11" xfId="0" applyNumberFormat="1" applyFont="1" applyBorder="1" applyAlignment="1">
      <alignment horizontal="center"/>
    </xf>
    <xf numFmtId="167" fontId="32" fillId="0" borderId="11" xfId="0" applyNumberFormat="1" applyFont="1" applyBorder="1" applyAlignment="1">
      <alignment horizontal="center"/>
    </xf>
    <xf numFmtId="0" fontId="20" fillId="14" borderId="14" xfId="0" applyFont="1" applyFill="1" applyBorder="1" applyAlignment="1">
      <alignment horizontal="center"/>
    </xf>
    <xf numFmtId="3" fontId="32" fillId="0" borderId="16" xfId="0" applyNumberFormat="1" applyFont="1" applyBorder="1" applyAlignment="1">
      <alignment horizontal="center"/>
    </xf>
    <xf numFmtId="168" fontId="32" fillId="0" borderId="16" xfId="0" applyNumberFormat="1" applyFont="1" applyBorder="1" applyAlignment="1">
      <alignment horizontal="center"/>
    </xf>
    <xf numFmtId="167" fontId="32" fillId="0" borderId="16" xfId="0" applyNumberFormat="1" applyFont="1" applyBorder="1" applyAlignment="1">
      <alignment horizontal="center"/>
    </xf>
    <xf numFmtId="0" fontId="20" fillId="14" borderId="17" xfId="0" applyFont="1" applyFill="1" applyBorder="1" applyAlignment="1">
      <alignment horizontal="center"/>
    </xf>
    <xf numFmtId="0" fontId="34" fillId="0" borderId="18" xfId="0" applyFont="1" applyBorder="1"/>
    <xf numFmtId="0" fontId="34" fillId="0" borderId="19" xfId="0" applyFont="1" applyBorder="1"/>
    <xf numFmtId="0" fontId="20" fillId="14" borderId="20" xfId="0" applyFont="1" applyFill="1" applyBorder="1" applyAlignment="1">
      <alignment horizontal="center"/>
    </xf>
    <xf numFmtId="168" fontId="32" fillId="0" borderId="21" xfId="0" applyNumberFormat="1" applyFont="1" applyBorder="1" applyAlignment="1">
      <alignment horizontal="center"/>
    </xf>
    <xf numFmtId="168" fontId="32" fillId="0" borderId="22" xfId="0" applyNumberFormat="1" applyFont="1" applyBorder="1" applyAlignment="1">
      <alignment horizontal="center"/>
    </xf>
    <xf numFmtId="0" fontId="32" fillId="15" borderId="0" xfId="0" applyFont="1" applyFill="1"/>
    <xf numFmtId="0" fontId="32" fillId="13" borderId="4" xfId="0" applyFont="1" applyFill="1" applyBorder="1"/>
    <xf numFmtId="0" fontId="32" fillId="15" borderId="5" xfId="0" applyFont="1" applyFill="1" applyBorder="1"/>
    <xf numFmtId="0" fontId="35" fillId="15" borderId="30" xfId="0" applyFont="1" applyFill="1" applyBorder="1"/>
    <xf numFmtId="0" fontId="32" fillId="15" borderId="30" xfId="0" applyFont="1" applyFill="1" applyBorder="1"/>
    <xf numFmtId="0" fontId="32" fillId="15" borderId="33" xfId="0" applyFont="1" applyFill="1" applyBorder="1"/>
    <xf numFmtId="0" fontId="36" fillId="0" borderId="0" xfId="0" applyFont="1"/>
    <xf numFmtId="0" fontId="37" fillId="16" borderId="46" xfId="0" applyFont="1" applyFill="1" applyBorder="1"/>
    <xf numFmtId="0" fontId="0" fillId="16" borderId="0" xfId="0" applyFill="1"/>
    <xf numFmtId="0" fontId="38" fillId="0" borderId="46" xfId="0" applyFont="1" applyBorder="1"/>
    <xf numFmtId="0" fontId="20" fillId="17" borderId="48" xfId="0" applyFont="1" applyFill="1" applyBorder="1" applyAlignment="1">
      <alignment horizontal="center"/>
    </xf>
    <xf numFmtId="0" fontId="37" fillId="17" borderId="49" xfId="0" applyFont="1" applyFill="1" applyBorder="1" applyAlignment="1">
      <alignment horizontal="center"/>
    </xf>
    <xf numFmtId="0" fontId="37" fillId="17" borderId="50" xfId="0" applyFont="1" applyFill="1" applyBorder="1" applyAlignment="1">
      <alignment horizontal="center"/>
    </xf>
    <xf numFmtId="0" fontId="21" fillId="0" borderId="47" xfId="0" applyFont="1" applyBorder="1"/>
    <xf numFmtId="3" fontId="12" fillId="0" borderId="51" xfId="0" applyNumberFormat="1" applyFont="1" applyBorder="1" applyAlignment="1">
      <alignment horizontal="center"/>
    </xf>
    <xf numFmtId="168" fontId="12" fillId="0" borderId="51" xfId="0" applyNumberFormat="1" applyFont="1" applyBorder="1" applyAlignment="1">
      <alignment horizontal="center"/>
    </xf>
    <xf numFmtId="167" fontId="12" fillId="0" borderId="51" xfId="0" applyNumberFormat="1" applyFont="1" applyBorder="1" applyAlignment="1">
      <alignment horizontal="center"/>
    </xf>
    <xf numFmtId="168" fontId="12" fillId="0" borderId="52" xfId="0" applyNumberFormat="1" applyFont="1" applyBorder="1" applyAlignment="1">
      <alignment horizontal="center"/>
    </xf>
    <xf numFmtId="0" fontId="21" fillId="0" borderId="53" xfId="0" applyFont="1" applyBorder="1"/>
    <xf numFmtId="3" fontId="15" fillId="0" borderId="54" xfId="0" applyNumberFormat="1" applyFont="1" applyBorder="1" applyAlignment="1">
      <alignment horizontal="center"/>
    </xf>
    <xf numFmtId="168" fontId="15" fillId="0" borderId="54" xfId="0" applyNumberFormat="1" applyFont="1" applyBorder="1" applyAlignment="1">
      <alignment horizontal="center"/>
    </xf>
    <xf numFmtId="167" fontId="15" fillId="0" borderId="54" xfId="0" applyNumberFormat="1" applyFont="1" applyBorder="1" applyAlignment="1">
      <alignment horizontal="center"/>
    </xf>
    <xf numFmtId="168" fontId="15" fillId="0" borderId="55" xfId="0" applyNumberFormat="1" applyFont="1" applyBorder="1" applyAlignment="1">
      <alignment horizontal="center"/>
    </xf>
    <xf numFmtId="0" fontId="19" fillId="18" borderId="0" xfId="0" applyFont="1" applyFill="1"/>
    <xf numFmtId="0" fontId="0" fillId="18" borderId="0" xfId="0" applyFill="1"/>
    <xf numFmtId="0" fontId="42" fillId="0" borderId="0" xfId="0" applyFont="1"/>
    <xf numFmtId="0" fontId="43" fillId="0" borderId="0" xfId="0" applyFont="1"/>
    <xf numFmtId="3" fontId="15" fillId="11" borderId="11" xfId="0" applyNumberFormat="1" applyFont="1" applyFill="1" applyBorder="1" applyAlignment="1">
      <alignment horizontal="center"/>
    </xf>
    <xf numFmtId="168" fontId="15" fillId="11" borderId="11" xfId="0" applyNumberFormat="1" applyFont="1" applyFill="1" applyBorder="1" applyAlignment="1">
      <alignment horizontal="center"/>
    </xf>
    <xf numFmtId="167" fontId="15" fillId="11" borderId="11" xfId="0" applyNumberFormat="1" applyFont="1" applyFill="1" applyBorder="1" applyAlignment="1">
      <alignment horizontal="center"/>
    </xf>
    <xf numFmtId="3" fontId="15" fillId="20" borderId="11" xfId="0" applyNumberFormat="1" applyFont="1" applyFill="1" applyBorder="1" applyAlignment="1">
      <alignment horizontal="center"/>
    </xf>
    <xf numFmtId="168" fontId="15" fillId="20" borderId="11" xfId="0" applyNumberFormat="1" applyFont="1" applyFill="1" applyBorder="1" applyAlignment="1">
      <alignment horizontal="center"/>
    </xf>
    <xf numFmtId="167" fontId="15" fillId="20" borderId="11" xfId="0" applyNumberFormat="1" applyFont="1" applyFill="1" applyBorder="1" applyAlignment="1">
      <alignment horizontal="center"/>
    </xf>
    <xf numFmtId="0" fontId="37" fillId="19" borderId="14" xfId="0" applyFont="1" applyFill="1" applyBorder="1" applyAlignment="1">
      <alignment horizontal="center"/>
    </xf>
    <xf numFmtId="3" fontId="15" fillId="21" borderId="16" xfId="0" applyNumberFormat="1" applyFont="1" applyFill="1" applyBorder="1" applyAlignment="1">
      <alignment horizontal="center"/>
    </xf>
    <xf numFmtId="168" fontId="15" fillId="21" borderId="16" xfId="0" applyNumberFormat="1" applyFont="1" applyFill="1" applyBorder="1" applyAlignment="1">
      <alignment horizontal="center"/>
    </xf>
    <xf numFmtId="167" fontId="15" fillId="21" borderId="16" xfId="0" applyNumberFormat="1" applyFont="1" applyFill="1" applyBorder="1" applyAlignment="1">
      <alignment horizontal="center"/>
    </xf>
    <xf numFmtId="0" fontId="20" fillId="19" borderId="17" xfId="0" applyFont="1" applyFill="1" applyBorder="1" applyAlignment="1">
      <alignment horizontal="center"/>
    </xf>
    <xf numFmtId="0" fontId="12" fillId="11" borderId="18" xfId="0" applyFont="1" applyFill="1" applyBorder="1"/>
    <xf numFmtId="0" fontId="12" fillId="20" borderId="18" xfId="0" applyFont="1" applyFill="1" applyBorder="1"/>
    <xf numFmtId="0" fontId="12" fillId="21" borderId="19" xfId="0" applyFont="1" applyFill="1" applyBorder="1"/>
    <xf numFmtId="0" fontId="37" fillId="19" borderId="20" xfId="0" applyFont="1" applyFill="1" applyBorder="1" applyAlignment="1">
      <alignment horizontal="center"/>
    </xf>
    <xf numFmtId="169" fontId="39" fillId="11" borderId="21" xfId="0" applyNumberFormat="1" applyFont="1" applyFill="1" applyBorder="1" applyAlignment="1">
      <alignment horizontal="center"/>
    </xf>
    <xf numFmtId="169" fontId="40" fillId="20" borderId="21" xfId="0" applyNumberFormat="1" applyFont="1" applyFill="1" applyBorder="1" applyAlignment="1">
      <alignment horizontal="center"/>
    </xf>
    <xf numFmtId="0" fontId="41" fillId="21" borderId="22" xfId="0" applyFont="1" applyFill="1" applyBorder="1" applyAlignment="1">
      <alignment horizontal="center"/>
    </xf>
    <xf numFmtId="0" fontId="44" fillId="0" borderId="0" xfId="0" applyFont="1"/>
    <xf numFmtId="0" fontId="21" fillId="0" borderId="46" xfId="0" applyFont="1" applyBorder="1"/>
    <xf numFmtId="0" fontId="45" fillId="0" borderId="0" xfId="0" applyFont="1"/>
    <xf numFmtId="0" fontId="46" fillId="0" borderId="0" xfId="0" applyFont="1"/>
    <xf numFmtId="0" fontId="22" fillId="0" borderId="11" xfId="0" applyFont="1" applyBorder="1" applyAlignment="1">
      <alignment horizontal="center" wrapText="1"/>
    </xf>
    <xf numFmtId="0" fontId="20" fillId="8" borderId="56" xfId="0" applyFont="1" applyFill="1" applyBorder="1"/>
    <xf numFmtId="0" fontId="22" fillId="8" borderId="57" xfId="0" applyFont="1" applyFill="1" applyBorder="1"/>
    <xf numFmtId="0" fontId="22" fillId="12" borderId="58" xfId="0" applyFont="1" applyFill="1" applyBorder="1"/>
    <xf numFmtId="0" fontId="22" fillId="12" borderId="59" xfId="0" applyFont="1" applyFill="1" applyBorder="1"/>
    <xf numFmtId="0" fontId="20" fillId="13" borderId="56" xfId="0" applyFont="1" applyFill="1" applyBorder="1"/>
    <xf numFmtId="0" fontId="32" fillId="13" borderId="57" xfId="0" applyFont="1" applyFill="1" applyBorder="1"/>
    <xf numFmtId="0" fontId="32" fillId="15" borderId="58" xfId="0" applyFont="1" applyFill="1" applyBorder="1"/>
    <xf numFmtId="0" fontId="32" fillId="15" borderId="59" xfId="0" applyFont="1" applyFill="1" applyBorder="1"/>
    <xf numFmtId="0" fontId="20" fillId="6" borderId="56" xfId="0" applyFont="1" applyFill="1" applyBorder="1"/>
    <xf numFmtId="0" fontId="22" fillId="6" borderId="57" xfId="0" applyFont="1" applyFill="1" applyBorder="1"/>
    <xf numFmtId="0" fontId="22" fillId="11" borderId="58" xfId="0" applyFont="1" applyFill="1" applyBorder="1"/>
    <xf numFmtId="0" fontId="22" fillId="11" borderId="59" xfId="0" applyFont="1" applyFill="1" applyBorder="1"/>
    <xf numFmtId="0" fontId="22" fillId="0" borderId="2" xfId="0" applyFont="1" applyBorder="1" applyAlignment="1">
      <alignment horizontal="center"/>
    </xf>
    <xf numFmtId="1" fontId="22" fillId="0" borderId="2" xfId="0" applyNumberFormat="1" applyFont="1" applyBorder="1" applyAlignment="1">
      <alignment horizontal="center"/>
    </xf>
    <xf numFmtId="0" fontId="47" fillId="0" borderId="0" xfId="0" applyFont="1"/>
    <xf numFmtId="0" fontId="22" fillId="0" borderId="2" xfId="0" applyFont="1" applyBorder="1"/>
    <xf numFmtId="0" fontId="20" fillId="7" borderId="61" xfId="0" applyFont="1" applyFill="1" applyBorder="1" applyAlignment="1">
      <alignment horizontal="center"/>
    </xf>
    <xf numFmtId="0" fontId="20" fillId="7" borderId="62" xfId="0" applyFont="1" applyFill="1" applyBorder="1" applyAlignment="1">
      <alignment horizontal="center"/>
    </xf>
    <xf numFmtId="3" fontId="22" fillId="0" borderId="13" xfId="0" applyNumberFormat="1" applyFont="1" applyBorder="1" applyAlignment="1">
      <alignment horizontal="center"/>
    </xf>
    <xf numFmtId="3" fontId="22" fillId="0" borderId="12" xfId="0" applyNumberFormat="1" applyFont="1" applyBorder="1" applyAlignment="1">
      <alignment horizontal="center"/>
    </xf>
    <xf numFmtId="167" fontId="22" fillId="0" borderId="13" xfId="0" applyNumberFormat="1" applyFont="1" applyBorder="1" applyAlignment="1">
      <alignment horizontal="center"/>
    </xf>
    <xf numFmtId="0" fontId="20" fillId="7" borderId="63" xfId="0" applyFont="1" applyFill="1" applyBorder="1" applyAlignment="1">
      <alignment horizontal="center"/>
    </xf>
    <xf numFmtId="0" fontId="21" fillId="0" borderId="64" xfId="0" applyFont="1" applyBorder="1"/>
    <xf numFmtId="168" fontId="22" fillId="0" borderId="65" xfId="0" applyNumberFormat="1" applyFont="1" applyBorder="1" applyAlignment="1">
      <alignment horizontal="center"/>
    </xf>
    <xf numFmtId="0" fontId="21" fillId="0" borderId="66" xfId="0" applyFont="1" applyBorder="1"/>
    <xf numFmtId="0" fontId="21" fillId="0" borderId="67" xfId="0" applyFont="1" applyBorder="1"/>
    <xf numFmtId="3" fontId="22" fillId="0" borderId="68" xfId="0" applyNumberFormat="1" applyFont="1" applyBorder="1" applyAlignment="1">
      <alignment horizontal="center"/>
    </xf>
    <xf numFmtId="168" fontId="22" fillId="0" borderId="68" xfId="0" applyNumberFormat="1" applyFont="1" applyBorder="1" applyAlignment="1">
      <alignment horizontal="center"/>
    </xf>
    <xf numFmtId="167" fontId="22" fillId="0" borderId="68" xfId="0" applyNumberFormat="1" applyFont="1" applyBorder="1" applyAlignment="1">
      <alignment horizontal="center"/>
    </xf>
    <xf numFmtId="168" fontId="22" fillId="0" borderId="69" xfId="0" applyNumberFormat="1" applyFont="1" applyBorder="1" applyAlignment="1">
      <alignment horizontal="center"/>
    </xf>
    <xf numFmtId="0" fontId="28" fillId="15" borderId="0" xfId="0" applyFont="1" applyFill="1"/>
    <xf numFmtId="0" fontId="20" fillId="14" borderId="61" xfId="0" applyFont="1" applyFill="1" applyBorder="1" applyAlignment="1">
      <alignment horizontal="center"/>
    </xf>
    <xf numFmtId="0" fontId="20" fillId="14" borderId="62" xfId="0" applyFont="1" applyFill="1" applyBorder="1" applyAlignment="1">
      <alignment horizontal="center"/>
    </xf>
    <xf numFmtId="0" fontId="20" fillId="14" borderId="63" xfId="0" applyFont="1" applyFill="1" applyBorder="1" applyAlignment="1">
      <alignment horizontal="center"/>
    </xf>
    <xf numFmtId="0" fontId="20" fillId="9" borderId="60" xfId="0" applyFont="1" applyFill="1" applyBorder="1" applyAlignment="1">
      <alignment horizontal="center"/>
    </xf>
    <xf numFmtId="3" fontId="22" fillId="0" borderId="66" xfId="0" applyNumberFormat="1" applyFont="1" applyBorder="1" applyAlignment="1">
      <alignment horizontal="center"/>
    </xf>
    <xf numFmtId="168" fontId="22" fillId="0" borderId="66" xfId="0" applyNumberFormat="1" applyFont="1" applyBorder="1" applyAlignment="1">
      <alignment horizontal="center"/>
    </xf>
    <xf numFmtId="167" fontId="22" fillId="0" borderId="66" xfId="0" applyNumberFormat="1" applyFont="1" applyBorder="1" applyAlignment="1">
      <alignment horizontal="center"/>
    </xf>
    <xf numFmtId="0" fontId="20" fillId="4" borderId="60" xfId="0" applyFont="1" applyFill="1" applyBorder="1" applyAlignment="1">
      <alignment horizontal="center"/>
    </xf>
    <xf numFmtId="168" fontId="43" fillId="0" borderId="0" xfId="0" applyNumberFormat="1" applyFont="1"/>
    <xf numFmtId="167" fontId="43" fillId="0" borderId="0" xfId="0" applyNumberFormat="1" applyFont="1"/>
    <xf numFmtId="0" fontId="48" fillId="11" borderId="0" xfId="0" applyFont="1" applyFill="1"/>
    <xf numFmtId="0" fontId="22" fillId="15" borderId="0" xfId="0" applyFont="1" applyFill="1"/>
    <xf numFmtId="0" fontId="48" fillId="15" borderId="0" xfId="0" applyFont="1" applyFill="1"/>
    <xf numFmtId="0" fontId="48" fillId="12" borderId="0" xfId="0" applyFont="1" applyFill="1"/>
    <xf numFmtId="0" fontId="49" fillId="0" borderId="0" xfId="0" applyFont="1"/>
    <xf numFmtId="3" fontId="0" fillId="0" borderId="0" xfId="0" applyNumberFormat="1"/>
    <xf numFmtId="3" fontId="43" fillId="0" borderId="0" xfId="0" applyNumberFormat="1" applyFont="1"/>
    <xf numFmtId="168" fontId="0" fillId="0" borderId="0" xfId="0" applyNumberFormat="1"/>
    <xf numFmtId="0" fontId="20" fillId="4" borderId="11" xfId="0" applyFont="1" applyFill="1" applyBorder="1" applyAlignment="1">
      <alignment horizontal="center"/>
    </xf>
    <xf numFmtId="3" fontId="21" fillId="0" borderId="11" xfId="0" applyNumberFormat="1" applyFont="1" applyBorder="1" applyAlignment="1">
      <alignment horizontal="center"/>
    </xf>
    <xf numFmtId="168" fontId="21" fillId="0" borderId="11" xfId="0" applyNumberFormat="1" applyFont="1" applyBorder="1" applyAlignment="1">
      <alignment horizontal="center"/>
    </xf>
    <xf numFmtId="167" fontId="21" fillId="0" borderId="11" xfId="0" applyNumberFormat="1" applyFont="1" applyBorder="1" applyAlignment="1">
      <alignment horizontal="center"/>
    </xf>
    <xf numFmtId="0" fontId="21" fillId="0" borderId="11" xfId="0" applyFont="1" applyBorder="1"/>
    <xf numFmtId="0" fontId="20" fillId="7" borderId="11" xfId="0" applyFont="1" applyFill="1" applyBorder="1" applyAlignment="1">
      <alignment horizontal="center"/>
    </xf>
    <xf numFmtId="0" fontId="20" fillId="22" borderId="11" xfId="0" applyFont="1" applyFill="1" applyBorder="1" applyAlignment="1">
      <alignment horizontal="center"/>
    </xf>
    <xf numFmtId="0" fontId="20" fillId="9" borderId="11" xfId="0" applyFont="1" applyFill="1" applyBorder="1" applyAlignment="1">
      <alignment horizontal="center"/>
    </xf>
    <xf numFmtId="0" fontId="22" fillId="0" borderId="11" xfId="0" applyFont="1" applyBorder="1"/>
    <xf numFmtId="0" fontId="22" fillId="10" borderId="11" xfId="0" applyFont="1" applyFill="1" applyBorder="1"/>
    <xf numFmtId="0" fontId="20" fillId="6" borderId="31" xfId="0" applyFont="1" applyFill="1" applyBorder="1"/>
    <xf numFmtId="0" fontId="48" fillId="11" borderId="31" xfId="0" applyFont="1" applyFill="1" applyBorder="1"/>
    <xf numFmtId="0" fontId="20" fillId="6" borderId="34" xfId="0" applyFont="1" applyFill="1" applyBorder="1"/>
    <xf numFmtId="0" fontId="20" fillId="13" borderId="42" xfId="0" applyFont="1" applyFill="1" applyBorder="1"/>
    <xf numFmtId="0" fontId="48" fillId="15" borderId="42" xfId="0" applyFont="1" applyFill="1" applyBorder="1"/>
    <xf numFmtId="0" fontId="22" fillId="15" borderId="42" xfId="0" applyFont="1" applyFill="1" applyBorder="1"/>
    <xf numFmtId="0" fontId="20" fillId="13" borderId="44" xfId="0" applyFont="1" applyFill="1" applyBorder="1"/>
    <xf numFmtId="0" fontId="22" fillId="15" borderId="44" xfId="0" applyFont="1" applyFill="1" applyBorder="1"/>
    <xf numFmtId="0" fontId="22" fillId="15" borderId="43" xfId="0" applyFont="1" applyFill="1" applyBorder="1"/>
    <xf numFmtId="0" fontId="22" fillId="15" borderId="41" xfId="0" applyFont="1" applyFill="1" applyBorder="1"/>
    <xf numFmtId="0" fontId="22" fillId="15" borderId="45" xfId="0" applyFont="1" applyFill="1" applyBorder="1"/>
    <xf numFmtId="0" fontId="20" fillId="8" borderId="37" xfId="0" applyFont="1" applyFill="1" applyBorder="1"/>
    <xf numFmtId="0" fontId="48" fillId="12" borderId="37" xfId="0" applyFont="1" applyFill="1" applyBorder="1"/>
    <xf numFmtId="0" fontId="20" fillId="8" borderId="39" xfId="0" applyFont="1" applyFill="1" applyBorder="1"/>
    <xf numFmtId="0" fontId="26" fillId="0" borderId="10" xfId="0" applyFont="1" applyBorder="1"/>
    <xf numFmtId="0" fontId="26" fillId="0" borderId="11" xfId="0" applyFont="1" applyBorder="1"/>
    <xf numFmtId="0" fontId="33" fillId="0" borderId="10" xfId="0" applyFont="1" applyBorder="1"/>
    <xf numFmtId="0" fontId="33" fillId="0" borderId="11" xfId="0" applyFont="1" applyBorder="1"/>
    <xf numFmtId="0" fontId="27" fillId="0" borderId="10" xfId="0" applyFont="1" applyBorder="1"/>
    <xf numFmtId="0" fontId="27" fillId="0" borderId="11" xfId="0" applyFont="1" applyBorder="1"/>
    <xf numFmtId="0" fontId="20" fillId="23" borderId="0" xfId="0" applyFont="1" applyFill="1" applyAlignment="1">
      <alignment horizontal="center"/>
    </xf>
    <xf numFmtId="0" fontId="50" fillId="0" borderId="0" xfId="0" applyFont="1"/>
    <xf numFmtId="0" fontId="22" fillId="11" borderId="11" xfId="0" applyFont="1" applyFill="1" applyBorder="1"/>
    <xf numFmtId="0" fontId="22" fillId="15" borderId="11" xfId="0" applyFont="1" applyFill="1" applyBorder="1"/>
    <xf numFmtId="0" fontId="22" fillId="12" borderId="11" xfId="0" applyFont="1" applyFill="1" applyBorder="1"/>
    <xf numFmtId="3" fontId="20" fillId="9" borderId="11" xfId="0" applyNumberFormat="1" applyFont="1" applyFill="1" applyBorder="1" applyAlignment="1">
      <alignment horizontal="center"/>
    </xf>
    <xf numFmtId="168" fontId="20" fillId="9" borderId="11" xfId="0" applyNumberFormat="1" applyFont="1" applyFill="1" applyBorder="1" applyAlignment="1">
      <alignment horizontal="center"/>
    </xf>
    <xf numFmtId="167" fontId="20" fillId="9" borderId="11" xfId="0" applyNumberFormat="1" applyFont="1" applyFill="1" applyBorder="1" applyAlignment="1">
      <alignment horizontal="center"/>
    </xf>
    <xf numFmtId="0" fontId="0" fillId="0" borderId="11" xfId="0" applyBorder="1"/>
    <xf numFmtId="0" fontId="51" fillId="0" borderId="0" xfId="0" applyFont="1"/>
    <xf numFmtId="0" fontId="52" fillId="5" borderId="0" xfId="0" applyFont="1" applyFill="1"/>
    <xf numFmtId="0" fontId="54" fillId="0" borderId="10" xfId="0" applyFont="1" applyBorder="1"/>
    <xf numFmtId="3" fontId="53" fillId="0" borderId="11" xfId="0" applyNumberFormat="1" applyFont="1" applyBorder="1" applyAlignment="1">
      <alignment horizontal="center"/>
    </xf>
    <xf numFmtId="3" fontId="53" fillId="0" borderId="12" xfId="0" applyNumberFormat="1" applyFont="1" applyBorder="1" applyAlignment="1">
      <alignment horizontal="center"/>
    </xf>
    <xf numFmtId="170" fontId="22" fillId="0" borderId="11" xfId="0" applyNumberFormat="1" applyFont="1" applyBorder="1" applyAlignment="1">
      <alignment horizontal="center"/>
    </xf>
    <xf numFmtId="170" fontId="22" fillId="0" borderId="12" xfId="0" applyNumberFormat="1" applyFont="1" applyBorder="1" applyAlignment="1">
      <alignment horizontal="center"/>
    </xf>
    <xf numFmtId="171" fontId="22" fillId="0" borderId="11" xfId="0" applyNumberFormat="1" applyFont="1" applyBorder="1" applyAlignment="1">
      <alignment horizontal="center"/>
    </xf>
    <xf numFmtId="171" fontId="22" fillId="0" borderId="12" xfId="0" applyNumberFormat="1" applyFont="1" applyBorder="1" applyAlignment="1">
      <alignment horizontal="center"/>
    </xf>
    <xf numFmtId="3" fontId="21" fillId="0" borderId="12" xfId="0" applyNumberFormat="1" applyFont="1" applyBorder="1" applyAlignment="1">
      <alignment horizontal="center"/>
    </xf>
    <xf numFmtId="0" fontId="20" fillId="4" borderId="71" xfId="0" applyFont="1" applyFill="1" applyBorder="1" applyAlignment="1">
      <alignment horizontal="center"/>
    </xf>
    <xf numFmtId="0" fontId="22" fillId="0" borderId="71" xfId="0" applyFont="1" applyBorder="1" applyAlignment="1">
      <alignment horizontal="center"/>
    </xf>
    <xf numFmtId="0" fontId="22" fillId="10" borderId="71" xfId="0" applyFont="1" applyFill="1" applyBorder="1" applyAlignment="1">
      <alignment horizontal="center"/>
    </xf>
    <xf numFmtId="167" fontId="21" fillId="10" borderId="11" xfId="0" applyNumberFormat="1" applyFont="1" applyFill="1" applyBorder="1" applyAlignment="1">
      <alignment horizontal="center"/>
    </xf>
    <xf numFmtId="0" fontId="3" fillId="10" borderId="0" xfId="2" applyFill="1" applyAlignment="1">
      <alignment horizontal="center"/>
    </xf>
    <xf numFmtId="0" fontId="3" fillId="0" borderId="0" xfId="2" applyAlignment="1">
      <alignment horizontal="center"/>
    </xf>
    <xf numFmtId="0" fontId="3" fillId="0" borderId="0" xfId="2" applyFill="1" applyBorder="1" applyAlignment="1">
      <alignment horizontal="center"/>
    </xf>
    <xf numFmtId="0" fontId="3" fillId="0" borderId="71" xfId="2" applyFill="1" applyBorder="1" applyAlignment="1">
      <alignment horizontal="center"/>
    </xf>
    <xf numFmtId="0" fontId="3" fillId="10" borderId="71" xfId="2" applyFill="1" applyBorder="1" applyAlignment="1">
      <alignment horizontal="center"/>
    </xf>
    <xf numFmtId="0" fontId="3" fillId="10" borderId="70" xfId="2" applyFill="1" applyBorder="1" applyAlignment="1">
      <alignment horizontal="center"/>
    </xf>
    <xf numFmtId="0" fontId="14" fillId="2" borderId="72" xfId="0" applyFont="1" applyFill="1" applyBorder="1"/>
    <xf numFmtId="0" fontId="32" fillId="0" borderId="0" xfId="0" applyFont="1" applyAlignment="1">
      <alignment horizontal="center"/>
    </xf>
    <xf numFmtId="0" fontId="3" fillId="0" borderId="0" xfId="2" applyBorder="1"/>
    <xf numFmtId="3" fontId="22" fillId="0" borderId="0" xfId="0" applyNumberFormat="1" applyFont="1"/>
    <xf numFmtId="0" fontId="20" fillId="2" borderId="0" xfId="0" applyFont="1" applyFill="1"/>
    <xf numFmtId="0" fontId="0" fillId="24" borderId="0" xfId="0" applyFill="1"/>
    <xf numFmtId="168" fontId="0" fillId="24" borderId="0" xfId="0" applyNumberFormat="1" applyFill="1"/>
    <xf numFmtId="167" fontId="0" fillId="24" borderId="0" xfId="0" applyNumberFormat="1" applyFill="1"/>
    <xf numFmtId="3" fontId="0" fillId="24" borderId="0" xfId="0" applyNumberFormat="1" applyFill="1"/>
    <xf numFmtId="0" fontId="55" fillId="24" borderId="0" xfId="0" applyFont="1" applyFill="1"/>
    <xf numFmtId="0" fontId="55" fillId="0" borderId="0" xfId="0" applyFont="1"/>
    <xf numFmtId="0" fontId="0" fillId="5" borderId="0" xfId="0" applyFill="1"/>
    <xf numFmtId="0" fontId="15" fillId="0" borderId="0" xfId="0" applyFont="1"/>
    <xf numFmtId="49" fontId="15" fillId="0" borderId="0" xfId="0" applyNumberFormat="1" applyFont="1"/>
    <xf numFmtId="167" fontId="15" fillId="0" borderId="0" xfId="0" applyNumberFormat="1" applyFont="1"/>
    <xf numFmtId="0" fontId="0" fillId="26" borderId="0" xfId="0" applyFill="1"/>
    <xf numFmtId="0" fontId="60" fillId="26" borderId="0" xfId="0" applyFont="1" applyFill="1" applyAlignment="1">
      <alignment vertical="center"/>
    </xf>
    <xf numFmtId="0" fontId="0" fillId="27" borderId="0" xfId="0" applyFill="1"/>
    <xf numFmtId="0" fontId="57" fillId="27" borderId="0" xfId="0" applyFont="1" applyFill="1"/>
    <xf numFmtId="168" fontId="58" fillId="27" borderId="0" xfId="0" applyNumberFormat="1" applyFont="1" applyFill="1"/>
    <xf numFmtId="170" fontId="58" fillId="27" borderId="0" xfId="0" applyNumberFormat="1" applyFont="1" applyFill="1"/>
    <xf numFmtId="0" fontId="63" fillId="27" borderId="0" xfId="0" applyFont="1" applyFill="1"/>
    <xf numFmtId="3" fontId="58" fillId="27" borderId="0" xfId="0" applyNumberFormat="1" applyFont="1" applyFill="1"/>
    <xf numFmtId="0" fontId="62" fillId="26" borderId="0" xfId="0" applyFont="1" applyFill="1"/>
    <xf numFmtId="0" fontId="59" fillId="26" borderId="0" xfId="0" applyFont="1" applyFill="1"/>
    <xf numFmtId="0" fontId="61" fillId="26" borderId="0" xfId="0" applyFont="1" applyFill="1"/>
    <xf numFmtId="0" fontId="57" fillId="0" borderId="0" xfId="0" applyFont="1"/>
    <xf numFmtId="0" fontId="65" fillId="26" borderId="0" xfId="0" applyFont="1" applyFill="1" applyAlignment="1">
      <alignment vertical="center"/>
    </xf>
    <xf numFmtId="0" fontId="57" fillId="0" borderId="0" xfId="0" applyFont="1" applyAlignment="1">
      <alignment horizontal="center"/>
    </xf>
    <xf numFmtId="168" fontId="58" fillId="0" borderId="0" xfId="0" applyNumberFormat="1" applyFont="1" applyAlignment="1">
      <alignment horizontal="center" vertical="center"/>
    </xf>
    <xf numFmtId="168" fontId="58" fillId="0" borderId="0" xfId="0" applyNumberFormat="1" applyFont="1"/>
    <xf numFmtId="170" fontId="58" fillId="0" borderId="0" xfId="0" applyNumberFormat="1" applyFont="1" applyAlignment="1">
      <alignment horizontal="center" vertical="center"/>
    </xf>
    <xf numFmtId="0" fontId="56" fillId="0" borderId="0" xfId="0" applyFont="1" applyAlignment="1">
      <alignment horizontal="center" vertical="center"/>
    </xf>
    <xf numFmtId="0" fontId="63" fillId="0" borderId="0" xfId="0" applyFont="1"/>
    <xf numFmtId="0" fontId="67" fillId="26" borderId="0" xfId="0" applyFont="1" applyFill="1"/>
    <xf numFmtId="0" fontId="68" fillId="26" borderId="0" xfId="0" applyFont="1" applyFill="1" applyAlignment="1">
      <alignment vertical="top"/>
    </xf>
    <xf numFmtId="3" fontId="69" fillId="25" borderId="0" xfId="0" applyNumberFormat="1" applyFont="1" applyFill="1" applyAlignment="1">
      <alignment horizontal="center"/>
    </xf>
    <xf numFmtId="168" fontId="69" fillId="25" borderId="0" xfId="0" applyNumberFormat="1" applyFont="1" applyFill="1" applyAlignment="1">
      <alignment horizontal="center"/>
    </xf>
    <xf numFmtId="172" fontId="69" fillId="25" borderId="0" xfId="0" applyNumberFormat="1" applyFont="1" applyFill="1" applyAlignment="1">
      <alignment horizontal="center"/>
    </xf>
    <xf numFmtId="173" fontId="69" fillId="25" borderId="0" xfId="0" applyNumberFormat="1" applyFont="1" applyFill="1" applyAlignment="1">
      <alignment horizontal="center"/>
    </xf>
    <xf numFmtId="170" fontId="69" fillId="25" borderId="0" xfId="0" applyNumberFormat="1" applyFont="1" applyFill="1" applyAlignment="1">
      <alignment horizontal="center"/>
    </xf>
    <xf numFmtId="3" fontId="69" fillId="30" borderId="0" xfId="0" applyNumberFormat="1" applyFont="1" applyFill="1" applyAlignment="1">
      <alignment horizontal="center"/>
    </xf>
    <xf numFmtId="168" fontId="69" fillId="30" borderId="0" xfId="0" applyNumberFormat="1" applyFont="1" applyFill="1" applyAlignment="1">
      <alignment horizontal="center"/>
    </xf>
    <xf numFmtId="172" fontId="69" fillId="30" borderId="0" xfId="0" applyNumberFormat="1" applyFont="1" applyFill="1" applyAlignment="1">
      <alignment horizontal="center"/>
    </xf>
    <xf numFmtId="173" fontId="69" fillId="30" borderId="0" xfId="0" applyNumberFormat="1" applyFont="1" applyFill="1" applyAlignment="1">
      <alignment horizontal="center"/>
    </xf>
    <xf numFmtId="170" fontId="69" fillId="30" borderId="0" xfId="0" applyNumberFormat="1" applyFont="1" applyFill="1" applyAlignment="1">
      <alignment horizontal="center"/>
    </xf>
    <xf numFmtId="0" fontId="70" fillId="25" borderId="0" xfId="0" applyFont="1" applyFill="1"/>
    <xf numFmtId="0" fontId="70" fillId="30" borderId="0" xfId="0" applyFont="1" applyFill="1"/>
    <xf numFmtId="0" fontId="71" fillId="26" borderId="0" xfId="0" applyFont="1" applyFill="1" applyAlignment="1">
      <alignment horizontal="left"/>
    </xf>
    <xf numFmtId="0" fontId="72" fillId="26" borderId="0" xfId="0" applyFont="1" applyFill="1"/>
    <xf numFmtId="0" fontId="72" fillId="26" borderId="0" xfId="0" applyFont="1" applyFill="1" applyAlignment="1">
      <alignment vertical="top"/>
    </xf>
    <xf numFmtId="0" fontId="0" fillId="0" borderId="0" xfId="0" pivotButton="1"/>
    <xf numFmtId="0" fontId="0" fillId="0" borderId="0" xfId="0" applyAlignment="1">
      <alignment horizontal="left"/>
    </xf>
    <xf numFmtId="166" fontId="0" fillId="0" borderId="0" xfId="0" applyNumberFormat="1"/>
    <xf numFmtId="49" fontId="0" fillId="0" borderId="0" xfId="0" applyNumberFormat="1" applyAlignment="1">
      <alignment horizontal="left"/>
    </xf>
    <xf numFmtId="165" fontId="0" fillId="0" borderId="0" xfId="0" applyNumberFormat="1"/>
    <xf numFmtId="3" fontId="15" fillId="0" borderId="0" xfId="0" applyNumberFormat="1" applyFont="1"/>
    <xf numFmtId="0" fontId="74" fillId="27" borderId="0" xfId="0" applyFont="1" applyFill="1" applyAlignment="1">
      <alignment horizontal="center"/>
    </xf>
    <xf numFmtId="0" fontId="74" fillId="27" borderId="0" xfId="0" applyFont="1" applyFill="1" applyAlignment="1">
      <alignment horizontal="center" vertical="top"/>
    </xf>
    <xf numFmtId="170" fontId="73" fillId="25" borderId="0" xfId="0" applyNumberFormat="1" applyFont="1" applyFill="1" applyAlignment="1">
      <alignment horizontal="left" wrapText="1"/>
    </xf>
    <xf numFmtId="170" fontId="73" fillId="30" borderId="0" xfId="0" applyNumberFormat="1" applyFont="1" applyFill="1" applyAlignment="1">
      <alignment horizontal="left" wrapText="1"/>
    </xf>
    <xf numFmtId="172" fontId="73" fillId="25" borderId="0" xfId="0" applyNumberFormat="1" applyFont="1" applyFill="1" applyAlignment="1">
      <alignment horizontal="center" wrapText="1"/>
    </xf>
    <xf numFmtId="172" fontId="73" fillId="30" borderId="0" xfId="0" applyNumberFormat="1" applyFont="1" applyFill="1" applyAlignment="1">
      <alignment horizontal="center" wrapText="1"/>
    </xf>
    <xf numFmtId="0" fontId="75" fillId="29" borderId="73" xfId="0" applyFont="1" applyFill="1" applyBorder="1"/>
    <xf numFmtId="0" fontId="75" fillId="29" borderId="73" xfId="0" applyFont="1" applyFill="1" applyBorder="1" applyAlignment="1">
      <alignment horizontal="center"/>
    </xf>
    <xf numFmtId="168" fontId="64" fillId="28" borderId="74" xfId="0" applyNumberFormat="1" applyFont="1" applyFill="1" applyBorder="1" applyAlignment="1">
      <alignment horizontal="center" vertical="center"/>
    </xf>
    <xf numFmtId="170" fontId="64" fillId="28" borderId="74" xfId="0" applyNumberFormat="1" applyFont="1" applyFill="1" applyBorder="1" applyAlignment="1">
      <alignment horizontal="center" vertical="center"/>
    </xf>
    <xf numFmtId="3" fontId="76" fillId="27" borderId="0" xfId="0" applyNumberFormat="1" applyFont="1" applyFill="1" applyAlignment="1">
      <alignment horizontal="center" vertical="center"/>
    </xf>
    <xf numFmtId="170" fontId="77" fillId="27" borderId="0" xfId="0" applyNumberFormat="1" applyFont="1" applyFill="1" applyAlignment="1">
      <alignment horizontal="center" vertical="center"/>
    </xf>
    <xf numFmtId="0" fontId="78" fillId="0" borderId="0" xfId="0" applyFont="1"/>
    <xf numFmtId="0" fontId="79" fillId="0" borderId="0" xfId="0" applyFont="1"/>
    <xf numFmtId="0" fontId="81" fillId="0" borderId="0" xfId="0" applyFont="1"/>
    <xf numFmtId="169" fontId="85" fillId="0" borderId="0" xfId="0" applyNumberFormat="1" applyFont="1" applyAlignment="1">
      <alignment horizontal="center"/>
    </xf>
    <xf numFmtId="0" fontId="86" fillId="0" borderId="0" xfId="0" applyFont="1" applyAlignment="1">
      <alignment horizontal="center"/>
    </xf>
    <xf numFmtId="0" fontId="87" fillId="0" borderId="0" xfId="0" applyFont="1"/>
    <xf numFmtId="0" fontId="88" fillId="0" borderId="0" xfId="0" applyFont="1"/>
    <xf numFmtId="0" fontId="89" fillId="0" borderId="0" xfId="0" applyFont="1"/>
    <xf numFmtId="0" fontId="90" fillId="0" borderId="0" xfId="0" applyFont="1"/>
    <xf numFmtId="0" fontId="80" fillId="31" borderId="78" xfId="0" applyFont="1" applyFill="1" applyBorder="1" applyAlignment="1">
      <alignment horizontal="center"/>
    </xf>
    <xf numFmtId="1" fontId="80" fillId="31" borderId="78" xfId="0" applyNumberFormat="1" applyFont="1" applyFill="1" applyBorder="1" applyAlignment="1">
      <alignment horizontal="center"/>
    </xf>
    <xf numFmtId="0" fontId="80" fillId="31" borderId="0" xfId="0" applyFont="1" applyFill="1" applyAlignment="1">
      <alignment horizontal="center"/>
    </xf>
    <xf numFmtId="1" fontId="80" fillId="31" borderId="0" xfId="0" applyNumberFormat="1" applyFont="1" applyFill="1" applyAlignment="1">
      <alignment horizontal="center"/>
    </xf>
    <xf numFmtId="0" fontId="81" fillId="0" borderId="80" xfId="0" applyFont="1" applyBorder="1"/>
    <xf numFmtId="10" fontId="0" fillId="0" borderId="80" xfId="0" applyNumberFormat="1" applyBorder="1" applyAlignment="1">
      <alignment horizontal="center"/>
    </xf>
    <xf numFmtId="0" fontId="81" fillId="0" borderId="81" xfId="0" applyFont="1" applyBorder="1"/>
    <xf numFmtId="10" fontId="0" fillId="0" borderId="81" xfId="0" applyNumberFormat="1" applyBorder="1" applyAlignment="1">
      <alignment horizontal="center"/>
    </xf>
    <xf numFmtId="3" fontId="0" fillId="0" borderId="80" xfId="0" applyNumberFormat="1" applyBorder="1" applyAlignment="1">
      <alignment horizontal="center"/>
    </xf>
    <xf numFmtId="0" fontId="81" fillId="0" borderId="82" xfId="0" applyFont="1" applyBorder="1"/>
    <xf numFmtId="3" fontId="0" fillId="0" borderId="82" xfId="0" applyNumberFormat="1" applyBorder="1" applyAlignment="1">
      <alignment horizontal="center"/>
    </xf>
    <xf numFmtId="0" fontId="79" fillId="0" borderId="79" xfId="0" applyFont="1" applyBorder="1"/>
    <xf numFmtId="3" fontId="84" fillId="0" borderId="79" xfId="0" applyNumberFormat="1" applyFont="1" applyBorder="1" applyAlignment="1">
      <alignment horizontal="center"/>
    </xf>
    <xf numFmtId="0" fontId="91" fillId="0" borderId="0" xfId="0" applyFont="1"/>
    <xf numFmtId="0" fontId="92" fillId="0" borderId="0" xfId="0" applyFont="1"/>
    <xf numFmtId="0" fontId="93" fillId="0" borderId="0" xfId="0" applyFont="1"/>
    <xf numFmtId="0" fontId="94" fillId="0" borderId="0" xfId="0" applyFont="1"/>
    <xf numFmtId="0" fontId="95" fillId="0" borderId="0" xfId="0" applyFont="1"/>
    <xf numFmtId="1" fontId="0" fillId="0" borderId="0" xfId="0" applyNumberFormat="1"/>
    <xf numFmtId="169" fontId="0" fillId="0" borderId="0" xfId="0" applyNumberFormat="1"/>
    <xf numFmtId="0" fontId="98" fillId="0" borderId="0" xfId="0" applyFont="1"/>
    <xf numFmtId="0" fontId="99" fillId="0" borderId="0" xfId="0" applyFont="1"/>
    <xf numFmtId="169" fontId="94" fillId="0" borderId="0" xfId="0" applyNumberFormat="1" applyFont="1"/>
    <xf numFmtId="0" fontId="100" fillId="0" borderId="0" xfId="0" applyFont="1"/>
    <xf numFmtId="0" fontId="101" fillId="0" borderId="0" xfId="0" applyFont="1"/>
    <xf numFmtId="0" fontId="102" fillId="0" borderId="0" xfId="0" applyFont="1"/>
    <xf numFmtId="0" fontId="103" fillId="31" borderId="0" xfId="0" applyFont="1" applyFill="1"/>
    <xf numFmtId="1" fontId="103" fillId="31" borderId="0" xfId="0" applyNumberFormat="1" applyFont="1" applyFill="1" applyAlignment="1">
      <alignment horizontal="center"/>
    </xf>
    <xf numFmtId="0" fontId="103" fillId="31" borderId="0" xfId="0" applyFont="1" applyFill="1" applyAlignment="1">
      <alignment horizontal="center"/>
    </xf>
    <xf numFmtId="0" fontId="97" fillId="0" borderId="82" xfId="0" applyFont="1" applyBorder="1"/>
    <xf numFmtId="174" fontId="97" fillId="0" borderId="82" xfId="0" applyNumberFormat="1" applyFont="1" applyBorder="1" applyAlignment="1">
      <alignment horizontal="center"/>
    </xf>
    <xf numFmtId="169" fontId="97" fillId="0" borderId="82" xfId="0" applyNumberFormat="1" applyFont="1" applyBorder="1" applyAlignment="1">
      <alignment horizontal="center"/>
    </xf>
    <xf numFmtId="0" fontId="97" fillId="0" borderId="83" xfId="0" applyFont="1" applyBorder="1"/>
    <xf numFmtId="174" fontId="97" fillId="0" borderId="83" xfId="0" applyNumberFormat="1" applyFont="1" applyBorder="1" applyAlignment="1">
      <alignment horizontal="center"/>
    </xf>
    <xf numFmtId="169" fontId="97" fillId="0" borderId="83" xfId="0" applyNumberFormat="1" applyFont="1" applyBorder="1" applyAlignment="1">
      <alignment horizontal="center"/>
    </xf>
    <xf numFmtId="0" fontId="96" fillId="32" borderId="80" xfId="0" applyFont="1" applyFill="1" applyBorder="1"/>
    <xf numFmtId="174" fontId="97" fillId="32" borderId="80" xfId="0" applyNumberFormat="1" applyFont="1" applyFill="1" applyBorder="1" applyAlignment="1">
      <alignment horizontal="center"/>
    </xf>
    <xf numFmtId="169" fontId="96" fillId="32" borderId="80" xfId="0" applyNumberFormat="1" applyFont="1" applyFill="1" applyBorder="1" applyAlignment="1">
      <alignment horizontal="center"/>
    </xf>
    <xf numFmtId="0" fontId="66" fillId="28" borderId="75" xfId="0" applyFont="1" applyFill="1" applyBorder="1" applyAlignment="1">
      <alignment horizontal="center" vertical="center"/>
    </xf>
    <xf numFmtId="0" fontId="66" fillId="28" borderId="76" xfId="0" applyFont="1" applyFill="1" applyBorder="1" applyAlignment="1">
      <alignment horizontal="center" vertical="center"/>
    </xf>
    <xf numFmtId="0" fontId="66" fillId="28" borderId="77" xfId="0" applyFont="1" applyFill="1" applyBorder="1" applyAlignment="1">
      <alignment horizontal="center" vertical="center"/>
    </xf>
    <xf numFmtId="0" fontId="17" fillId="2" borderId="0" xfId="0" applyFont="1" applyFill="1"/>
    <xf numFmtId="0" fontId="18" fillId="0" borderId="0" xfId="0" applyFont="1"/>
  </cellXfs>
  <cellStyles count="3">
    <cellStyle name="Currency" xfId="1" builtinId="4"/>
    <cellStyle name="Hyperlink" xfId="2" builtinId="8"/>
    <cellStyle name="Normal" xfId="0" builtinId="0"/>
  </cellStyles>
  <dxfs count="176">
    <dxf>
      <font>
        <b/>
        <i val="0"/>
        <color rgb="FF1565C0"/>
      </font>
    </dxf>
    <dxf>
      <font>
        <b val="0"/>
        <i/>
        <color rgb="FFE65100"/>
      </font>
    </dxf>
    <dxf>
      <font>
        <color rgb="FF2E7D32"/>
      </font>
    </dxf>
    <dxf>
      <font>
        <b/>
        <i val="0"/>
        <color rgb="FFB71C1C"/>
      </font>
      <fill>
        <patternFill patternType="solid">
          <fgColor indexed="64"/>
          <bgColor rgb="FFFFCDD2"/>
        </patternFill>
      </fill>
    </dxf>
    <dxf>
      <font>
        <color rgb="FFB71C1C"/>
      </font>
      <fill>
        <patternFill patternType="solid">
          <fgColor indexed="64"/>
          <bgColor rgb="FFFFCDD2"/>
        </patternFill>
      </fill>
    </dxf>
    <dxf>
      <font>
        <b/>
        <i val="0"/>
        <color rgb="FF1565C0"/>
      </font>
    </dxf>
    <dxf>
      <font>
        <b val="0"/>
        <i/>
        <color rgb="FFE65100"/>
      </font>
    </dxf>
    <dxf>
      <font>
        <color rgb="FF2E7D32"/>
      </font>
    </dxf>
    <dxf>
      <font>
        <b/>
        <i val="0"/>
        <color rgb="FF1565C0"/>
      </font>
    </dxf>
    <dxf>
      <font>
        <b val="0"/>
        <i/>
        <color rgb="FFE65100"/>
      </font>
    </dxf>
    <dxf>
      <font>
        <color rgb="FF2E7D32"/>
      </font>
    </dxf>
    <dxf>
      <font>
        <b/>
        <i val="0"/>
        <color rgb="FFB71C1C"/>
      </font>
      <fill>
        <patternFill patternType="solid">
          <fgColor indexed="64"/>
          <bgColor rgb="FFFFCDD2"/>
        </patternFill>
      </fill>
    </dxf>
    <dxf>
      <font>
        <color rgb="FFB71C1C"/>
      </font>
      <fill>
        <patternFill patternType="solid">
          <fgColor indexed="64"/>
          <bgColor rgb="FFFFCDD2"/>
        </patternFill>
      </fill>
    </dxf>
    <dxf>
      <font>
        <b/>
        <i val="0"/>
        <color rgb="FF1565C0"/>
      </font>
    </dxf>
    <dxf>
      <font>
        <b val="0"/>
        <i/>
        <color rgb="FFE65100"/>
      </font>
    </dxf>
    <dxf>
      <font>
        <color rgb="FF2E7D32"/>
      </font>
    </dxf>
    <dxf>
      <font>
        <strike/>
        <color rgb="FFB71C1C"/>
      </font>
      <fill>
        <patternFill patternType="solid">
          <fgColor indexed="64"/>
          <bgColor rgb="FFFFCDD2"/>
        </patternFill>
      </fill>
    </dxf>
    <dxf>
      <font>
        <b/>
        <i val="0"/>
        <color rgb="FF1565C0"/>
      </font>
    </dxf>
    <dxf>
      <font>
        <b val="0"/>
        <i/>
        <color rgb="FFE65100"/>
      </font>
    </dxf>
    <dxf>
      <font>
        <color rgb="FF2E7D32"/>
      </font>
    </dxf>
    <dxf>
      <font>
        <b/>
        <i val="0"/>
        <color rgb="FF1565C0"/>
      </font>
    </dxf>
    <dxf>
      <font>
        <b val="0"/>
        <i/>
        <color rgb="FFE65100"/>
      </font>
    </dxf>
    <dxf>
      <font>
        <color rgb="FF2E7D32"/>
      </font>
    </dxf>
    <dxf>
      <font>
        <b/>
        <i val="0"/>
        <color rgb="FFB71C1C"/>
      </font>
      <fill>
        <patternFill patternType="solid">
          <fgColor indexed="64"/>
          <bgColor rgb="FFFFCDD2"/>
        </patternFill>
      </fill>
    </dxf>
    <dxf>
      <font>
        <b/>
        <i val="0"/>
        <color rgb="FF1565C0"/>
      </font>
    </dxf>
    <dxf>
      <font>
        <b val="0"/>
        <i/>
        <color rgb="FFE65100"/>
      </font>
    </dxf>
    <dxf>
      <font>
        <color rgb="FF2E7D32"/>
      </font>
    </dxf>
    <dxf>
      <font>
        <strike/>
        <color rgb="FFB71C1C"/>
      </font>
      <fill>
        <patternFill patternType="solid">
          <fgColor indexed="64"/>
          <bgColor rgb="FFFFCDD2"/>
        </patternFill>
      </fill>
    </dxf>
    <dxf>
      <font>
        <b/>
        <i val="0"/>
        <color rgb="FF1565C0"/>
      </font>
    </dxf>
    <dxf>
      <font>
        <b val="0"/>
        <i/>
        <color rgb="FFE65100"/>
      </font>
    </dxf>
    <dxf>
      <font>
        <color rgb="FF2E7D32"/>
      </font>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rgb="FF1565C0"/>
      </font>
    </dxf>
    <dxf>
      <font>
        <b val="0"/>
        <i/>
        <color rgb="FFE65100"/>
      </font>
    </dxf>
    <dxf>
      <font>
        <color rgb="FF2E7D32"/>
      </font>
    </dxf>
    <dxf>
      <font>
        <b/>
        <i val="0"/>
        <color rgb="FF1565C0"/>
      </font>
    </dxf>
    <dxf>
      <font>
        <b val="0"/>
        <i/>
        <color rgb="FFE65100"/>
      </font>
    </dxf>
    <dxf>
      <font>
        <color rgb="FF2E7D32"/>
      </font>
    </dxf>
    <dxf>
      <font>
        <b/>
        <i val="0"/>
        <color rgb="FFB71C1C"/>
      </font>
      <fill>
        <patternFill patternType="solid">
          <fgColor indexed="64"/>
          <bgColor rgb="FFFFCDD2"/>
        </patternFill>
      </fill>
    </dxf>
    <dxf>
      <font>
        <b/>
        <i val="0"/>
        <color rgb="FF1565C0"/>
      </font>
    </dxf>
    <dxf>
      <font>
        <b val="0"/>
        <i/>
        <color rgb="FFE65100"/>
      </font>
    </dxf>
    <dxf>
      <font>
        <color rgb="FF2E7D32"/>
      </font>
    </dxf>
    <dxf>
      <font>
        <b/>
        <i val="0"/>
        <color rgb="FFB71C1C"/>
      </font>
      <fill>
        <patternFill patternType="solid">
          <fgColor indexed="64"/>
          <bgColor rgb="FFFFCDD2"/>
        </patternFill>
      </fill>
    </dxf>
    <dxf>
      <font>
        <b/>
        <i val="0"/>
        <color rgb="FFB71C1C"/>
      </font>
      <fill>
        <patternFill patternType="solid">
          <fgColor indexed="64"/>
          <bgColor rgb="FFFFCDD2"/>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color rgb="FF9C5700"/>
      </font>
      <fill>
        <patternFill>
          <bgColor rgb="FFFFEB9C"/>
        </patternFill>
      </fill>
    </dxf>
    <dxf>
      <font>
        <b/>
        <i val="0"/>
        <color theme="1"/>
      </font>
      <fill>
        <patternFill>
          <bgColor theme="3" tint="0.499984740745262"/>
        </patternFill>
      </fill>
    </dxf>
    <dxf>
      <fill>
        <patternFill>
          <bgColor theme="3" tint="0.499984740745262"/>
        </patternFill>
      </fill>
    </dxf>
    <dxf>
      <font>
        <b/>
        <i val="0"/>
        <color theme="1"/>
      </font>
      <fill>
        <patternFill patternType="solid">
          <bgColor theme="3" tint="0.499984740745262"/>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color rgb="FF9C5700"/>
      </font>
      <fill>
        <patternFill>
          <bgColor rgb="FFFFEB9C"/>
        </patternFill>
      </fill>
    </dxf>
    <dxf>
      <fill>
        <patternFill>
          <bgColor theme="3" tint="0.499984740745262"/>
        </patternFill>
      </fill>
    </dxf>
    <dxf>
      <font>
        <b/>
        <i val="0"/>
        <color theme="1"/>
      </font>
      <fill>
        <patternFill>
          <bgColor theme="3" tint="0.499984740745262"/>
        </patternFill>
      </fill>
    </dxf>
    <dxf>
      <font>
        <b/>
        <i val="0"/>
        <color theme="1"/>
      </font>
      <fill>
        <patternFill patternType="solid">
          <bgColor theme="3" tint="0.499984740745262"/>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color rgb="FF9C5700"/>
      </font>
      <fill>
        <patternFill>
          <bgColor rgb="FFFFEB9C"/>
        </patternFill>
      </fill>
    </dxf>
    <dxf>
      <fill>
        <patternFill>
          <bgColor theme="3" tint="0.499984740745262"/>
        </patternFill>
      </fill>
    </dxf>
    <dxf>
      <font>
        <b/>
        <i val="0"/>
        <color theme="1"/>
      </font>
      <fill>
        <patternFill>
          <bgColor theme="3" tint="0.499984740745262"/>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ill>
        <patternFill>
          <bgColor theme="3" tint="0.49998474074526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b/>
        <i val="0"/>
        <color theme="1"/>
      </font>
      <fill>
        <patternFill patternType="solid">
          <bgColor theme="3" tint="0.499984740745262"/>
        </patternFill>
      </fill>
    </dxf>
    <dxf>
      <font>
        <b/>
        <i val="0"/>
        <color theme="1"/>
      </font>
      <fill>
        <patternFill>
          <bgColor theme="3" tint="0.499984740745262"/>
        </patternFill>
      </fill>
    </dxf>
    <dxf>
      <font>
        <b/>
        <i val="0"/>
        <color theme="1"/>
      </font>
      <fill>
        <patternFill>
          <bgColor theme="3" tint="0.49998474074526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indexed="64"/>
          <bgColor rgb="FFFFC7CE"/>
        </patternFill>
      </fill>
    </dxf>
    <dxf>
      <numFmt numFmtId="30" formatCode="@"/>
    </dxf>
    <dxf>
      <font>
        <b val="0"/>
        <i val="0"/>
        <strike val="0"/>
        <condense val="0"/>
        <extend val="0"/>
        <outline val="0"/>
        <shadow val="0"/>
        <u val="none"/>
        <vertAlign val="baseline"/>
        <sz val="12"/>
        <color theme="3" tint="0.249977111117893"/>
        <name val="Aptos Narrow"/>
        <scheme val="minor"/>
      </font>
    </dxf>
    <dxf>
      <font>
        <b val="0"/>
        <i val="0"/>
        <strike val="0"/>
        <condense val="0"/>
        <extend val="0"/>
        <outline val="0"/>
        <shadow val="0"/>
        <u val="none"/>
        <vertAlign val="baseline"/>
        <sz val="12"/>
        <color theme="3" tint="0.249977111117893"/>
        <name val="Aptos Narrow"/>
        <scheme val="minor"/>
      </font>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3" tint="0.249977111117893"/>
        <name val="Aptos Narrow"/>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3" tint="0.249977111117893"/>
        <name val="Aptos Narrow"/>
        <scheme val="minor"/>
      </font>
    </dxf>
    <dxf>
      <font>
        <b/>
        <i val="0"/>
        <strike val="0"/>
        <condense val="0"/>
        <extend val="0"/>
        <outline val="0"/>
        <shadow val="0"/>
        <u val="none"/>
        <vertAlign val="baseline"/>
        <sz val="12"/>
        <color rgb="FF000000"/>
        <name val="Aptos Narrow"/>
        <scheme val="minor"/>
      </font>
      <fill>
        <patternFill patternType="solid">
          <fgColor indexed="64"/>
          <bgColor rgb="FF4D93D9"/>
        </patternFill>
      </fill>
    </dxf>
    <dxf>
      <font>
        <b val="0"/>
        <i val="0"/>
        <strike val="0"/>
        <condense val="0"/>
        <extend val="0"/>
        <outline val="0"/>
        <shadow val="0"/>
        <u val="none"/>
        <vertAlign val="baseline"/>
        <sz val="12"/>
        <color theme="3" tint="0.249977111117893"/>
        <name val="Aptos Narrow"/>
        <scheme val="minor"/>
      </font>
      <numFmt numFmtId="30" formatCode="@"/>
    </dxf>
    <dxf>
      <font>
        <b val="0"/>
        <i val="0"/>
        <strike val="0"/>
        <condense val="0"/>
        <extend val="0"/>
        <outline val="0"/>
        <shadow val="0"/>
        <u val="none"/>
        <vertAlign val="baseline"/>
        <sz val="12"/>
        <color theme="3" tint="0.249977111117893"/>
        <name val="Aptos Narrow"/>
        <scheme val="minor"/>
      </font>
      <numFmt numFmtId="30" formatCode="@"/>
    </dxf>
    <dxf>
      <font>
        <b val="0"/>
        <i val="0"/>
        <strike val="0"/>
        <condense val="0"/>
        <extend val="0"/>
        <outline val="0"/>
        <shadow val="0"/>
        <u val="none"/>
        <vertAlign val="baseline"/>
        <sz val="12"/>
        <color theme="3" tint="0.249977111117893"/>
        <name val="Aptos Narrow"/>
        <scheme val="minor"/>
      </font>
      <numFmt numFmtId="30" formatCode="@"/>
    </dxf>
    <dxf>
      <font>
        <b val="0"/>
        <i val="0"/>
        <strike val="0"/>
        <condense val="0"/>
        <extend val="0"/>
        <outline val="0"/>
        <shadow val="0"/>
        <u val="none"/>
        <vertAlign val="baseline"/>
        <sz val="12"/>
        <color theme="3" tint="0.249977111117893"/>
        <name val="Aptos Narrow"/>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2"/>
        <color theme="3" tint="0.249977111117893"/>
        <name val="Aptos Narrow"/>
        <scheme val="minor"/>
      </font>
      <numFmt numFmtId="165" formatCode="#,##0\ &quot;SF&quot;\ "/>
      <alignment horizontal="center" vertical="bottom"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165" formatCode="#,##0\ &quot;SF&quot;\ "/>
      <alignment horizontal="center" vertical="bottom"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166" formatCode="_(&quot;$&quot;* #,##0_);_(&quot;$&quot;* \(#,##0\);_(&quot;$&quot;* &quot;-&quot;??_);_(@_)"/>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166" formatCode="_(&quot;$&quot;* #,##0_);_(&quot;$&quot;* \(#,##0\);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30" formatCode="@"/>
    </dxf>
    <dxf>
      <font>
        <b val="0"/>
        <i val="0"/>
        <strike val="0"/>
        <condense val="0"/>
        <extend val="0"/>
        <outline val="0"/>
        <shadow val="0"/>
        <u val="none"/>
        <vertAlign val="baseline"/>
        <sz val="12"/>
        <color theme="3" tint="0.249977111117893"/>
        <name val="Aptos Narrow"/>
        <scheme val="minor"/>
      </font>
      <alignment horizontal="left" vertical="bottom" textRotation="0" wrapText="0" indent="0" justifyLastLine="0" shrinkToFit="0" readingOrder="0"/>
    </dxf>
    <dxf>
      <font>
        <b/>
        <i val="0"/>
        <strike val="0"/>
        <condense val="0"/>
        <extend val="0"/>
        <outline val="0"/>
        <shadow val="0"/>
        <u val="none"/>
        <vertAlign val="baseline"/>
        <sz val="12"/>
        <color theme="3" tint="0.249977111117893"/>
        <name val="Aptos Narrow"/>
        <scheme val="minor"/>
      </font>
      <numFmt numFmtId="30" formatCode="@"/>
    </dxf>
    <dxf>
      <font>
        <b/>
        <i val="0"/>
        <strike val="0"/>
        <condense val="0"/>
        <extend val="0"/>
        <outline val="0"/>
        <shadow val="0"/>
        <u val="none"/>
        <vertAlign val="baseline"/>
        <sz val="20"/>
        <color theme="0"/>
        <name val="Aptos Narrow"/>
        <scheme val="minor"/>
      </font>
      <fill>
        <patternFill patternType="solid">
          <fgColor indexed="64"/>
          <bgColor rgb="FFA60202"/>
        </patternFill>
      </fill>
    </dxf>
    <dxf>
      <font>
        <strike val="0"/>
        <outline val="0"/>
        <shadow val="0"/>
        <u val="none"/>
        <vertAlign val="baseline"/>
        <color theme="3" tint="0.249977111117893"/>
        <name val="Aptos Narrow"/>
        <scheme val="minor"/>
      </font>
    </dxf>
    <dxf>
      <font>
        <strike val="0"/>
        <outline val="0"/>
        <shadow val="0"/>
        <u val="none"/>
        <vertAlign val="baseline"/>
        <color theme="3" tint="0.249977111117893"/>
        <name val="Aptos Narrow"/>
        <scheme val="minor"/>
      </font>
    </dxf>
    <dxf>
      <font>
        <strike val="0"/>
        <outline val="0"/>
        <shadow val="0"/>
        <u val="none"/>
        <vertAlign val="baseline"/>
        <color theme="3" tint="0.249977111117893"/>
        <name val="Aptos Narrow"/>
        <scheme val="minor"/>
      </font>
    </dxf>
    <dxf>
      <font>
        <strike val="0"/>
        <outline val="0"/>
        <shadow val="0"/>
        <u val="none"/>
        <vertAlign val="baseline"/>
        <color theme="3" tint="0.249977111117893"/>
        <name val="Aptos Narrow"/>
        <scheme val="minor"/>
      </font>
    </dxf>
    <dxf>
      <font>
        <b val="0"/>
        <i val="0"/>
        <strike val="0"/>
        <condense val="0"/>
        <extend val="0"/>
        <outline val="0"/>
        <shadow val="0"/>
        <u val="none"/>
        <vertAlign val="baseline"/>
        <sz val="12"/>
        <color theme="3" tint="0.249977111117893"/>
        <name val="Aptos Narrow"/>
        <scheme val="minor"/>
      </font>
    </dxf>
    <dxf>
      <font>
        <strike val="0"/>
        <outline val="0"/>
        <shadow val="0"/>
        <u val="none"/>
        <vertAlign val="baseline"/>
        <color theme="3" tint="0.249977111117893"/>
        <name val="Aptos Narrow"/>
        <scheme val="minor"/>
      </font>
    </dxf>
    <dxf>
      <font>
        <b/>
        <strike val="0"/>
        <outline val="0"/>
        <shadow val="0"/>
        <u val="none"/>
        <vertAlign val="baseline"/>
        <color theme="3" tint="0.249977111117893"/>
        <name val="Aptos Narrow"/>
        <scheme val="minor"/>
      </font>
      <alignment wrapText="1"/>
    </dxf>
    <dxf>
      <font>
        <strike val="0"/>
        <outline val="0"/>
        <shadow val="0"/>
        <u val="none"/>
        <vertAlign val="baseline"/>
        <color theme="3" tint="0.249977111117893"/>
        <name val="Aptos Narrow"/>
        <scheme val="minor"/>
      </font>
    </dxf>
    <dxf>
      <font>
        <strike val="0"/>
        <outline val="0"/>
        <shadow val="0"/>
        <u val="none"/>
        <vertAlign val="baseline"/>
        <color theme="3" tint="0.249977111117893"/>
        <name val="Aptos Narrow"/>
        <scheme val="minor"/>
      </font>
    </dxf>
    <dxf>
      <font>
        <strike val="0"/>
        <outline val="0"/>
        <shadow val="0"/>
        <u val="none"/>
        <vertAlign val="baseline"/>
        <color theme="3" tint="0.249977111117893"/>
        <name val="Aptos Narrow"/>
        <scheme val="minor"/>
      </font>
      <numFmt numFmtId="30" formatCode="@"/>
    </dxf>
    <dxf>
      <font>
        <strike val="0"/>
        <outline val="0"/>
        <shadow val="0"/>
        <u val="none"/>
        <vertAlign val="baseline"/>
        <color theme="3" tint="0.249977111117893"/>
        <name val="Aptos Narrow"/>
        <scheme val="minor"/>
      </font>
      <numFmt numFmtId="30" formatCode="@"/>
    </dxf>
    <dxf>
      <font>
        <strike val="0"/>
        <outline val="0"/>
        <shadow val="0"/>
        <u val="none"/>
        <vertAlign val="baseline"/>
        <color theme="3" tint="0.249977111117893"/>
        <name val="Aptos Narrow"/>
        <scheme val="minor"/>
      </font>
      <numFmt numFmtId="30" formatCode="@"/>
    </dxf>
    <dxf>
      <font>
        <strike val="0"/>
        <outline val="0"/>
        <shadow val="0"/>
        <u val="none"/>
        <vertAlign val="baseline"/>
        <color theme="3" tint="0.249977111117893"/>
        <name val="Aptos Narrow"/>
        <scheme val="minor"/>
      </font>
      <numFmt numFmtId="1" formatCode="0"/>
      <alignment horizontal="center" vertical="bottom" textRotation="0" wrapText="0" indent="0" justifyLastLine="0" shrinkToFit="0" readingOrder="0"/>
    </dxf>
    <dxf>
      <font>
        <strike val="0"/>
        <outline val="0"/>
        <shadow val="0"/>
        <u val="none"/>
        <vertAlign val="baseline"/>
        <color theme="3" tint="0.249977111117893"/>
        <name val="Aptos Narrow"/>
        <scheme val="minor"/>
      </font>
      <numFmt numFmtId="30" formatCode="@"/>
      <alignment horizontal="left" vertical="bottom" textRotation="0" wrapText="1" indent="0" justifyLastLine="0" shrinkToFit="0" readingOrder="0"/>
    </dxf>
    <dxf>
      <font>
        <strike val="0"/>
        <outline val="0"/>
        <shadow val="0"/>
        <u val="none"/>
        <vertAlign val="baseline"/>
        <color theme="3" tint="0.249977111117893"/>
        <name val="Aptos Narrow"/>
        <scheme val="minor"/>
      </font>
      <numFmt numFmtId="165" formatCode="#,##0\ &quot;SF&quot;\ "/>
      <alignment horizontal="center" vertical="bottom" textRotation="0" wrapText="0" indent="0" justifyLastLine="0" shrinkToFit="0" readingOrder="0"/>
    </dxf>
    <dxf>
      <font>
        <strike val="0"/>
        <outline val="0"/>
        <shadow val="0"/>
        <u val="none"/>
        <vertAlign val="baseline"/>
        <color theme="3" tint="0.249977111117893"/>
        <name val="Aptos Narrow"/>
        <scheme val="minor"/>
      </font>
      <numFmt numFmtId="165" formatCode="#,##0\ &quot;SF&quot;\ "/>
      <alignment horizontal="center" vertical="bottom"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2"/>
        <color theme="3" tint="0.249977111117893"/>
        <name val="Aptos Narrow"/>
        <scheme val="minor"/>
      </font>
      <numFmt numFmtId="166" formatCode="_(&quot;$&quot;* #,##0_);_(&quot;$&quot;* \(#,##0\);_(&quot;$&quot;* &quot;-&quot;??_);_(@_)"/>
      <alignment horizontal="right" vertical="bottom" textRotation="0" wrapText="0" indent="0" justifyLastLine="0" shrinkToFit="0" readingOrder="0"/>
    </dxf>
    <dxf>
      <font>
        <strike val="0"/>
        <outline val="0"/>
        <shadow val="0"/>
        <u val="none"/>
        <vertAlign val="baseline"/>
        <color theme="3" tint="0.249977111117893"/>
        <name val="Aptos Narrow"/>
        <scheme val="minor"/>
      </font>
      <numFmt numFmtId="30" formatCode="@"/>
    </dxf>
    <dxf>
      <font>
        <b/>
        <i val="0"/>
        <strike val="0"/>
        <condense val="0"/>
        <extend val="0"/>
        <outline val="0"/>
        <shadow val="0"/>
        <u val="none"/>
        <vertAlign val="baseline"/>
        <sz val="11"/>
        <color theme="3" tint="0.249977111117893"/>
        <name val="Aptos Narrow"/>
        <scheme val="minor"/>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theme="3" tint="0.249977111117893"/>
        <name val="Aptos Narrow"/>
        <scheme val="minor"/>
      </font>
      <numFmt numFmtId="30" formatCode="@"/>
    </dxf>
    <dxf>
      <border outline="0">
        <top style="thin">
          <color theme="8"/>
        </top>
      </border>
    </dxf>
    <dxf>
      <font>
        <strike val="0"/>
        <outline val="0"/>
        <shadow val="0"/>
        <u val="none"/>
        <vertAlign val="baseline"/>
        <color theme="3" tint="0.249977111117893"/>
        <name val="Aptos Narrow"/>
        <scheme val="minor"/>
      </font>
    </dxf>
    <dxf>
      <border outline="0">
        <bottom style="thin">
          <color theme="8"/>
        </bottom>
      </border>
    </dxf>
    <dxf>
      <font>
        <b/>
        <i val="0"/>
        <strike val="0"/>
        <condense val="0"/>
        <extend val="0"/>
        <outline val="0"/>
        <shadow val="0"/>
        <u val="none"/>
        <vertAlign val="baseline"/>
        <sz val="20"/>
        <color theme="0"/>
        <name val="Aptos Narrow"/>
        <scheme val="minor"/>
      </font>
      <fill>
        <patternFill patternType="solid">
          <fgColor indexed="64"/>
          <bgColor rgb="FFA60202"/>
        </patternFill>
      </fill>
    </dxf>
    <dxf>
      <font>
        <b/>
        <color theme="1"/>
      </font>
      <border>
        <bottom style="thin">
          <color theme="7"/>
        </bottom>
        <vertical/>
        <horizontal/>
      </border>
    </dxf>
    <dxf>
      <font>
        <color rgb="FF98002D"/>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pivot="0" table="0" count="12" xr9:uid="{D279AE80-B566-1B44-8061-E0120ECB806A}">
      <tableStyleElement type="wholeTable" dxfId="175"/>
      <tableStyleElement type="headerRow" dxfId="174"/>
      <tableStyleElement type="firstRowStripe" size="5"/>
      <tableStyleElement type="firstColumnStripe" size="5"/>
    </tableStyle>
    <tableStyle name="SlicerStyleLight4 2" pivot="0" table="0" count="10" xr9:uid="{068CFD0F-F4C3-9E4E-83D7-955F0E0189F4}">
      <tableStyleElement type="wholeTable" dxfId="173"/>
      <tableStyleElement type="headerRow" dxfId="172"/>
    </tableStyle>
  </tableStyles>
  <colors>
    <mruColors>
      <color rgb="FF98002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r>
              <a:rPr lang="en-US" sz="2400">
                <a:solidFill>
                  <a:schemeClr val="tx1"/>
                </a:solidFill>
              </a:rPr>
              <a:t>SALES BY COUNTY</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endParaRPr lang="en-US"/>
        </a:p>
      </c:txPr>
    </c:title>
    <c:autoTitleDeleted val="0"/>
    <c:pivotFmts>
      <c:pivotFmt>
        <c:idx val="0"/>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8002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8002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75268944595173E-2"/>
          <c:y val="0.126494675009518"/>
          <c:w val="0.91730111004721138"/>
          <c:h val="0.74242081192079379"/>
        </c:manualLayout>
      </c:layout>
      <c:bar3DChart>
        <c:barDir val="col"/>
        <c:grouping val="stacked"/>
        <c:varyColors val="0"/>
        <c:ser>
          <c:idx val="0"/>
          <c:order val="0"/>
          <c:tx>
            <c:v># Sales</c:v>
          </c:tx>
          <c:spPr>
            <a:solidFill>
              <a:schemeClr val="accent1">
                <a:lumMod val="60000"/>
                <a:lumOff val="40000"/>
              </a:schemeClr>
            </a:solidFill>
            <a:ln>
              <a:noFill/>
            </a:ln>
            <a:effectLst/>
            <a:sp3d/>
          </c:spPr>
          <c:invertIfNegative val="0"/>
          <c:cat>
            <c:strLit>
              <c:ptCount val="4"/>
              <c:pt idx="0">
                <c:v>Lake</c:v>
              </c:pt>
              <c:pt idx="1">
                <c:v>Orange</c:v>
              </c:pt>
              <c:pt idx="2">
                <c:v>Osceola</c:v>
              </c:pt>
              <c:pt idx="3">
                <c:v>Seminole</c:v>
              </c:pt>
            </c:strLit>
          </c:cat>
          <c:val>
            <c:numLit>
              <c:formatCode>General</c:formatCode>
              <c:ptCount val="4"/>
              <c:pt idx="0">
                <c:v>21</c:v>
              </c:pt>
              <c:pt idx="1">
                <c:v>68</c:v>
              </c:pt>
              <c:pt idx="2">
                <c:v>23</c:v>
              </c:pt>
              <c:pt idx="3">
                <c:v>53</c:v>
              </c:pt>
            </c:numLit>
          </c:val>
          <c:extLst>
            <c:ext xmlns:c16="http://schemas.microsoft.com/office/drawing/2014/chart" uri="{C3380CC4-5D6E-409C-BE32-E72D297353CC}">
              <c16:uniqueId val="{00000000-0F20-564B-AA8F-61B1744F4C81}"/>
            </c:ext>
          </c:extLst>
        </c:ser>
        <c:ser>
          <c:idx val="1"/>
          <c:order val="1"/>
          <c:tx>
            <c:v>Avg $/SF</c:v>
          </c:tx>
          <c:spPr>
            <a:solidFill>
              <a:srgbClr val="98002D"/>
            </a:solidFill>
            <a:ln>
              <a:noFill/>
            </a:ln>
            <a:effectLst/>
            <a:sp3d/>
          </c:spPr>
          <c:invertIfNegative val="0"/>
          <c:cat>
            <c:strLit>
              <c:ptCount val="4"/>
              <c:pt idx="0">
                <c:v>Lake</c:v>
              </c:pt>
              <c:pt idx="1">
                <c:v>Orange</c:v>
              </c:pt>
              <c:pt idx="2">
                <c:v>Osceola</c:v>
              </c:pt>
              <c:pt idx="3">
                <c:v>Seminole</c:v>
              </c:pt>
            </c:strLit>
          </c:cat>
          <c:val>
            <c:numLit>
              <c:formatCode>General</c:formatCode>
              <c:ptCount val="4"/>
              <c:pt idx="0">
                <c:v>209.55388289665132</c:v>
              </c:pt>
              <c:pt idx="1">
                <c:v>313.96409680320073</c:v>
              </c:pt>
              <c:pt idx="2">
                <c:v>291.34204621461328</c:v>
              </c:pt>
              <c:pt idx="3">
                <c:v>245.16935797000787</c:v>
              </c:pt>
            </c:numLit>
          </c:val>
          <c:extLst>
            <c:ext xmlns:c16="http://schemas.microsoft.com/office/drawing/2014/chart" uri="{C3380CC4-5D6E-409C-BE32-E72D297353CC}">
              <c16:uniqueId val="{00000001-0F20-564B-AA8F-61B1744F4C81}"/>
            </c:ext>
          </c:extLst>
        </c:ser>
        <c:dLbls>
          <c:showLegendKey val="0"/>
          <c:showVal val="0"/>
          <c:showCatName val="0"/>
          <c:showSerName val="0"/>
          <c:showPercent val="0"/>
          <c:showBubbleSize val="0"/>
        </c:dLbls>
        <c:gapWidth val="219"/>
        <c:shape val="box"/>
        <c:axId val="1650945231"/>
        <c:axId val="56553280"/>
        <c:axId val="0"/>
      </c:bar3DChart>
      <c:catAx>
        <c:axId val="165094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6553280"/>
        <c:crosses val="autoZero"/>
        <c:auto val="1"/>
        <c:lblAlgn val="ctr"/>
        <c:lblOffset val="100"/>
        <c:noMultiLvlLbl val="0"/>
      </c:catAx>
      <c:valAx>
        <c:axId val="565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650945231"/>
        <c:crosses val="autoZero"/>
        <c:crossBetween val="between"/>
      </c:valAx>
      <c:spPr>
        <a:noFill/>
        <a:ln>
          <a:noFill/>
        </a:ln>
        <a:effectLst/>
      </c:spPr>
    </c:plotArea>
    <c:legend>
      <c:legendPos val="b"/>
      <c:layout>
        <c:manualLayout>
          <c:xMode val="edge"/>
          <c:yMode val="edge"/>
          <c:x val="0.21991647370778539"/>
          <c:y val="0.88181567764675683"/>
          <c:w val="0.56884283361886856"/>
          <c:h val="0.11818434549828188"/>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r>
              <a:rPr lang="en-US" sz="2400">
                <a:solidFill>
                  <a:schemeClr val="tx1"/>
                </a:solidFill>
              </a:rPr>
              <a:t>SALES TREND (BY YEAR)</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5.7622743317372757E-2"/>
          <c:y val="0.10106487622154439"/>
          <c:w val="0.90565622693102943"/>
          <c:h val="0.6982218848469901"/>
        </c:manualLayout>
      </c:layout>
      <c:barChart>
        <c:barDir val="col"/>
        <c:grouping val="clustered"/>
        <c:varyColors val="0"/>
        <c:ser>
          <c:idx val="0"/>
          <c:order val="0"/>
          <c:tx>
            <c:v># Sales</c:v>
          </c:tx>
          <c:spPr>
            <a:solidFill>
              <a:schemeClr val="accent1">
                <a:lumMod val="60000"/>
                <a:lumOff val="40000"/>
              </a:schemeClr>
            </a:solidFill>
            <a:ln>
              <a:noFill/>
            </a:ln>
            <a:effectLst/>
          </c:spPr>
          <c:invertIfNegative val="0"/>
          <c:cat>
            <c:strLit>
              <c:ptCount val="6"/>
              <c:pt idx="0">
                <c:v>2020</c:v>
              </c:pt>
              <c:pt idx="1">
                <c:v>2021</c:v>
              </c:pt>
              <c:pt idx="2">
                <c:v>2022</c:v>
              </c:pt>
              <c:pt idx="3">
                <c:v>2023</c:v>
              </c:pt>
              <c:pt idx="4">
                <c:v>2024</c:v>
              </c:pt>
              <c:pt idx="5">
                <c:v>2025</c:v>
              </c:pt>
            </c:strLit>
          </c:cat>
          <c:val>
            <c:numLit>
              <c:formatCode>General</c:formatCode>
              <c:ptCount val="6"/>
              <c:pt idx="0">
                <c:v>23</c:v>
              </c:pt>
              <c:pt idx="1">
                <c:v>47</c:v>
              </c:pt>
              <c:pt idx="2">
                <c:v>32</c:v>
              </c:pt>
              <c:pt idx="3">
                <c:v>26</c:v>
              </c:pt>
              <c:pt idx="4">
                <c:v>20</c:v>
              </c:pt>
              <c:pt idx="5">
                <c:v>17</c:v>
              </c:pt>
            </c:numLit>
          </c:val>
          <c:extLst>
            <c:ext xmlns:c16="http://schemas.microsoft.com/office/drawing/2014/chart" uri="{C3380CC4-5D6E-409C-BE32-E72D297353CC}">
              <c16:uniqueId val="{00000000-A2F2-B444-9DCF-2A44CC650604}"/>
            </c:ext>
          </c:extLst>
        </c:ser>
        <c:dLbls>
          <c:showLegendKey val="0"/>
          <c:showVal val="0"/>
          <c:showCatName val="0"/>
          <c:showSerName val="0"/>
          <c:showPercent val="0"/>
          <c:showBubbleSize val="0"/>
        </c:dLbls>
        <c:gapWidth val="219"/>
        <c:overlap val="-27"/>
        <c:axId val="594678207"/>
        <c:axId val="594619343"/>
      </c:barChart>
      <c:lineChart>
        <c:grouping val="standard"/>
        <c:varyColors val="0"/>
        <c:ser>
          <c:idx val="1"/>
          <c:order val="1"/>
          <c:tx>
            <c:v>Avg $/SF</c:v>
          </c:tx>
          <c:spPr>
            <a:ln w="28575" cap="rnd">
              <a:solidFill>
                <a:srgbClr val="00B050"/>
              </a:solidFill>
              <a:round/>
            </a:ln>
            <a:effectLst/>
          </c:spPr>
          <c:marker>
            <c:symbol val="none"/>
          </c:marker>
          <c:cat>
            <c:strLit>
              <c:ptCount val="6"/>
              <c:pt idx="0">
                <c:v>2020</c:v>
              </c:pt>
              <c:pt idx="1">
                <c:v>2021</c:v>
              </c:pt>
              <c:pt idx="2">
                <c:v>2022</c:v>
              </c:pt>
              <c:pt idx="3">
                <c:v>2023</c:v>
              </c:pt>
              <c:pt idx="4">
                <c:v>2024</c:v>
              </c:pt>
              <c:pt idx="5">
                <c:v>2025</c:v>
              </c:pt>
            </c:strLit>
          </c:cat>
          <c:val>
            <c:numLit>
              <c:formatCode>General</c:formatCode>
              <c:ptCount val="6"/>
              <c:pt idx="0">
                <c:v>268.56027863528629</c:v>
              </c:pt>
              <c:pt idx="1">
                <c:v>285.97428398422414</c:v>
              </c:pt>
              <c:pt idx="2">
                <c:v>257.13098312215755</c:v>
              </c:pt>
              <c:pt idx="3">
                <c:v>249.38620480320589</c:v>
              </c:pt>
              <c:pt idx="4">
                <c:v>263.12592280877385</c:v>
              </c:pt>
              <c:pt idx="5">
                <c:v>344.27083305622699</c:v>
              </c:pt>
            </c:numLit>
          </c:val>
          <c:smooth val="0"/>
          <c:extLst>
            <c:ext xmlns:c16="http://schemas.microsoft.com/office/drawing/2014/chart" uri="{C3380CC4-5D6E-409C-BE32-E72D297353CC}">
              <c16:uniqueId val="{00000001-A2F2-B444-9DCF-2A44CC650604}"/>
            </c:ext>
          </c:extLst>
        </c:ser>
        <c:dLbls>
          <c:showLegendKey val="0"/>
          <c:showVal val="0"/>
          <c:showCatName val="0"/>
          <c:showSerName val="0"/>
          <c:showPercent val="0"/>
          <c:showBubbleSize val="0"/>
        </c:dLbls>
        <c:marker val="1"/>
        <c:smooth val="0"/>
        <c:axId val="1947863311"/>
        <c:axId val="1948159775"/>
      </c:lineChart>
      <c:catAx>
        <c:axId val="5946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94619343"/>
        <c:crosses val="autoZero"/>
        <c:auto val="1"/>
        <c:lblAlgn val="ctr"/>
        <c:lblOffset val="100"/>
        <c:noMultiLvlLbl val="0"/>
      </c:catAx>
      <c:valAx>
        <c:axId val="5946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94678207"/>
        <c:crosses val="autoZero"/>
        <c:crossBetween val="between"/>
      </c:valAx>
      <c:valAx>
        <c:axId val="19481597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947863311"/>
        <c:crosses val="max"/>
        <c:crossBetween val="between"/>
      </c:valAx>
      <c:catAx>
        <c:axId val="1947863311"/>
        <c:scaling>
          <c:orientation val="minMax"/>
        </c:scaling>
        <c:delete val="1"/>
        <c:axPos val="b"/>
        <c:numFmt formatCode="General" sourceLinked="1"/>
        <c:majorTickMark val="out"/>
        <c:minorTickMark val="none"/>
        <c:tickLblPos val="nextTo"/>
        <c:crossAx val="1948159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D4A843"/>
          </a:solidFill>
          <a:ln w="19050">
            <a:solidFill>
              <a:schemeClr val="lt1"/>
            </a:solidFill>
          </a:ln>
          <a:effectLst/>
        </c:spPr>
      </c:pivotFmt>
      <c:pivotFmt>
        <c:idx val="2"/>
        <c:spPr>
          <a:solidFill>
            <a:srgbClr val="98002D"/>
          </a:solidFill>
          <a:ln w="19050">
            <a:solidFill>
              <a:schemeClr val="lt1"/>
            </a:solidFill>
          </a:ln>
          <a:effectLst/>
        </c:spPr>
      </c:pivotFmt>
      <c:pivotFmt>
        <c:idx val="3"/>
        <c:spPr>
          <a:solidFill>
            <a:srgbClr val="4A7C9B"/>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spPr>
          <a:solidFill>
            <a:srgbClr val="D4A843"/>
          </a:solidFill>
          <a:ln w="19050">
            <a:solidFill>
              <a:schemeClr val="lt1"/>
            </a:solidFill>
          </a:ln>
          <a:effectLst/>
        </c:spPr>
      </c:pivotFmt>
      <c:pivotFmt>
        <c:idx val="6"/>
        <c:spPr>
          <a:solidFill>
            <a:srgbClr val="98002D"/>
          </a:solidFill>
          <a:ln w="19050">
            <a:solidFill>
              <a:schemeClr val="lt1"/>
            </a:solidFill>
          </a:ln>
          <a:effectLst/>
        </c:spPr>
      </c:pivotFmt>
      <c:pivotFmt>
        <c:idx val="7"/>
        <c:spPr>
          <a:solidFill>
            <a:srgbClr val="4A7C9B"/>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9"/>
        <c:spPr>
          <a:solidFill>
            <a:srgbClr val="D4A843"/>
          </a:solidFill>
          <a:ln w="19050">
            <a:solidFill>
              <a:schemeClr val="lt1"/>
            </a:solidFill>
          </a:ln>
          <a:effectLst/>
        </c:spPr>
      </c:pivotFmt>
      <c:pivotFmt>
        <c:idx val="10"/>
        <c:spPr>
          <a:solidFill>
            <a:srgbClr val="98002D"/>
          </a:solidFill>
          <a:ln w="19050">
            <a:solidFill>
              <a:schemeClr val="lt1"/>
            </a:solidFill>
          </a:ln>
          <a:effectLst/>
        </c:spPr>
      </c:pivotFmt>
      <c:pivotFmt>
        <c:idx val="11"/>
        <c:spPr>
          <a:solidFill>
            <a:srgbClr val="4A7C9B"/>
          </a:solidFill>
          <a:ln w="19050">
            <a:solidFill>
              <a:schemeClr val="lt1"/>
            </a:solidFill>
          </a:ln>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spPr>
          <a:solidFill>
            <a:srgbClr val="D4A843"/>
          </a:solidFill>
          <a:ln w="19050">
            <a:solidFill>
              <a:schemeClr val="lt1"/>
            </a:solidFill>
          </a:ln>
          <a:effectLst/>
        </c:spPr>
      </c:pivotFmt>
      <c:pivotFmt>
        <c:idx val="14"/>
        <c:spPr>
          <a:solidFill>
            <a:srgbClr val="98002D"/>
          </a:solidFill>
          <a:ln w="19050">
            <a:solidFill>
              <a:schemeClr val="lt1"/>
            </a:solidFill>
          </a:ln>
          <a:effectLst/>
        </c:spPr>
      </c:pivotFmt>
      <c:pivotFmt>
        <c:idx val="15"/>
        <c:spPr>
          <a:solidFill>
            <a:srgbClr val="4A7C9B"/>
          </a:solidFill>
          <a:ln w="19050">
            <a:solidFill>
              <a:schemeClr val="lt1"/>
            </a:solidFill>
          </a:ln>
          <a:effectLst/>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spPr>
          <a:solidFill>
            <a:srgbClr val="D4A843"/>
          </a:solidFill>
          <a:ln w="19050">
            <a:solidFill>
              <a:schemeClr val="lt1"/>
            </a:solidFill>
          </a:ln>
          <a:effectLst/>
        </c:spPr>
      </c:pivotFmt>
      <c:pivotFmt>
        <c:idx val="18"/>
        <c:spPr>
          <a:solidFill>
            <a:srgbClr val="98002D"/>
          </a:solidFill>
          <a:ln w="19050">
            <a:solidFill>
              <a:schemeClr val="lt1"/>
            </a:solidFill>
          </a:ln>
          <a:effectLst/>
        </c:spPr>
      </c:pivotFmt>
      <c:pivotFmt>
        <c:idx val="19"/>
        <c:spPr>
          <a:solidFill>
            <a:srgbClr val="4A7C9B"/>
          </a:solidFill>
          <a:ln w="19050">
            <a:solidFill>
              <a:schemeClr val="lt1"/>
            </a:solidFill>
          </a:ln>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1"/>
        <c:spPr>
          <a:solidFill>
            <a:srgbClr val="D4A843"/>
          </a:solidFill>
          <a:ln w="19050">
            <a:solidFill>
              <a:schemeClr val="lt1"/>
            </a:solidFill>
          </a:ln>
          <a:effectLst/>
        </c:spPr>
      </c:pivotFmt>
      <c:pivotFmt>
        <c:idx val="22"/>
        <c:spPr>
          <a:solidFill>
            <a:srgbClr val="98002D"/>
          </a:solidFill>
          <a:ln w="19050">
            <a:solidFill>
              <a:schemeClr val="lt1"/>
            </a:solidFill>
          </a:ln>
          <a:effectLst/>
        </c:spPr>
      </c:pivotFmt>
      <c:pivotFmt>
        <c:idx val="23"/>
        <c:spPr>
          <a:solidFill>
            <a:srgbClr val="4A7C9B"/>
          </a:solidFill>
          <a:ln w="19050">
            <a:solidFill>
              <a:schemeClr val="lt1"/>
            </a:solidFill>
          </a:ln>
          <a:effectLst/>
        </c:spPr>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5"/>
        <c:spPr>
          <a:solidFill>
            <a:srgbClr val="D4A843"/>
          </a:solidFill>
          <a:ln w="19050">
            <a:solidFill>
              <a:schemeClr val="lt1"/>
            </a:solidFill>
          </a:ln>
          <a:effectLst/>
        </c:spPr>
      </c:pivotFmt>
      <c:pivotFmt>
        <c:idx val="26"/>
        <c:spPr>
          <a:solidFill>
            <a:srgbClr val="98002D"/>
          </a:solidFill>
          <a:ln w="19050">
            <a:solidFill>
              <a:schemeClr val="lt1"/>
            </a:solidFill>
          </a:ln>
          <a:effectLst/>
        </c:spPr>
      </c:pivotFmt>
      <c:pivotFmt>
        <c:idx val="27"/>
        <c:spPr>
          <a:solidFill>
            <a:srgbClr val="4A7C9B"/>
          </a:solidFill>
          <a:ln w="19050">
            <a:solidFill>
              <a:schemeClr val="lt1"/>
            </a:solidFill>
          </a:ln>
          <a:effectLst/>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9"/>
        <c:spPr>
          <a:solidFill>
            <a:srgbClr val="D4A843"/>
          </a:solidFill>
          <a:ln w="19050">
            <a:solidFill>
              <a:schemeClr val="lt1"/>
            </a:solidFill>
          </a:ln>
          <a:effectLst/>
        </c:spPr>
      </c:pivotFmt>
      <c:pivotFmt>
        <c:idx val="30"/>
        <c:spPr>
          <a:solidFill>
            <a:srgbClr val="98002D"/>
          </a:solidFill>
          <a:ln w="19050">
            <a:solidFill>
              <a:schemeClr val="lt1"/>
            </a:solidFill>
          </a:ln>
          <a:effectLst/>
        </c:spPr>
      </c:pivotFmt>
      <c:pivotFmt>
        <c:idx val="31"/>
        <c:spPr>
          <a:solidFill>
            <a:srgbClr val="4A7C9B"/>
          </a:solidFill>
          <a:ln w="19050">
            <a:solidFill>
              <a:schemeClr val="lt1"/>
            </a:solidFill>
          </a:ln>
          <a:effectLst/>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33"/>
        <c:spPr>
          <a:solidFill>
            <a:srgbClr val="D4A843"/>
          </a:solidFill>
          <a:ln w="19050">
            <a:solidFill>
              <a:schemeClr val="lt1"/>
            </a:solidFill>
          </a:ln>
          <a:effectLst/>
        </c:spPr>
      </c:pivotFmt>
      <c:pivotFmt>
        <c:idx val="34"/>
        <c:spPr>
          <a:solidFill>
            <a:srgbClr val="98002D"/>
          </a:solidFill>
          <a:ln w="19050">
            <a:solidFill>
              <a:schemeClr val="lt1"/>
            </a:solidFill>
          </a:ln>
          <a:effectLst/>
        </c:spPr>
      </c:pivotFmt>
      <c:pivotFmt>
        <c:idx val="35"/>
        <c:spPr>
          <a:solidFill>
            <a:srgbClr val="4A7C9B"/>
          </a:solidFill>
          <a:ln w="19050">
            <a:solidFill>
              <a:schemeClr val="lt1"/>
            </a:solidFill>
          </a:ln>
          <a:effectLst/>
        </c:spPr>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37"/>
        <c:spPr>
          <a:solidFill>
            <a:srgbClr val="D4A843"/>
          </a:solidFill>
          <a:ln w="19050">
            <a:solidFill>
              <a:schemeClr val="lt1"/>
            </a:solidFill>
          </a:ln>
          <a:effectLst/>
        </c:spPr>
      </c:pivotFmt>
      <c:pivotFmt>
        <c:idx val="38"/>
        <c:spPr>
          <a:solidFill>
            <a:srgbClr val="98002D"/>
          </a:solidFill>
          <a:ln w="19050">
            <a:solidFill>
              <a:schemeClr val="lt1"/>
            </a:solidFill>
          </a:ln>
          <a:effectLst/>
        </c:spPr>
      </c:pivotFmt>
      <c:pivotFmt>
        <c:idx val="39"/>
        <c:spPr>
          <a:solidFill>
            <a:srgbClr val="4A7C9B"/>
          </a:solidFill>
          <a:ln w="19050">
            <a:solidFill>
              <a:schemeClr val="lt1"/>
            </a:solidFill>
          </a:ln>
          <a:effectLst/>
        </c:spPr>
      </c:pivotFmt>
      <c:pivotFmt>
        <c:idx val="40"/>
        <c:marker>
          <c:symbol val="none"/>
        </c:marker>
        <c:dLbl>
          <c:idx val="0"/>
          <c:delete val="1"/>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marker>
          <c:symbol val="none"/>
        </c:marker>
        <c:dLbl>
          <c:idx val="0"/>
          <c:delete val="1"/>
          <c:extLst>
            <c:ext xmlns:c15="http://schemas.microsoft.com/office/drawing/2012/chart" uri="{CE6537A1-D6FC-4f65-9D91-7224C49458BB}"/>
          </c:extLst>
        </c:dLbl>
      </c:pivotFmt>
      <c:pivotFmt>
        <c:idx val="43"/>
        <c:marker>
          <c:symbol val="none"/>
        </c:marker>
        <c:dLbl>
          <c:idx val="0"/>
          <c:delete val="1"/>
          <c:extLst>
            <c:ext xmlns:c15="http://schemas.microsoft.com/office/drawing/2012/chart" uri="{CE6537A1-D6FC-4f65-9D91-7224C49458BB}"/>
          </c:extLst>
        </c:dLbl>
      </c:pivotFmt>
      <c:pivotFmt>
        <c:idx val="44"/>
        <c:marker>
          <c:symbol val="none"/>
        </c:marker>
        <c:dLbl>
          <c:idx val="0"/>
          <c:delete val="1"/>
          <c:extLst>
            <c:ext xmlns:c15="http://schemas.microsoft.com/office/drawing/2012/chart" uri="{CE6537A1-D6FC-4f65-9D91-7224C49458BB}"/>
          </c:extLst>
        </c:dLbl>
      </c:pivotFmt>
    </c:pivotFmts>
    <c:view3D>
      <c:rotX val="75"/>
      <c:rotY val="0"/>
      <c:rAngAx val="0"/>
    </c:view3D>
    <c:floor>
      <c:thickness val="0"/>
    </c:floor>
    <c:sideWall>
      <c:thickness val="0"/>
    </c:sideWall>
    <c:backWall>
      <c:thickness val="0"/>
    </c:backWall>
    <c:plotArea>
      <c:layout>
        <c:manualLayout>
          <c:layoutTarget val="inner"/>
          <c:xMode val="edge"/>
          <c:yMode val="edge"/>
          <c:x val="7.1248033065112279E-2"/>
          <c:y val="0.10793624519639906"/>
          <c:w val="0.54773922118155149"/>
          <c:h val="0.80836017371194802"/>
        </c:manualLayout>
      </c:layout>
      <c:pie3DChart>
        <c:varyColors val="1"/>
        <c:ser>
          <c:idx val="0"/>
          <c:order val="0"/>
          <c:tx>
            <c:v>Series1</c:v>
          </c:tx>
          <c:dPt>
            <c:idx val="0"/>
            <c:bubble3D val="0"/>
            <c:spPr>
              <a:solidFill>
                <a:srgbClr val="D4A843"/>
              </a:solidFill>
              <a:ln w="19050">
                <a:solidFill>
                  <a:schemeClr val="lt1"/>
                </a:solidFill>
              </a:ln>
              <a:effectLst/>
            </c:spPr>
            <c:extLst>
              <c:ext xmlns:c16="http://schemas.microsoft.com/office/drawing/2014/chart" uri="{C3380CC4-5D6E-409C-BE32-E72D297353CC}">
                <c16:uniqueId val="{00000017-EB31-464D-B056-A2D4541073E7}"/>
              </c:ext>
            </c:extLst>
          </c:dPt>
          <c:dPt>
            <c:idx val="1"/>
            <c:bubble3D val="0"/>
            <c:spPr>
              <a:solidFill>
                <a:srgbClr val="98002D"/>
              </a:solidFill>
              <a:ln w="19050">
                <a:solidFill>
                  <a:schemeClr val="lt1"/>
                </a:solidFill>
              </a:ln>
              <a:effectLst/>
            </c:spPr>
            <c:extLst>
              <c:ext xmlns:c16="http://schemas.microsoft.com/office/drawing/2014/chart" uri="{C3380CC4-5D6E-409C-BE32-E72D297353CC}">
                <c16:uniqueId val="{00000019-EB31-464D-B056-A2D4541073E7}"/>
              </c:ext>
            </c:extLst>
          </c:dPt>
          <c:dPt>
            <c:idx val="2"/>
            <c:bubble3D val="0"/>
            <c:spPr>
              <a:solidFill>
                <a:srgbClr val="4A7C9B"/>
              </a:solidFill>
              <a:ln w="19050">
                <a:solidFill>
                  <a:schemeClr val="lt1"/>
                </a:solidFill>
              </a:ln>
              <a:effectLst/>
            </c:spPr>
            <c:extLst>
              <c:ext xmlns:c16="http://schemas.microsoft.com/office/drawing/2014/chart" uri="{C3380CC4-5D6E-409C-BE32-E72D297353CC}">
                <c16:uniqueId val="{0000001B-EB31-464D-B056-A2D4541073E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Narrow"/>
                    <a:ea typeface="Aptos Narrow"/>
                    <a:cs typeface="Aptos Narrow"/>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Hospitals</c:v>
              </c:pt>
              <c:pt idx="1">
                <c:v>Medical</c:v>
              </c:pt>
              <c:pt idx="2">
                <c:v>Multi-Tenant Medical</c:v>
              </c:pt>
            </c:strLit>
          </c:cat>
          <c:val>
            <c:numLit>
              <c:formatCode>General</c:formatCode>
              <c:ptCount val="3"/>
              <c:pt idx="0">
                <c:v>9</c:v>
              </c:pt>
              <c:pt idx="1">
                <c:v>125</c:v>
              </c:pt>
              <c:pt idx="2">
                <c:v>31</c:v>
              </c:pt>
            </c:numLit>
          </c:val>
          <c:extLst>
            <c:ext xmlns:c16="http://schemas.microsoft.com/office/drawing/2014/chart" uri="{C3380CC4-5D6E-409C-BE32-E72D297353CC}">
              <c16:uniqueId val="{0000001C-EB31-464D-B056-A2D4541073E7}"/>
            </c:ext>
          </c:extLst>
        </c:ser>
        <c:dLbls>
          <c:showLegendKey val="0"/>
          <c:showVal val="0"/>
          <c:showCatName val="0"/>
          <c:showSerName val="0"/>
          <c:showPercent val="0"/>
          <c:showBubbleSize val="0"/>
          <c:showLeaderLines val="1"/>
        </c:dLbls>
      </c:pie3DChart>
    </c:plotArea>
    <c:legend>
      <c:legendPos val="r"/>
      <c:layout>
        <c:manualLayout>
          <c:xMode val="edge"/>
          <c:yMode val="edge"/>
          <c:x val="0.62110846826429067"/>
          <c:y val="0.20072278213880929"/>
          <c:w val="0.31574266377620602"/>
          <c:h val="0.52734442400190773"/>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Calibri" panose="020F0502020204030204" pitchFamily="34" charset="0"/>
              <a:ea typeface="Aptos Narrow"/>
              <a:cs typeface="Calibri" panose="020F0502020204030204" pitchFamily="34" charset="0"/>
            </a:defRPr>
          </a:pPr>
          <a:endParaRPr lang="en-US"/>
        </a:p>
      </c:txPr>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Interest Rate Environment (2020–2025)</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'Market Trends'!$A$6</c:f>
              <c:strCache>
                <c:ptCount val="1"/>
                <c:pt idx="0">
                  <c:v>Fed Funds Rate (Avg %)</c:v>
                </c:pt>
              </c:strCache>
            </c:strRef>
          </c:tx>
          <c:spPr>
            <a:ln w="28575" cap="rnd">
              <a:solidFill>
                <a:srgbClr val="C00000"/>
              </a:solidFill>
              <a:prstDash val="solid"/>
              <a:round/>
            </a:ln>
            <a:effectLst/>
          </c:spPr>
          <c:marker>
            <c:symbol val="circle"/>
            <c:size val="5"/>
            <c:spPr>
              <a:solidFill>
                <a:schemeClr val="accent1"/>
              </a:solidFill>
              <a:ln w="9525">
                <a:solidFill>
                  <a:schemeClr val="accent1"/>
                </a:solidFill>
              </a:ln>
              <a:effectLst/>
            </c:spPr>
          </c:marker>
          <c:cat>
            <c:strRef>
              <c:f>'Market Trends'!$B$5:$G$5</c:f>
              <c:strCache>
                <c:ptCount val="6"/>
                <c:pt idx="0">
                  <c:v>2020</c:v>
                </c:pt>
                <c:pt idx="1">
                  <c:v>2021</c:v>
                </c:pt>
                <c:pt idx="2">
                  <c:v>2022</c:v>
                </c:pt>
                <c:pt idx="3">
                  <c:v>2023</c:v>
                </c:pt>
                <c:pt idx="4">
                  <c:v>2024</c:v>
                </c:pt>
                <c:pt idx="5">
                  <c:v>2025 YTD</c:v>
                </c:pt>
              </c:strCache>
            </c:strRef>
          </c:cat>
          <c:val>
            <c:numRef>
              <c:f>'Market Trends'!$B$6:$G$6</c:f>
              <c:numCache>
                <c:formatCode>0.00%</c:formatCode>
                <c:ptCount val="6"/>
                <c:pt idx="0">
                  <c:v>3.5999999999999999E-3</c:v>
                </c:pt>
                <c:pt idx="1">
                  <c:v>8.0000000000000004E-4</c:v>
                </c:pt>
                <c:pt idx="2">
                  <c:v>1.6799999999999999E-2</c:v>
                </c:pt>
                <c:pt idx="3">
                  <c:v>5.0299999999999997E-2</c:v>
                </c:pt>
                <c:pt idx="4">
                  <c:v>4.58E-2</c:v>
                </c:pt>
                <c:pt idx="5">
                  <c:v>3.9800000000000002E-2</c:v>
                </c:pt>
              </c:numCache>
            </c:numRef>
          </c:val>
          <c:smooth val="0"/>
          <c:extLst>
            <c:ext xmlns:c16="http://schemas.microsoft.com/office/drawing/2014/chart" uri="{C3380CC4-5D6E-409C-BE32-E72D297353CC}">
              <c16:uniqueId val="{00000000-AD4D-AE43-9E0B-49251FCD8D2B}"/>
            </c:ext>
          </c:extLst>
        </c:ser>
        <c:ser>
          <c:idx val="1"/>
          <c:order val="1"/>
          <c:tx>
            <c:strRef>
              <c:f>'Market Trends'!$A$7</c:f>
              <c:strCache>
                <c:ptCount val="1"/>
                <c:pt idx="0">
                  <c:v>10-Year Treasury (Avg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'Market Trends'!$B$5:$G$5</c:f>
              <c:strCache>
                <c:ptCount val="6"/>
                <c:pt idx="0">
                  <c:v>2020</c:v>
                </c:pt>
                <c:pt idx="1">
                  <c:v>2021</c:v>
                </c:pt>
                <c:pt idx="2">
                  <c:v>2022</c:v>
                </c:pt>
                <c:pt idx="3">
                  <c:v>2023</c:v>
                </c:pt>
                <c:pt idx="4">
                  <c:v>2024</c:v>
                </c:pt>
                <c:pt idx="5">
                  <c:v>2025 YTD</c:v>
                </c:pt>
              </c:strCache>
            </c:strRef>
          </c:cat>
          <c:val>
            <c:numRef>
              <c:f>'Market Trends'!$B$7:$G$7</c:f>
              <c:numCache>
                <c:formatCode>0.00%</c:formatCode>
                <c:ptCount val="6"/>
                <c:pt idx="0">
                  <c:v>8.8999999999999999E-3</c:v>
                </c:pt>
                <c:pt idx="1">
                  <c:v>1.4500000000000001E-2</c:v>
                </c:pt>
                <c:pt idx="2">
                  <c:v>2.9499999999999998E-2</c:v>
                </c:pt>
                <c:pt idx="3">
                  <c:v>3.9600000000000003E-2</c:v>
                </c:pt>
                <c:pt idx="4">
                  <c:v>4.2500000000000003E-2</c:v>
                </c:pt>
                <c:pt idx="5">
                  <c:v>4.2500000000000003E-2</c:v>
                </c:pt>
              </c:numCache>
            </c:numRef>
          </c:val>
          <c:smooth val="0"/>
          <c:extLst>
            <c:ext xmlns:c16="http://schemas.microsoft.com/office/drawing/2014/chart" uri="{C3380CC4-5D6E-409C-BE32-E72D297353CC}">
              <c16:uniqueId val="{00000001-AD4D-AE43-9E0B-49251FCD8D2B}"/>
            </c:ext>
          </c:extLst>
        </c:ser>
        <c:dLbls>
          <c:showLegendKey val="0"/>
          <c:showVal val="0"/>
          <c:showCatName val="0"/>
          <c:showSerName val="0"/>
          <c:showPercent val="0"/>
          <c:showBubbleSize val="0"/>
        </c:dLbls>
        <c:marker val="1"/>
        <c:smooth val="0"/>
        <c:axId val="666652064"/>
        <c:axId val="1690487744"/>
      </c:lineChart>
      <c:catAx>
        <c:axId val="66665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87744"/>
        <c:crosses val="autoZero"/>
        <c:auto val="1"/>
        <c:lblAlgn val="ctr"/>
        <c:lblOffset val="100"/>
        <c:noMultiLvlLbl val="0"/>
      </c:catAx>
      <c:valAx>
        <c:axId val="1690487744"/>
        <c:scaling>
          <c:orientation val="minMax"/>
          <c:max val="0.06"/>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5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MSA Population Growth, 2020–2024</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1"/>
          <c:order val="0"/>
          <c:tx>
            <c:v>Growth %</c:v>
          </c:tx>
          <c:spPr>
            <a:solidFill>
              <a:schemeClr val="accent2"/>
            </a:solidFill>
            <a:ln>
              <a:noFill/>
            </a:ln>
            <a:effectLst/>
          </c:spPr>
          <c:invertIfNegative val="0"/>
          <c:dPt>
            <c:idx val="0"/>
            <c:invertIfNegative val="0"/>
            <c:bubble3D val="0"/>
            <c:spPr>
              <a:solidFill>
                <a:srgbClr val="D35400"/>
              </a:solidFill>
              <a:ln>
                <a:noFill/>
              </a:ln>
              <a:effectLst/>
            </c:spPr>
            <c:extLst>
              <c:ext xmlns:c16="http://schemas.microsoft.com/office/drawing/2014/chart" uri="{C3380CC4-5D6E-409C-BE32-E72D297353CC}">
                <c16:uniqueId val="{00000003-37A4-8246-8E20-E388312C230B}"/>
              </c:ext>
            </c:extLst>
          </c:dPt>
          <c:dPt>
            <c:idx val="1"/>
            <c:invertIfNegative val="0"/>
            <c:bubble3D val="0"/>
            <c:spPr>
              <a:solidFill>
                <a:srgbClr val="B0C4DE"/>
              </a:solidFill>
              <a:ln>
                <a:noFill/>
              </a:ln>
              <a:effectLst/>
            </c:spPr>
            <c:extLst>
              <c:ext xmlns:c16="http://schemas.microsoft.com/office/drawing/2014/chart" uri="{C3380CC4-5D6E-409C-BE32-E72D297353CC}">
                <c16:uniqueId val="{00000004-37A4-8246-8E20-E388312C230B}"/>
              </c:ext>
            </c:extLst>
          </c:dPt>
          <c:dPt>
            <c:idx val="2"/>
            <c:invertIfNegative val="0"/>
            <c:bubble3D val="0"/>
            <c:spPr>
              <a:solidFill>
                <a:srgbClr val="B0C4DE"/>
              </a:solidFill>
              <a:ln>
                <a:noFill/>
              </a:ln>
              <a:effectLst/>
            </c:spPr>
            <c:extLst>
              <c:ext xmlns:c16="http://schemas.microsoft.com/office/drawing/2014/chart" uri="{C3380CC4-5D6E-409C-BE32-E72D297353CC}">
                <c16:uniqueId val="{00000005-37A4-8246-8E20-E388312C230B}"/>
              </c:ext>
            </c:extLst>
          </c:dPt>
          <c:dPt>
            <c:idx val="3"/>
            <c:invertIfNegative val="0"/>
            <c:bubble3D val="0"/>
            <c:spPr>
              <a:solidFill>
                <a:srgbClr val="B0C4DE"/>
              </a:solidFill>
              <a:ln>
                <a:noFill/>
              </a:ln>
              <a:effectLst/>
            </c:spPr>
            <c:extLst>
              <c:ext xmlns:c16="http://schemas.microsoft.com/office/drawing/2014/chart" uri="{C3380CC4-5D6E-409C-BE32-E72D297353CC}">
                <c16:uniqueId val="{00000006-37A4-8246-8E20-E388312C230B}"/>
              </c:ext>
            </c:extLst>
          </c:dPt>
          <c:dPt>
            <c:idx val="4"/>
            <c:invertIfNegative val="0"/>
            <c:bubble3D val="0"/>
            <c:spPr>
              <a:solidFill>
                <a:srgbClr val="B0C4DE"/>
              </a:solidFill>
              <a:ln>
                <a:noFill/>
              </a:ln>
              <a:effectLst/>
            </c:spPr>
            <c:extLst>
              <c:ext xmlns:c16="http://schemas.microsoft.com/office/drawing/2014/chart" uri="{C3380CC4-5D6E-409C-BE32-E72D297353CC}">
                <c16:uniqueId val="{00000007-37A4-8246-8E20-E388312C230B}"/>
              </c:ext>
            </c:extLst>
          </c:dPt>
          <c:dPt>
            <c:idx val="5"/>
            <c:invertIfNegative val="0"/>
            <c:bubble3D val="0"/>
            <c:spPr>
              <a:solidFill>
                <a:srgbClr val="B0C4DE"/>
              </a:solidFill>
              <a:ln>
                <a:noFill/>
              </a:ln>
              <a:effectLst/>
            </c:spPr>
            <c:extLst>
              <c:ext xmlns:c16="http://schemas.microsoft.com/office/drawing/2014/chart" uri="{C3380CC4-5D6E-409C-BE32-E72D297353CC}">
                <c16:uniqueId val="{00000008-37A4-8246-8E20-E388312C230B}"/>
              </c:ext>
            </c:extLst>
          </c:dPt>
          <c:dPt>
            <c:idx val="6"/>
            <c:invertIfNegative val="0"/>
            <c:bubble3D val="0"/>
            <c:spPr>
              <a:solidFill>
                <a:srgbClr val="B0C4DE"/>
              </a:solidFill>
              <a:ln>
                <a:noFill/>
              </a:ln>
              <a:effectLst/>
            </c:spPr>
            <c:extLst>
              <c:ext xmlns:c16="http://schemas.microsoft.com/office/drawing/2014/chart" uri="{C3380CC4-5D6E-409C-BE32-E72D297353CC}">
                <c16:uniqueId val="{00000009-37A4-8246-8E20-E388312C230B}"/>
              </c:ext>
            </c:extLst>
          </c:dPt>
          <c:dPt>
            <c:idx val="7"/>
            <c:invertIfNegative val="0"/>
            <c:bubble3D val="0"/>
            <c:spPr>
              <a:solidFill>
                <a:srgbClr val="B0C4DE"/>
              </a:solidFill>
              <a:ln>
                <a:noFill/>
              </a:ln>
              <a:effectLst/>
            </c:spPr>
            <c:extLst>
              <c:ext xmlns:c16="http://schemas.microsoft.com/office/drawing/2014/chart" uri="{C3380CC4-5D6E-409C-BE32-E72D297353CC}">
                <c16:uniqueId val="{0000000A-37A4-8246-8E20-E388312C230B}"/>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 Trends'!$H$72:$H$79</c:f>
              <c:strCache>
                <c:ptCount val="8"/>
                <c:pt idx="0">
                  <c:v>Orlando ★</c:v>
                </c:pt>
                <c:pt idx="1">
                  <c:v>Dallas-Fort Worth</c:v>
                </c:pt>
                <c:pt idx="2">
                  <c:v>Charlotte</c:v>
                </c:pt>
                <c:pt idx="3">
                  <c:v>San Antonio</c:v>
                </c:pt>
                <c:pt idx="4">
                  <c:v>Tampa</c:v>
                </c:pt>
                <c:pt idx="5">
                  <c:v>Nashville</c:v>
                </c:pt>
                <c:pt idx="6">
                  <c:v>Phoenix</c:v>
                </c:pt>
                <c:pt idx="7">
                  <c:v>Miami</c:v>
                </c:pt>
              </c:strCache>
            </c:strRef>
          </c:cat>
          <c:val>
            <c:numRef>
              <c:f>'Market Trends'!$G$72:$G$79</c:f>
              <c:numCache>
                <c:formatCode>0.0%</c:formatCode>
                <c:ptCount val="8"/>
                <c:pt idx="0">
                  <c:v>9.6963619617002728E-2</c:v>
                </c:pt>
                <c:pt idx="1">
                  <c:v>8.8220372648838641E-2</c:v>
                </c:pt>
                <c:pt idx="2">
                  <c:v>8.1102919048488209E-2</c:v>
                </c:pt>
                <c:pt idx="3">
                  <c:v>7.5545313524865376E-2</c:v>
                </c:pt>
                <c:pt idx="4">
                  <c:v>7.4213370891194064E-2</c:v>
                </c:pt>
                <c:pt idx="5">
                  <c:v>6.3669209748618227E-2</c:v>
                </c:pt>
                <c:pt idx="6">
                  <c:v>6.3854338353951601E-2</c:v>
                </c:pt>
                <c:pt idx="7">
                  <c:v>5.2903871230497668E-2</c:v>
                </c:pt>
              </c:numCache>
            </c:numRef>
          </c:val>
          <c:extLst>
            <c:ext xmlns:c16="http://schemas.microsoft.com/office/drawing/2014/chart" uri="{C3380CC4-5D6E-409C-BE32-E72D297353CC}">
              <c16:uniqueId val="{00000001-37A4-8246-8E20-E388312C230B}"/>
            </c:ext>
          </c:extLst>
        </c:ser>
        <c:dLbls>
          <c:showLegendKey val="0"/>
          <c:showVal val="0"/>
          <c:showCatName val="0"/>
          <c:showSerName val="0"/>
          <c:showPercent val="0"/>
          <c:showBubbleSize val="0"/>
        </c:dLbls>
        <c:gapWidth val="182"/>
        <c:axId val="523230735"/>
        <c:axId val="666603328"/>
      </c:barChart>
      <c:catAx>
        <c:axId val="52323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666603328"/>
        <c:crosses val="autoZero"/>
        <c:auto val="1"/>
        <c:lblAlgn val="ctr"/>
        <c:lblOffset val="100"/>
        <c:noMultiLvlLbl val="0"/>
      </c:catAx>
      <c:valAx>
        <c:axId val="6666033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2323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Year-over-Year Population Growth by County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Orange County</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'Market Trends'!$C$12:$G$12</c:f>
              <c:strCache>
                <c:ptCount val="5"/>
                <c:pt idx="0">
                  <c:v>2021</c:v>
                </c:pt>
                <c:pt idx="1">
                  <c:v>2022</c:v>
                </c:pt>
                <c:pt idx="2">
                  <c:v>2023</c:v>
                </c:pt>
                <c:pt idx="3">
                  <c:v>2024</c:v>
                </c:pt>
                <c:pt idx="4">
                  <c:v>2025 Est.</c:v>
                </c:pt>
              </c:strCache>
            </c:strRef>
          </c:cat>
          <c:val>
            <c:numRef>
              <c:f>'Market Trends'!$C$19:$G$19</c:f>
              <c:numCache>
                <c:formatCode>0.0%</c:formatCode>
                <c:ptCount val="5"/>
                <c:pt idx="0">
                  <c:v>1.9995692030536229E-2</c:v>
                </c:pt>
                <c:pt idx="1">
                  <c:v>1.5646897497428865E-2</c:v>
                </c:pt>
                <c:pt idx="2">
                  <c:v>7.8511004704584619E-3</c:v>
                </c:pt>
                <c:pt idx="3">
                  <c:v>1.2469933708474022E-2</c:v>
                </c:pt>
                <c:pt idx="4">
                  <c:v>1.6193118668826015E-2</c:v>
                </c:pt>
              </c:numCache>
            </c:numRef>
          </c:val>
          <c:smooth val="0"/>
          <c:extLst>
            <c:ext xmlns:c16="http://schemas.microsoft.com/office/drawing/2014/chart" uri="{C3380CC4-5D6E-409C-BE32-E72D297353CC}">
              <c16:uniqueId val="{00000000-877F-9340-A6F8-739F183F00CC}"/>
            </c:ext>
          </c:extLst>
        </c:ser>
        <c:ser>
          <c:idx val="1"/>
          <c:order val="1"/>
          <c:tx>
            <c:v>Seminole County</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'Market Trends'!$C$12:$G$12</c:f>
              <c:strCache>
                <c:ptCount val="5"/>
                <c:pt idx="0">
                  <c:v>2021</c:v>
                </c:pt>
                <c:pt idx="1">
                  <c:v>2022</c:v>
                </c:pt>
                <c:pt idx="2">
                  <c:v>2023</c:v>
                </c:pt>
                <c:pt idx="3">
                  <c:v>2024</c:v>
                </c:pt>
                <c:pt idx="4">
                  <c:v>2025 Est.</c:v>
                </c:pt>
              </c:strCache>
            </c:strRef>
          </c:cat>
          <c:val>
            <c:numRef>
              <c:f>'Market Trends'!$C$20:$G$20</c:f>
              <c:numCache>
                <c:formatCode>0.0%</c:formatCode>
                <c:ptCount val="5"/>
                <c:pt idx="0">
                  <c:v>5.6153048915167274E-3</c:v>
                </c:pt>
                <c:pt idx="1">
                  <c:v>5.7022175290390711E-3</c:v>
                </c:pt>
                <c:pt idx="2">
                  <c:v>5.4598908021839566E-3</c:v>
                </c:pt>
                <c:pt idx="3">
                  <c:v>5.5764411027568921E-3</c:v>
                </c:pt>
                <c:pt idx="4">
                  <c:v>5.6701352109165678E-3</c:v>
                </c:pt>
              </c:numCache>
            </c:numRef>
          </c:val>
          <c:smooth val="0"/>
          <c:extLst>
            <c:ext xmlns:c16="http://schemas.microsoft.com/office/drawing/2014/chart" uri="{C3380CC4-5D6E-409C-BE32-E72D297353CC}">
              <c16:uniqueId val="{00000001-877F-9340-A6F8-739F183F00CC}"/>
            </c:ext>
          </c:extLst>
        </c:ser>
        <c:ser>
          <c:idx val="2"/>
          <c:order val="2"/>
          <c:tx>
            <c:v>Osceola County</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'Market Trends'!$C$12:$G$12</c:f>
              <c:strCache>
                <c:ptCount val="5"/>
                <c:pt idx="0">
                  <c:v>2021</c:v>
                </c:pt>
                <c:pt idx="1">
                  <c:v>2022</c:v>
                </c:pt>
                <c:pt idx="2">
                  <c:v>2023</c:v>
                </c:pt>
                <c:pt idx="3">
                  <c:v>2024</c:v>
                </c:pt>
                <c:pt idx="4">
                  <c:v>2025 Est.</c:v>
                </c:pt>
              </c:strCache>
            </c:strRef>
          </c:cat>
          <c:val>
            <c:numRef>
              <c:f>'Market Trends'!$C$21:$G$21</c:f>
              <c:numCache>
                <c:formatCode>0.0%</c:formatCode>
                <c:ptCount val="5"/>
                <c:pt idx="0">
                  <c:v>4.6014984973858628E-2</c:v>
                </c:pt>
                <c:pt idx="1">
                  <c:v>4.5274757711418312E-2</c:v>
                </c:pt>
                <c:pt idx="2">
                  <c:v>3.3601916478799662E-2</c:v>
                </c:pt>
                <c:pt idx="3">
                  <c:v>2.7334509647674882E-2</c:v>
                </c:pt>
                <c:pt idx="4">
                  <c:v>7.4649126500617197E-2</c:v>
                </c:pt>
              </c:numCache>
            </c:numRef>
          </c:val>
          <c:smooth val="0"/>
          <c:extLst>
            <c:ext xmlns:c16="http://schemas.microsoft.com/office/drawing/2014/chart" uri="{C3380CC4-5D6E-409C-BE32-E72D297353CC}">
              <c16:uniqueId val="{00000002-877F-9340-A6F8-739F183F00CC}"/>
            </c:ext>
          </c:extLst>
        </c:ser>
        <c:ser>
          <c:idx val="3"/>
          <c:order val="3"/>
          <c:tx>
            <c:v>Lake County</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'Market Trends'!$C$12:$G$12</c:f>
              <c:strCache>
                <c:ptCount val="5"/>
                <c:pt idx="0">
                  <c:v>2021</c:v>
                </c:pt>
                <c:pt idx="1">
                  <c:v>2022</c:v>
                </c:pt>
                <c:pt idx="2">
                  <c:v>2023</c:v>
                </c:pt>
                <c:pt idx="3">
                  <c:v>2024</c:v>
                </c:pt>
                <c:pt idx="4">
                  <c:v>2025 Est.</c:v>
                </c:pt>
              </c:strCache>
            </c:strRef>
          </c:cat>
          <c:val>
            <c:numRef>
              <c:f>'Market Trends'!$C$22:$G$22</c:f>
              <c:numCache>
                <c:formatCode>0.0%</c:formatCode>
                <c:ptCount val="5"/>
                <c:pt idx="0">
                  <c:v>2.5117461375782642E-2</c:v>
                </c:pt>
                <c:pt idx="1">
                  <c:v>4.189532520325203E-2</c:v>
                </c:pt>
                <c:pt idx="2">
                  <c:v>3.5045965519763952E-2</c:v>
                </c:pt>
                <c:pt idx="3">
                  <c:v>1.775895133133237E-2</c:v>
                </c:pt>
                <c:pt idx="4">
                  <c:v>-1.6203703703703703E-2</c:v>
                </c:pt>
              </c:numCache>
            </c:numRef>
          </c:val>
          <c:smooth val="0"/>
          <c:extLst>
            <c:ext xmlns:c16="http://schemas.microsoft.com/office/drawing/2014/chart" uri="{C3380CC4-5D6E-409C-BE32-E72D297353CC}">
              <c16:uniqueId val="{00000003-877F-9340-A6F8-739F183F00CC}"/>
            </c:ext>
          </c:extLst>
        </c:ser>
        <c:dLbls>
          <c:showLegendKey val="0"/>
          <c:showVal val="0"/>
          <c:showCatName val="0"/>
          <c:showSerName val="0"/>
          <c:showPercent val="0"/>
          <c:showBubbleSize val="0"/>
        </c:dLbls>
        <c:marker val="1"/>
        <c:smooth val="0"/>
        <c:axId val="567263855"/>
        <c:axId val="314107887"/>
      </c:lineChart>
      <c:catAx>
        <c:axId val="5672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07887"/>
        <c:crosses val="autoZero"/>
        <c:auto val="1"/>
        <c:lblAlgn val="ctr"/>
        <c:lblOffset val="100"/>
        <c:noMultiLvlLbl val="0"/>
      </c:catAx>
      <c:valAx>
        <c:axId val="3141078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6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Population by County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Orange County</c:v>
          </c:tx>
          <c:spPr>
            <a:solidFill>
              <a:schemeClr val="accent1"/>
            </a:solidFill>
            <a:ln>
              <a:noFill/>
            </a:ln>
            <a:effectLst/>
          </c:spPr>
          <c:invertIfNegative val="0"/>
          <c:cat>
            <c:strRef>
              <c:f>'Market Trends'!$B$12:$G$12</c:f>
              <c:strCache>
                <c:ptCount val="6"/>
                <c:pt idx="0">
                  <c:v>2020</c:v>
                </c:pt>
                <c:pt idx="1">
                  <c:v>2021</c:v>
                </c:pt>
                <c:pt idx="2">
                  <c:v>2022</c:v>
                </c:pt>
                <c:pt idx="3">
                  <c:v>2023</c:v>
                </c:pt>
                <c:pt idx="4">
                  <c:v>2024</c:v>
                </c:pt>
                <c:pt idx="5">
                  <c:v>2025 Est.</c:v>
                </c:pt>
              </c:strCache>
            </c:strRef>
          </c:cat>
          <c:val>
            <c:numRef>
              <c:f>'Market Trends'!$B$13:$G$13</c:f>
              <c:numCache>
                <c:formatCode>#,##0</c:formatCode>
                <c:ptCount val="6"/>
                <c:pt idx="0">
                  <c:v>1429908</c:v>
                </c:pt>
                <c:pt idx="1">
                  <c:v>1458500</c:v>
                </c:pt>
                <c:pt idx="2">
                  <c:v>1481321</c:v>
                </c:pt>
                <c:pt idx="3">
                  <c:v>1492951</c:v>
                </c:pt>
                <c:pt idx="4">
                  <c:v>1511568</c:v>
                </c:pt>
                <c:pt idx="5">
                  <c:v>1536045</c:v>
                </c:pt>
              </c:numCache>
            </c:numRef>
          </c:val>
          <c:extLst>
            <c:ext xmlns:c16="http://schemas.microsoft.com/office/drawing/2014/chart" uri="{C3380CC4-5D6E-409C-BE32-E72D297353CC}">
              <c16:uniqueId val="{00000000-97EC-7F41-83C8-79CD986A9B5A}"/>
            </c:ext>
          </c:extLst>
        </c:ser>
        <c:ser>
          <c:idx val="1"/>
          <c:order val="1"/>
          <c:tx>
            <c:v>Seminole County</c:v>
          </c:tx>
          <c:spPr>
            <a:solidFill>
              <a:schemeClr val="accent2"/>
            </a:solidFill>
            <a:ln>
              <a:noFill/>
            </a:ln>
            <a:effectLst/>
          </c:spPr>
          <c:invertIfNegative val="0"/>
          <c:cat>
            <c:strRef>
              <c:f>'Market Trends'!$B$12:$G$12</c:f>
              <c:strCache>
                <c:ptCount val="6"/>
                <c:pt idx="0">
                  <c:v>2020</c:v>
                </c:pt>
                <c:pt idx="1">
                  <c:v>2021</c:v>
                </c:pt>
                <c:pt idx="2">
                  <c:v>2022</c:v>
                </c:pt>
                <c:pt idx="3">
                  <c:v>2023</c:v>
                </c:pt>
                <c:pt idx="4">
                  <c:v>2024</c:v>
                </c:pt>
                <c:pt idx="5">
                  <c:v>2025 Est.</c:v>
                </c:pt>
              </c:strCache>
            </c:strRef>
          </c:cat>
          <c:val>
            <c:numRef>
              <c:f>'Market Trends'!$B$14:$G$14</c:f>
              <c:numCache>
                <c:formatCode>#,##0</c:formatCode>
                <c:ptCount val="6"/>
                <c:pt idx="0">
                  <c:v>470856</c:v>
                </c:pt>
                <c:pt idx="1">
                  <c:v>473500</c:v>
                </c:pt>
                <c:pt idx="2">
                  <c:v>476200</c:v>
                </c:pt>
                <c:pt idx="3">
                  <c:v>478800</c:v>
                </c:pt>
                <c:pt idx="4">
                  <c:v>481470</c:v>
                </c:pt>
                <c:pt idx="5">
                  <c:v>484200</c:v>
                </c:pt>
              </c:numCache>
            </c:numRef>
          </c:val>
          <c:extLst>
            <c:ext xmlns:c16="http://schemas.microsoft.com/office/drawing/2014/chart" uri="{C3380CC4-5D6E-409C-BE32-E72D297353CC}">
              <c16:uniqueId val="{00000001-97EC-7F41-83C8-79CD986A9B5A}"/>
            </c:ext>
          </c:extLst>
        </c:ser>
        <c:ser>
          <c:idx val="2"/>
          <c:order val="2"/>
          <c:tx>
            <c:v>Osceola County</c:v>
          </c:tx>
          <c:spPr>
            <a:solidFill>
              <a:schemeClr val="accent3"/>
            </a:solidFill>
            <a:ln>
              <a:noFill/>
            </a:ln>
            <a:effectLst/>
          </c:spPr>
          <c:invertIfNegative val="0"/>
          <c:cat>
            <c:strRef>
              <c:f>'Market Trends'!$B$12:$G$12</c:f>
              <c:strCache>
                <c:ptCount val="6"/>
                <c:pt idx="0">
                  <c:v>2020</c:v>
                </c:pt>
                <c:pt idx="1">
                  <c:v>2021</c:v>
                </c:pt>
                <c:pt idx="2">
                  <c:v>2022</c:v>
                </c:pt>
                <c:pt idx="3">
                  <c:v>2023</c:v>
                </c:pt>
                <c:pt idx="4">
                  <c:v>2024</c:v>
                </c:pt>
                <c:pt idx="5">
                  <c:v>2025 Est.</c:v>
                </c:pt>
              </c:strCache>
            </c:strRef>
          </c:cat>
          <c:val>
            <c:numRef>
              <c:f>'Market Trends'!$B$15:$G$15</c:f>
              <c:numCache>
                <c:formatCode>#,##0</c:formatCode>
                <c:ptCount val="6"/>
                <c:pt idx="0">
                  <c:v>388656</c:v>
                </c:pt>
                <c:pt idx="1">
                  <c:v>406540</c:v>
                </c:pt>
                <c:pt idx="2">
                  <c:v>424946</c:v>
                </c:pt>
                <c:pt idx="3">
                  <c:v>439225</c:v>
                </c:pt>
                <c:pt idx="4">
                  <c:v>451231</c:v>
                </c:pt>
                <c:pt idx="5">
                  <c:v>484915</c:v>
                </c:pt>
              </c:numCache>
            </c:numRef>
          </c:val>
          <c:extLst>
            <c:ext xmlns:c16="http://schemas.microsoft.com/office/drawing/2014/chart" uri="{C3380CC4-5D6E-409C-BE32-E72D297353CC}">
              <c16:uniqueId val="{00000002-97EC-7F41-83C8-79CD986A9B5A}"/>
            </c:ext>
          </c:extLst>
        </c:ser>
        <c:ser>
          <c:idx val="3"/>
          <c:order val="3"/>
          <c:tx>
            <c:v>Lake County</c:v>
          </c:tx>
          <c:spPr>
            <a:solidFill>
              <a:schemeClr val="accent4"/>
            </a:solidFill>
            <a:ln>
              <a:noFill/>
            </a:ln>
            <a:effectLst/>
          </c:spPr>
          <c:invertIfNegative val="0"/>
          <c:cat>
            <c:strRef>
              <c:f>'Market Trends'!$B$12:$G$12</c:f>
              <c:strCache>
                <c:ptCount val="6"/>
                <c:pt idx="0">
                  <c:v>2020</c:v>
                </c:pt>
                <c:pt idx="1">
                  <c:v>2021</c:v>
                </c:pt>
                <c:pt idx="2">
                  <c:v>2022</c:v>
                </c:pt>
                <c:pt idx="3">
                  <c:v>2023</c:v>
                </c:pt>
                <c:pt idx="4">
                  <c:v>2024</c:v>
                </c:pt>
                <c:pt idx="5">
                  <c:v>2025 Est.</c:v>
                </c:pt>
              </c:strCache>
            </c:strRef>
          </c:cat>
          <c:val>
            <c:numRef>
              <c:f>'Market Trends'!$B$16:$G$16</c:f>
              <c:numCache>
                <c:formatCode>#,##0</c:formatCode>
                <c:ptCount val="6"/>
                <c:pt idx="0">
                  <c:v>383956</c:v>
                </c:pt>
                <c:pt idx="1">
                  <c:v>393600</c:v>
                </c:pt>
                <c:pt idx="2">
                  <c:v>410090</c:v>
                </c:pt>
                <c:pt idx="3">
                  <c:v>424462</c:v>
                </c:pt>
                <c:pt idx="4">
                  <c:v>432000</c:v>
                </c:pt>
                <c:pt idx="5">
                  <c:v>425000</c:v>
                </c:pt>
              </c:numCache>
            </c:numRef>
          </c:val>
          <c:extLst>
            <c:ext xmlns:c16="http://schemas.microsoft.com/office/drawing/2014/chart" uri="{C3380CC4-5D6E-409C-BE32-E72D297353CC}">
              <c16:uniqueId val="{00000003-97EC-7F41-83C8-79CD986A9B5A}"/>
            </c:ext>
          </c:extLst>
        </c:ser>
        <c:dLbls>
          <c:showLegendKey val="0"/>
          <c:showVal val="0"/>
          <c:showCatName val="0"/>
          <c:showSerName val="0"/>
          <c:showPercent val="0"/>
          <c:showBubbleSize val="0"/>
        </c:dLbls>
        <c:gapWidth val="219"/>
        <c:overlap val="-27"/>
        <c:axId val="669190544"/>
        <c:axId val="142937071"/>
      </c:barChart>
      <c:catAx>
        <c:axId val="66919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37071"/>
        <c:crosses val="autoZero"/>
        <c:auto val="1"/>
        <c:lblAlgn val="ctr"/>
        <c:lblOffset val="100"/>
        <c:noMultiLvlLbl val="0"/>
      </c:catAx>
      <c:valAx>
        <c:axId val="142937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90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r>
              <a:rPr lang="en-US" sz="2400">
                <a:solidFill>
                  <a:schemeClr val="tx1"/>
                </a:solidFill>
              </a:rPr>
              <a:t>SALES BY COUNTY</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endParaRPr lang="en-US"/>
        </a:p>
      </c:txPr>
    </c:title>
    <c:autoTitleDeleted val="0"/>
    <c:pivotFmts>
      <c:pivotFmt>
        <c:idx val="0"/>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8002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8002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75268944595173E-2"/>
          <c:y val="0.126494675009518"/>
          <c:w val="0.91730111004721138"/>
          <c:h val="0.74242081192079379"/>
        </c:manualLayout>
      </c:layout>
      <c:bar3DChart>
        <c:barDir val="col"/>
        <c:grouping val="stacked"/>
        <c:varyColors val="0"/>
        <c:ser>
          <c:idx val="0"/>
          <c:order val="0"/>
          <c:tx>
            <c:v># Sales</c:v>
          </c:tx>
          <c:spPr>
            <a:solidFill>
              <a:schemeClr val="accent1">
                <a:lumMod val="60000"/>
                <a:lumOff val="40000"/>
              </a:schemeClr>
            </a:solidFill>
            <a:ln>
              <a:noFill/>
            </a:ln>
            <a:effectLst/>
            <a:sp3d/>
          </c:spPr>
          <c:invertIfNegative val="0"/>
          <c:cat>
            <c:strLit>
              <c:ptCount val="4"/>
              <c:pt idx="0">
                <c:v>Lake</c:v>
              </c:pt>
              <c:pt idx="1">
                <c:v>Orange</c:v>
              </c:pt>
              <c:pt idx="2">
                <c:v>Osceola</c:v>
              </c:pt>
              <c:pt idx="3">
                <c:v>Seminole</c:v>
              </c:pt>
            </c:strLit>
          </c:cat>
          <c:val>
            <c:numLit>
              <c:formatCode>General</c:formatCode>
              <c:ptCount val="4"/>
              <c:pt idx="0">
                <c:v>21</c:v>
              </c:pt>
              <c:pt idx="1">
                <c:v>68</c:v>
              </c:pt>
              <c:pt idx="2">
                <c:v>23</c:v>
              </c:pt>
              <c:pt idx="3">
                <c:v>53</c:v>
              </c:pt>
            </c:numLit>
          </c:val>
          <c:extLst>
            <c:ext xmlns:c16="http://schemas.microsoft.com/office/drawing/2014/chart" uri="{C3380CC4-5D6E-409C-BE32-E72D297353CC}">
              <c16:uniqueId val="{00000000-C679-7649-B8D9-61B633C1F6D2}"/>
            </c:ext>
          </c:extLst>
        </c:ser>
        <c:ser>
          <c:idx val="1"/>
          <c:order val="1"/>
          <c:tx>
            <c:v>Avg $/SF</c:v>
          </c:tx>
          <c:spPr>
            <a:solidFill>
              <a:srgbClr val="98002D"/>
            </a:solidFill>
            <a:ln>
              <a:noFill/>
            </a:ln>
            <a:effectLst/>
            <a:sp3d/>
          </c:spPr>
          <c:invertIfNegative val="0"/>
          <c:cat>
            <c:strLit>
              <c:ptCount val="4"/>
              <c:pt idx="0">
                <c:v>Lake</c:v>
              </c:pt>
              <c:pt idx="1">
                <c:v>Orange</c:v>
              </c:pt>
              <c:pt idx="2">
                <c:v>Osceola</c:v>
              </c:pt>
              <c:pt idx="3">
                <c:v>Seminole</c:v>
              </c:pt>
            </c:strLit>
          </c:cat>
          <c:val>
            <c:numLit>
              <c:formatCode>General</c:formatCode>
              <c:ptCount val="4"/>
              <c:pt idx="0">
                <c:v>209.55388289665132</c:v>
              </c:pt>
              <c:pt idx="1">
                <c:v>313.96409680320073</c:v>
              </c:pt>
              <c:pt idx="2">
                <c:v>291.34204621461328</c:v>
              </c:pt>
              <c:pt idx="3">
                <c:v>245.16935797000787</c:v>
              </c:pt>
            </c:numLit>
          </c:val>
          <c:extLst>
            <c:ext xmlns:c16="http://schemas.microsoft.com/office/drawing/2014/chart" uri="{C3380CC4-5D6E-409C-BE32-E72D297353CC}">
              <c16:uniqueId val="{00000001-C679-7649-B8D9-61B633C1F6D2}"/>
            </c:ext>
          </c:extLst>
        </c:ser>
        <c:dLbls>
          <c:showLegendKey val="0"/>
          <c:showVal val="0"/>
          <c:showCatName val="0"/>
          <c:showSerName val="0"/>
          <c:showPercent val="0"/>
          <c:showBubbleSize val="0"/>
        </c:dLbls>
        <c:gapWidth val="219"/>
        <c:shape val="box"/>
        <c:axId val="1650945231"/>
        <c:axId val="56553280"/>
        <c:axId val="0"/>
      </c:bar3DChart>
      <c:catAx>
        <c:axId val="165094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6553280"/>
        <c:crosses val="autoZero"/>
        <c:auto val="1"/>
        <c:lblAlgn val="ctr"/>
        <c:lblOffset val="100"/>
        <c:noMultiLvlLbl val="0"/>
      </c:catAx>
      <c:valAx>
        <c:axId val="565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650945231"/>
        <c:crosses val="autoZero"/>
        <c:crossBetween val="between"/>
      </c:valAx>
      <c:spPr>
        <a:noFill/>
        <a:ln>
          <a:noFill/>
        </a:ln>
        <a:effectLst/>
      </c:spPr>
    </c:plotArea>
    <c:legend>
      <c:legendPos val="b"/>
      <c:layout>
        <c:manualLayout>
          <c:xMode val="edge"/>
          <c:yMode val="edge"/>
          <c:x val="0.21991647370778539"/>
          <c:y val="0.88181567764675683"/>
          <c:w val="0.56884283361886856"/>
          <c:h val="0.11818434549828188"/>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r>
              <a:rPr lang="en-US" sz="2400">
                <a:solidFill>
                  <a:schemeClr val="tx1"/>
                </a:solidFill>
              </a:rPr>
              <a:t>SALES TREND (BY YEAR)</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Aptos Narrow"/>
              <a:ea typeface="Aptos Narrow"/>
              <a:cs typeface="Aptos Narrow"/>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5.7622743317372757E-2"/>
          <c:y val="0.10106487622154439"/>
          <c:w val="0.90565622693102943"/>
          <c:h val="0.6982218848469901"/>
        </c:manualLayout>
      </c:layout>
      <c:barChart>
        <c:barDir val="col"/>
        <c:grouping val="clustered"/>
        <c:varyColors val="0"/>
        <c:ser>
          <c:idx val="0"/>
          <c:order val="0"/>
          <c:tx>
            <c:v># Sales</c:v>
          </c:tx>
          <c:spPr>
            <a:solidFill>
              <a:schemeClr val="accent1">
                <a:lumMod val="60000"/>
                <a:lumOff val="40000"/>
              </a:schemeClr>
            </a:solidFill>
            <a:ln>
              <a:noFill/>
            </a:ln>
            <a:effectLst/>
          </c:spPr>
          <c:invertIfNegative val="0"/>
          <c:cat>
            <c:strLit>
              <c:ptCount val="6"/>
              <c:pt idx="0">
                <c:v>2020</c:v>
              </c:pt>
              <c:pt idx="1">
                <c:v>2021</c:v>
              </c:pt>
              <c:pt idx="2">
                <c:v>2022</c:v>
              </c:pt>
              <c:pt idx="3">
                <c:v>2023</c:v>
              </c:pt>
              <c:pt idx="4">
                <c:v>2024</c:v>
              </c:pt>
              <c:pt idx="5">
                <c:v>2025</c:v>
              </c:pt>
            </c:strLit>
          </c:cat>
          <c:val>
            <c:numLit>
              <c:formatCode>General</c:formatCode>
              <c:ptCount val="6"/>
              <c:pt idx="0">
                <c:v>23</c:v>
              </c:pt>
              <c:pt idx="1">
                <c:v>47</c:v>
              </c:pt>
              <c:pt idx="2">
                <c:v>32</c:v>
              </c:pt>
              <c:pt idx="3">
                <c:v>26</c:v>
              </c:pt>
              <c:pt idx="4">
                <c:v>20</c:v>
              </c:pt>
              <c:pt idx="5">
                <c:v>17</c:v>
              </c:pt>
            </c:numLit>
          </c:val>
          <c:extLst>
            <c:ext xmlns:c16="http://schemas.microsoft.com/office/drawing/2014/chart" uri="{C3380CC4-5D6E-409C-BE32-E72D297353CC}">
              <c16:uniqueId val="{00000000-C957-FC4D-930D-85A6F33A0487}"/>
            </c:ext>
          </c:extLst>
        </c:ser>
        <c:dLbls>
          <c:showLegendKey val="0"/>
          <c:showVal val="0"/>
          <c:showCatName val="0"/>
          <c:showSerName val="0"/>
          <c:showPercent val="0"/>
          <c:showBubbleSize val="0"/>
        </c:dLbls>
        <c:gapWidth val="219"/>
        <c:overlap val="-27"/>
        <c:axId val="594678207"/>
        <c:axId val="594619343"/>
      </c:barChart>
      <c:lineChart>
        <c:grouping val="standard"/>
        <c:varyColors val="0"/>
        <c:ser>
          <c:idx val="1"/>
          <c:order val="1"/>
          <c:tx>
            <c:v>Avg $/SF</c:v>
          </c:tx>
          <c:spPr>
            <a:ln w="28575" cap="rnd">
              <a:solidFill>
                <a:srgbClr val="00B050"/>
              </a:solidFill>
              <a:round/>
            </a:ln>
            <a:effectLst/>
          </c:spPr>
          <c:marker>
            <c:symbol val="none"/>
          </c:marker>
          <c:cat>
            <c:strLit>
              <c:ptCount val="6"/>
              <c:pt idx="0">
                <c:v>2020</c:v>
              </c:pt>
              <c:pt idx="1">
                <c:v>2021</c:v>
              </c:pt>
              <c:pt idx="2">
                <c:v>2022</c:v>
              </c:pt>
              <c:pt idx="3">
                <c:v>2023</c:v>
              </c:pt>
              <c:pt idx="4">
                <c:v>2024</c:v>
              </c:pt>
              <c:pt idx="5">
                <c:v>2025</c:v>
              </c:pt>
            </c:strLit>
          </c:cat>
          <c:val>
            <c:numLit>
              <c:formatCode>General</c:formatCode>
              <c:ptCount val="6"/>
              <c:pt idx="0">
                <c:v>268.56027863528629</c:v>
              </c:pt>
              <c:pt idx="1">
                <c:v>285.97428398422414</c:v>
              </c:pt>
              <c:pt idx="2">
                <c:v>257.13098312215755</c:v>
              </c:pt>
              <c:pt idx="3">
                <c:v>249.38620480320589</c:v>
              </c:pt>
              <c:pt idx="4">
                <c:v>263.12592280877385</c:v>
              </c:pt>
              <c:pt idx="5">
                <c:v>344.27083305622699</c:v>
              </c:pt>
            </c:numLit>
          </c:val>
          <c:smooth val="0"/>
          <c:extLst>
            <c:ext xmlns:c16="http://schemas.microsoft.com/office/drawing/2014/chart" uri="{C3380CC4-5D6E-409C-BE32-E72D297353CC}">
              <c16:uniqueId val="{00000001-C957-FC4D-930D-85A6F33A0487}"/>
            </c:ext>
          </c:extLst>
        </c:ser>
        <c:dLbls>
          <c:showLegendKey val="0"/>
          <c:showVal val="0"/>
          <c:showCatName val="0"/>
          <c:showSerName val="0"/>
          <c:showPercent val="0"/>
          <c:showBubbleSize val="0"/>
        </c:dLbls>
        <c:marker val="1"/>
        <c:smooth val="0"/>
        <c:axId val="1947863311"/>
        <c:axId val="1948159775"/>
      </c:lineChart>
      <c:catAx>
        <c:axId val="5946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94619343"/>
        <c:crosses val="autoZero"/>
        <c:auto val="1"/>
        <c:lblAlgn val="ctr"/>
        <c:lblOffset val="100"/>
        <c:noMultiLvlLbl val="0"/>
      </c:catAx>
      <c:valAx>
        <c:axId val="5946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594678207"/>
        <c:crosses val="autoZero"/>
        <c:crossBetween val="between"/>
      </c:valAx>
      <c:valAx>
        <c:axId val="19481597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947863311"/>
        <c:crosses val="max"/>
        <c:crossBetween val="between"/>
      </c:valAx>
      <c:catAx>
        <c:axId val="1947863311"/>
        <c:scaling>
          <c:orientation val="minMax"/>
        </c:scaling>
        <c:delete val="1"/>
        <c:axPos val="b"/>
        <c:numFmt formatCode="General" sourceLinked="1"/>
        <c:majorTickMark val="out"/>
        <c:minorTickMark val="none"/>
        <c:tickLblPos val="nextTo"/>
        <c:crossAx val="1948159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D4A843"/>
          </a:solidFill>
          <a:ln w="19050">
            <a:solidFill>
              <a:schemeClr val="lt1"/>
            </a:solidFill>
          </a:ln>
          <a:effectLst/>
        </c:spPr>
      </c:pivotFmt>
      <c:pivotFmt>
        <c:idx val="2"/>
        <c:spPr>
          <a:solidFill>
            <a:srgbClr val="98002D"/>
          </a:solidFill>
          <a:ln w="19050">
            <a:solidFill>
              <a:schemeClr val="lt1"/>
            </a:solidFill>
          </a:ln>
          <a:effectLst/>
        </c:spPr>
      </c:pivotFmt>
      <c:pivotFmt>
        <c:idx val="3"/>
        <c:spPr>
          <a:solidFill>
            <a:srgbClr val="4A7C9B"/>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spPr>
          <a:solidFill>
            <a:srgbClr val="D4A843"/>
          </a:solidFill>
          <a:ln w="19050">
            <a:solidFill>
              <a:schemeClr val="lt1"/>
            </a:solidFill>
          </a:ln>
          <a:effectLst/>
        </c:spPr>
      </c:pivotFmt>
      <c:pivotFmt>
        <c:idx val="6"/>
        <c:spPr>
          <a:solidFill>
            <a:srgbClr val="98002D"/>
          </a:solidFill>
          <a:ln w="19050">
            <a:solidFill>
              <a:schemeClr val="lt1"/>
            </a:solidFill>
          </a:ln>
          <a:effectLst/>
        </c:spPr>
      </c:pivotFmt>
      <c:pivotFmt>
        <c:idx val="7"/>
        <c:spPr>
          <a:solidFill>
            <a:srgbClr val="4A7C9B"/>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9"/>
        <c:spPr>
          <a:solidFill>
            <a:srgbClr val="D4A843"/>
          </a:solidFill>
          <a:ln w="19050">
            <a:solidFill>
              <a:schemeClr val="lt1"/>
            </a:solidFill>
          </a:ln>
          <a:effectLst/>
        </c:spPr>
      </c:pivotFmt>
      <c:pivotFmt>
        <c:idx val="10"/>
        <c:spPr>
          <a:solidFill>
            <a:srgbClr val="98002D"/>
          </a:solidFill>
          <a:ln w="19050">
            <a:solidFill>
              <a:schemeClr val="lt1"/>
            </a:solidFill>
          </a:ln>
          <a:effectLst/>
        </c:spPr>
      </c:pivotFmt>
      <c:pivotFmt>
        <c:idx val="11"/>
        <c:spPr>
          <a:solidFill>
            <a:srgbClr val="4A7C9B"/>
          </a:solidFill>
          <a:ln w="19050">
            <a:solidFill>
              <a:schemeClr val="lt1"/>
            </a:solidFill>
          </a:ln>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spPr>
          <a:solidFill>
            <a:srgbClr val="D4A843"/>
          </a:solidFill>
          <a:ln w="19050">
            <a:solidFill>
              <a:schemeClr val="lt1"/>
            </a:solidFill>
          </a:ln>
          <a:effectLst/>
        </c:spPr>
      </c:pivotFmt>
      <c:pivotFmt>
        <c:idx val="14"/>
        <c:spPr>
          <a:solidFill>
            <a:srgbClr val="98002D"/>
          </a:solidFill>
          <a:ln w="19050">
            <a:solidFill>
              <a:schemeClr val="lt1"/>
            </a:solidFill>
          </a:ln>
          <a:effectLst/>
        </c:spPr>
      </c:pivotFmt>
      <c:pivotFmt>
        <c:idx val="15"/>
        <c:spPr>
          <a:solidFill>
            <a:srgbClr val="4A7C9B"/>
          </a:solidFill>
          <a:ln w="19050">
            <a:solidFill>
              <a:schemeClr val="lt1"/>
            </a:solidFill>
          </a:ln>
          <a:effectLst/>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spPr>
          <a:solidFill>
            <a:srgbClr val="D4A843"/>
          </a:solidFill>
          <a:ln w="19050">
            <a:solidFill>
              <a:schemeClr val="lt1"/>
            </a:solidFill>
          </a:ln>
          <a:effectLst/>
        </c:spPr>
      </c:pivotFmt>
      <c:pivotFmt>
        <c:idx val="18"/>
        <c:spPr>
          <a:solidFill>
            <a:srgbClr val="98002D"/>
          </a:solidFill>
          <a:ln w="19050">
            <a:solidFill>
              <a:schemeClr val="lt1"/>
            </a:solidFill>
          </a:ln>
          <a:effectLst/>
        </c:spPr>
      </c:pivotFmt>
      <c:pivotFmt>
        <c:idx val="19"/>
        <c:spPr>
          <a:solidFill>
            <a:srgbClr val="4A7C9B"/>
          </a:solidFill>
          <a:ln w="19050">
            <a:solidFill>
              <a:schemeClr val="lt1"/>
            </a:solidFill>
          </a:ln>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33333"/>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1"/>
        <c:spPr>
          <a:solidFill>
            <a:srgbClr val="D4A843"/>
          </a:solidFill>
          <a:ln w="19050">
            <a:solidFill>
              <a:schemeClr val="lt1"/>
            </a:solidFill>
          </a:ln>
          <a:effectLst/>
        </c:spPr>
      </c:pivotFmt>
      <c:pivotFmt>
        <c:idx val="22"/>
        <c:spPr>
          <a:solidFill>
            <a:srgbClr val="98002D"/>
          </a:solidFill>
          <a:ln w="19050">
            <a:solidFill>
              <a:schemeClr val="lt1"/>
            </a:solidFill>
          </a:ln>
          <a:effectLst/>
        </c:spPr>
      </c:pivotFmt>
      <c:pivotFmt>
        <c:idx val="23"/>
        <c:spPr>
          <a:solidFill>
            <a:srgbClr val="4A7C9B"/>
          </a:solidFill>
          <a:ln w="19050">
            <a:solidFill>
              <a:schemeClr val="lt1"/>
            </a:solidFill>
          </a:ln>
          <a:effectLst/>
        </c:spPr>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5"/>
        <c:spPr>
          <a:solidFill>
            <a:srgbClr val="D4A843"/>
          </a:solidFill>
          <a:ln w="19050">
            <a:solidFill>
              <a:schemeClr val="lt1"/>
            </a:solidFill>
          </a:ln>
          <a:effectLst/>
        </c:spPr>
      </c:pivotFmt>
      <c:pivotFmt>
        <c:idx val="26"/>
        <c:spPr>
          <a:solidFill>
            <a:srgbClr val="98002D"/>
          </a:solidFill>
          <a:ln w="19050">
            <a:solidFill>
              <a:schemeClr val="lt1"/>
            </a:solidFill>
          </a:ln>
          <a:effectLst/>
        </c:spPr>
      </c:pivotFmt>
      <c:pivotFmt>
        <c:idx val="27"/>
        <c:spPr>
          <a:solidFill>
            <a:srgbClr val="4A7C9B"/>
          </a:solidFill>
          <a:ln w="19050">
            <a:solidFill>
              <a:schemeClr val="lt1"/>
            </a:solidFill>
          </a:ln>
          <a:effectLst/>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9"/>
        <c:spPr>
          <a:solidFill>
            <a:srgbClr val="D4A843"/>
          </a:solidFill>
          <a:ln w="19050">
            <a:solidFill>
              <a:schemeClr val="lt1"/>
            </a:solidFill>
          </a:ln>
          <a:effectLst/>
        </c:spPr>
      </c:pivotFmt>
      <c:pivotFmt>
        <c:idx val="30"/>
        <c:spPr>
          <a:solidFill>
            <a:srgbClr val="98002D"/>
          </a:solidFill>
          <a:ln w="19050">
            <a:solidFill>
              <a:schemeClr val="lt1"/>
            </a:solidFill>
          </a:ln>
          <a:effectLst/>
        </c:spPr>
      </c:pivotFmt>
      <c:pivotFmt>
        <c:idx val="31"/>
        <c:spPr>
          <a:solidFill>
            <a:srgbClr val="4A7C9B"/>
          </a:solidFill>
          <a:ln w="19050">
            <a:solidFill>
              <a:schemeClr val="lt1"/>
            </a:solidFill>
          </a:ln>
          <a:effectLst/>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33"/>
        <c:spPr>
          <a:solidFill>
            <a:srgbClr val="D4A843"/>
          </a:solidFill>
          <a:ln w="19050">
            <a:solidFill>
              <a:schemeClr val="lt1"/>
            </a:solidFill>
          </a:ln>
          <a:effectLst/>
        </c:spPr>
      </c:pivotFmt>
      <c:pivotFmt>
        <c:idx val="34"/>
        <c:spPr>
          <a:solidFill>
            <a:srgbClr val="98002D"/>
          </a:solidFill>
          <a:ln w="19050">
            <a:solidFill>
              <a:schemeClr val="lt1"/>
            </a:solidFill>
          </a:ln>
          <a:effectLst/>
        </c:spPr>
      </c:pivotFmt>
      <c:pivotFmt>
        <c:idx val="35"/>
        <c:spPr>
          <a:solidFill>
            <a:srgbClr val="4A7C9B"/>
          </a:solidFill>
          <a:ln w="19050">
            <a:solidFill>
              <a:schemeClr val="lt1"/>
            </a:solidFill>
          </a:ln>
          <a:effectLst/>
        </c:spPr>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Narrow"/>
                  <a:ea typeface="Aptos Narrow"/>
                  <a:cs typeface="Aptos Narrow"/>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37"/>
        <c:spPr>
          <a:solidFill>
            <a:srgbClr val="D4A843"/>
          </a:solidFill>
          <a:ln w="19050">
            <a:solidFill>
              <a:schemeClr val="lt1"/>
            </a:solidFill>
          </a:ln>
          <a:effectLst/>
        </c:spPr>
      </c:pivotFmt>
      <c:pivotFmt>
        <c:idx val="38"/>
        <c:spPr>
          <a:solidFill>
            <a:srgbClr val="98002D"/>
          </a:solidFill>
          <a:ln w="19050">
            <a:solidFill>
              <a:schemeClr val="lt1"/>
            </a:solidFill>
          </a:ln>
          <a:effectLst/>
        </c:spPr>
      </c:pivotFmt>
      <c:pivotFmt>
        <c:idx val="39"/>
        <c:spPr>
          <a:solidFill>
            <a:srgbClr val="4A7C9B"/>
          </a:solidFill>
          <a:ln w="19050">
            <a:solidFill>
              <a:schemeClr val="lt1"/>
            </a:solidFill>
          </a:ln>
          <a:effectLst/>
        </c:spPr>
      </c:pivotFmt>
      <c:pivotFmt>
        <c:idx val="40"/>
        <c:marker>
          <c:symbol val="none"/>
        </c:marker>
        <c:dLbl>
          <c:idx val="0"/>
          <c:delete val="1"/>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marker>
          <c:symbol val="none"/>
        </c:marker>
        <c:dLbl>
          <c:idx val="0"/>
          <c:delete val="1"/>
          <c:extLst>
            <c:ext xmlns:c15="http://schemas.microsoft.com/office/drawing/2012/chart" uri="{CE6537A1-D6FC-4f65-9D91-7224C49458BB}"/>
          </c:extLst>
        </c:dLbl>
      </c:pivotFmt>
      <c:pivotFmt>
        <c:idx val="43"/>
        <c:marker>
          <c:symbol val="none"/>
        </c:marker>
        <c:dLbl>
          <c:idx val="0"/>
          <c:delete val="1"/>
          <c:extLst>
            <c:ext xmlns:c15="http://schemas.microsoft.com/office/drawing/2012/chart" uri="{CE6537A1-D6FC-4f65-9D91-7224C49458BB}"/>
          </c:extLst>
        </c:dLbl>
      </c:pivotFmt>
      <c:pivotFmt>
        <c:idx val="44"/>
        <c:marker>
          <c:symbol val="none"/>
        </c:marker>
        <c:dLbl>
          <c:idx val="0"/>
          <c:delete val="1"/>
          <c:extLst>
            <c:ext xmlns:c15="http://schemas.microsoft.com/office/drawing/2012/chart" uri="{CE6537A1-D6FC-4f65-9D91-7224C49458BB}"/>
          </c:extLst>
        </c:dLbl>
      </c:pivotFmt>
    </c:pivotFmts>
    <c:view3D>
      <c:rotX val="75"/>
      <c:rotY val="0"/>
      <c:rAngAx val="0"/>
    </c:view3D>
    <c:floor>
      <c:thickness val="0"/>
    </c:floor>
    <c:sideWall>
      <c:thickness val="0"/>
    </c:sideWall>
    <c:backWall>
      <c:thickness val="0"/>
    </c:backWall>
    <c:plotArea>
      <c:layout>
        <c:manualLayout>
          <c:layoutTarget val="inner"/>
          <c:xMode val="edge"/>
          <c:yMode val="edge"/>
          <c:x val="7.1248033065112279E-2"/>
          <c:y val="0.10793624519639906"/>
          <c:w val="0.54773922118155149"/>
          <c:h val="0.80836017371194802"/>
        </c:manualLayout>
      </c:layout>
      <c:pie3DChart>
        <c:varyColors val="1"/>
        <c:ser>
          <c:idx val="0"/>
          <c:order val="0"/>
          <c:tx>
            <c:v>Series1</c:v>
          </c:tx>
          <c:dPt>
            <c:idx val="0"/>
            <c:bubble3D val="0"/>
            <c:spPr>
              <a:solidFill>
                <a:srgbClr val="D4A843"/>
              </a:solidFill>
              <a:ln w="19050">
                <a:solidFill>
                  <a:schemeClr val="lt1"/>
                </a:solidFill>
              </a:ln>
              <a:effectLst/>
            </c:spPr>
            <c:extLst>
              <c:ext xmlns:c16="http://schemas.microsoft.com/office/drawing/2014/chart" uri="{C3380CC4-5D6E-409C-BE32-E72D297353CC}">
                <c16:uniqueId val="{00000001-342D-944B-AA3D-CD1C49B3E2C1}"/>
              </c:ext>
            </c:extLst>
          </c:dPt>
          <c:dPt>
            <c:idx val="1"/>
            <c:bubble3D val="0"/>
            <c:spPr>
              <a:solidFill>
                <a:srgbClr val="98002D"/>
              </a:solidFill>
              <a:ln w="19050">
                <a:solidFill>
                  <a:schemeClr val="lt1"/>
                </a:solidFill>
              </a:ln>
              <a:effectLst/>
            </c:spPr>
            <c:extLst>
              <c:ext xmlns:c16="http://schemas.microsoft.com/office/drawing/2014/chart" uri="{C3380CC4-5D6E-409C-BE32-E72D297353CC}">
                <c16:uniqueId val="{00000003-342D-944B-AA3D-CD1C49B3E2C1}"/>
              </c:ext>
            </c:extLst>
          </c:dPt>
          <c:dPt>
            <c:idx val="2"/>
            <c:bubble3D val="0"/>
            <c:spPr>
              <a:solidFill>
                <a:srgbClr val="4A7C9B"/>
              </a:solidFill>
              <a:ln w="19050">
                <a:solidFill>
                  <a:schemeClr val="lt1"/>
                </a:solidFill>
              </a:ln>
              <a:effectLst/>
            </c:spPr>
            <c:extLst>
              <c:ext xmlns:c16="http://schemas.microsoft.com/office/drawing/2014/chart" uri="{C3380CC4-5D6E-409C-BE32-E72D297353CC}">
                <c16:uniqueId val="{00000005-342D-944B-AA3D-CD1C49B3E2C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Narrow"/>
                    <a:ea typeface="Aptos Narrow"/>
                    <a:cs typeface="Aptos Narrow"/>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Hospitals</c:v>
              </c:pt>
              <c:pt idx="1">
                <c:v>Medical</c:v>
              </c:pt>
              <c:pt idx="2">
                <c:v>Multi-Tenant Medical</c:v>
              </c:pt>
            </c:strLit>
          </c:cat>
          <c:val>
            <c:numLit>
              <c:formatCode>General</c:formatCode>
              <c:ptCount val="3"/>
              <c:pt idx="0">
                <c:v>9</c:v>
              </c:pt>
              <c:pt idx="1">
                <c:v>125</c:v>
              </c:pt>
              <c:pt idx="2">
                <c:v>31</c:v>
              </c:pt>
            </c:numLit>
          </c:val>
          <c:extLst>
            <c:ext xmlns:c16="http://schemas.microsoft.com/office/drawing/2014/chart" uri="{C3380CC4-5D6E-409C-BE32-E72D297353CC}">
              <c16:uniqueId val="{00000006-342D-944B-AA3D-CD1C49B3E2C1}"/>
            </c:ext>
          </c:extLst>
        </c:ser>
        <c:dLbls>
          <c:showLegendKey val="0"/>
          <c:showVal val="0"/>
          <c:showCatName val="0"/>
          <c:showSerName val="0"/>
          <c:showPercent val="0"/>
          <c:showBubbleSize val="0"/>
          <c:showLeaderLines val="1"/>
        </c:dLbls>
      </c:pie3DChart>
    </c:plotArea>
    <c:legend>
      <c:legendPos val="r"/>
      <c:layout>
        <c:manualLayout>
          <c:xMode val="edge"/>
          <c:yMode val="edge"/>
          <c:x val="0.62110846826429067"/>
          <c:y val="0.20072278213880929"/>
          <c:w val="0.31574266377620602"/>
          <c:h val="0.52734442400190773"/>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Calibri" panose="020F0502020204030204" pitchFamily="34" charset="0"/>
              <a:ea typeface="Aptos Narrow"/>
              <a:cs typeface="Calibri" panose="020F0502020204030204" pitchFamily="34" charset="0"/>
            </a:defRPr>
          </a:pPr>
          <a:endParaRPr lang="en-US"/>
        </a:p>
      </c:txPr>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2020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'2020'!$N$4</c:f>
              <c:strCache>
                <c:ptCount val="1"/>
                <c:pt idx="0">
                  <c:v>#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19-B143-946B-545BABA44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19-B143-946B-545BABA44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19-B143-946B-545BABA44ECF}"/>
              </c:ext>
            </c:extLst>
          </c:dPt>
          <c:cat>
            <c:strRef>
              <c:f>'2020'!$M$5:$M$7</c:f>
              <c:strCache>
                <c:ptCount val="3"/>
                <c:pt idx="0">
                  <c:v>Medical</c:v>
                </c:pt>
                <c:pt idx="1">
                  <c:v>Multi-Tenant</c:v>
                </c:pt>
                <c:pt idx="2">
                  <c:v>Hospitals</c:v>
                </c:pt>
              </c:strCache>
            </c:strRef>
          </c:cat>
          <c:val>
            <c:numRef>
              <c:f>'2020'!$N$5:$N$7</c:f>
              <c:numCache>
                <c:formatCode>#,##0</c:formatCode>
                <c:ptCount val="3"/>
                <c:pt idx="0">
                  <c:v>6</c:v>
                </c:pt>
                <c:pt idx="1">
                  <c:v>0</c:v>
                </c:pt>
                <c:pt idx="2">
                  <c:v>1</c:v>
                </c:pt>
              </c:numCache>
            </c:numRef>
          </c:val>
          <c:extLst>
            <c:ext xmlns:c16="http://schemas.microsoft.com/office/drawing/2014/chart" uri="{C3380CC4-5D6E-409C-BE32-E72D297353CC}">
              <c16:uniqueId val="{00000000-F0C6-0D42-8E3A-2CF235B1FE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2020 Median $/SF by County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'2020'!$N$10</c:f>
              <c:strCache>
                <c:ptCount val="1"/>
                <c:pt idx="0">
                  <c:v># Sales</c:v>
                </c:pt>
              </c:strCache>
            </c:strRef>
          </c:tx>
          <c:spPr>
            <a:solidFill>
              <a:schemeClr val="accent1"/>
            </a:solidFill>
            <a:ln>
              <a:noFill/>
            </a:ln>
            <a:effectLst/>
          </c:spPr>
          <c:invertIfNegative val="0"/>
          <c:cat>
            <c:strRef>
              <c:f>'2020'!$M$11:$M$14</c:f>
              <c:strCache>
                <c:ptCount val="4"/>
                <c:pt idx="0">
                  <c:v>Orange</c:v>
                </c:pt>
                <c:pt idx="1">
                  <c:v>Seminole</c:v>
                </c:pt>
                <c:pt idx="2">
                  <c:v>Osceola</c:v>
                </c:pt>
                <c:pt idx="3">
                  <c:v>Lake</c:v>
                </c:pt>
              </c:strCache>
            </c:strRef>
          </c:cat>
          <c:val>
            <c:numRef>
              <c:f>'2020'!$N$11:$N$14</c:f>
              <c:numCache>
                <c:formatCode>General</c:formatCode>
                <c:ptCount val="4"/>
                <c:pt idx="0">
                  <c:v>1</c:v>
                </c:pt>
                <c:pt idx="1">
                  <c:v>4</c:v>
                </c:pt>
                <c:pt idx="2">
                  <c:v>2</c:v>
                </c:pt>
                <c:pt idx="3">
                  <c:v>0</c:v>
                </c:pt>
              </c:numCache>
            </c:numRef>
          </c:val>
          <c:extLst>
            <c:ext xmlns:c16="http://schemas.microsoft.com/office/drawing/2014/chart" uri="{C3380CC4-5D6E-409C-BE32-E72D297353CC}">
              <c16:uniqueId val="{00000000-0104-FD4B-9513-F98BE579F4EF}"/>
            </c:ext>
          </c:extLst>
        </c:ser>
        <c:ser>
          <c:idx val="1"/>
          <c:order val="1"/>
          <c:tx>
            <c:strRef>
              <c:f>'2020'!$O$10</c:f>
              <c:strCache>
                <c:ptCount val="1"/>
                <c:pt idx="0">
                  <c:v>Median $/SF</c:v>
                </c:pt>
              </c:strCache>
            </c:strRef>
          </c:tx>
          <c:spPr>
            <a:solidFill>
              <a:schemeClr val="accent2"/>
            </a:solidFill>
            <a:ln>
              <a:noFill/>
            </a:ln>
            <a:effectLst/>
          </c:spPr>
          <c:invertIfNegative val="0"/>
          <c:cat>
            <c:strRef>
              <c:f>'2020'!$M$11:$M$14</c:f>
              <c:strCache>
                <c:ptCount val="4"/>
                <c:pt idx="0">
                  <c:v>Orange</c:v>
                </c:pt>
                <c:pt idx="1">
                  <c:v>Seminole</c:v>
                </c:pt>
                <c:pt idx="2">
                  <c:v>Osceola</c:v>
                </c:pt>
                <c:pt idx="3">
                  <c:v>Lake</c:v>
                </c:pt>
              </c:strCache>
            </c:strRef>
          </c:cat>
          <c:val>
            <c:numRef>
              <c:f>'2020'!$O$11:$O$14</c:f>
              <c:numCache>
                <c:formatCode>"$"#,##0.00</c:formatCode>
                <c:ptCount val="4"/>
                <c:pt idx="0">
                  <c:v>903.81991814461117</c:v>
                </c:pt>
                <c:pt idx="1">
                  <c:v>302.91110921201346</c:v>
                </c:pt>
                <c:pt idx="2">
                  <c:v>404.01478096714982</c:v>
                </c:pt>
                <c:pt idx="3">
                  <c:v>0</c:v>
                </c:pt>
              </c:numCache>
            </c:numRef>
          </c:val>
          <c:extLst>
            <c:ext xmlns:c16="http://schemas.microsoft.com/office/drawing/2014/chart" uri="{C3380CC4-5D6E-409C-BE32-E72D297353CC}">
              <c16:uniqueId val="{00000001-0104-FD4B-9513-F98BE579F4EF}"/>
            </c:ext>
          </c:extLst>
        </c:ser>
        <c:dLbls>
          <c:showLegendKey val="0"/>
          <c:showVal val="0"/>
          <c:showCatName val="0"/>
          <c:showSerName val="0"/>
          <c:showPercent val="0"/>
          <c:showBubbleSize val="0"/>
        </c:dLbls>
        <c:gapWidth val="182"/>
        <c:axId val="597030111"/>
        <c:axId val="597606591"/>
      </c:barChart>
      <c:catAx>
        <c:axId val="59703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06591"/>
        <c:crosses val="autoZero"/>
        <c:auto val="1"/>
        <c:lblAlgn val="ctr"/>
        <c:lblOffset val="100"/>
        <c:noMultiLvlLbl val="0"/>
      </c:catAx>
      <c:valAx>
        <c:axId val="597606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030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2020 Sales by Building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'2020'!$N$28</c:f>
              <c:strCache>
                <c:ptCount val="1"/>
                <c:pt idx="0">
                  <c:v># Sales</c:v>
                </c:pt>
              </c:strCache>
            </c:strRef>
          </c:tx>
          <c:spPr>
            <a:solidFill>
              <a:schemeClr val="accent1"/>
            </a:solidFill>
            <a:ln>
              <a:noFill/>
            </a:ln>
            <a:effectLst/>
          </c:spPr>
          <c:invertIfNegative val="0"/>
          <c:cat>
            <c:strRef>
              <c:f>'2020'!$M$29:$M$33</c:f>
              <c:strCache>
                <c:ptCount val="5"/>
                <c:pt idx="0">
                  <c:v>1. &lt; 3K SF</c:v>
                </c:pt>
                <c:pt idx="1">
                  <c:v>2. 3 - 6K SF</c:v>
                </c:pt>
                <c:pt idx="2">
                  <c:v>3. 6 - 10K SF</c:v>
                </c:pt>
                <c:pt idx="3">
                  <c:v>4. 10 - 20K SF</c:v>
                </c:pt>
                <c:pt idx="4">
                  <c:v>5. 20K+ SF</c:v>
                </c:pt>
              </c:strCache>
            </c:strRef>
          </c:cat>
          <c:val>
            <c:numRef>
              <c:f>'2020'!$N$29:$N$33</c:f>
              <c:numCache>
                <c:formatCode>General</c:formatCode>
                <c:ptCount val="5"/>
                <c:pt idx="0">
                  <c:v>2</c:v>
                </c:pt>
                <c:pt idx="1">
                  <c:v>3</c:v>
                </c:pt>
                <c:pt idx="2">
                  <c:v>1</c:v>
                </c:pt>
                <c:pt idx="3">
                  <c:v>1</c:v>
                </c:pt>
                <c:pt idx="4">
                  <c:v>0</c:v>
                </c:pt>
              </c:numCache>
            </c:numRef>
          </c:val>
          <c:extLst>
            <c:ext xmlns:c16="http://schemas.microsoft.com/office/drawing/2014/chart" uri="{C3380CC4-5D6E-409C-BE32-E72D297353CC}">
              <c16:uniqueId val="{00000000-6B63-0747-8210-78886886C335}"/>
            </c:ext>
          </c:extLst>
        </c:ser>
        <c:dLbls>
          <c:showLegendKey val="0"/>
          <c:showVal val="0"/>
          <c:showCatName val="0"/>
          <c:showSerName val="0"/>
          <c:showPercent val="0"/>
          <c:showBubbleSize val="0"/>
        </c:dLbls>
        <c:gapWidth val="219"/>
        <c:overlap val="-27"/>
        <c:axId val="2000947648"/>
        <c:axId val="1651028735"/>
      </c:barChart>
      <c:catAx>
        <c:axId val="200094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28735"/>
        <c:crosses val="autoZero"/>
        <c:auto val="1"/>
        <c:lblAlgn val="ctr"/>
        <c:lblOffset val="100"/>
        <c:noMultiLvlLbl val="0"/>
      </c:catAx>
      <c:valAx>
        <c:axId val="165102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9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2020 Median $/SF by Building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'2020'!$N$88</c:f>
              <c:strCache>
                <c:ptCount val="1"/>
                <c:pt idx="0">
                  <c:v>Median $/SF</c:v>
                </c:pt>
              </c:strCache>
            </c:strRef>
          </c:tx>
          <c:spPr>
            <a:solidFill>
              <a:schemeClr val="accent1"/>
            </a:solidFill>
            <a:ln>
              <a:noFill/>
            </a:ln>
            <a:effectLst/>
          </c:spPr>
          <c:invertIfNegative val="0"/>
          <c:cat>
            <c:strRef>
              <c:f>'2020'!$M$89:$M$91</c:f>
              <c:strCache>
                <c:ptCount val="3"/>
                <c:pt idx="0">
                  <c:v>New (0-10 yrs)</c:v>
                </c:pt>
                <c:pt idx="1">
                  <c:v>Normal (11-25 yrs)</c:v>
                </c:pt>
                <c:pt idx="2">
                  <c:v>Old (26+ yrs)</c:v>
                </c:pt>
              </c:strCache>
            </c:strRef>
          </c:cat>
          <c:val>
            <c:numRef>
              <c:f>'2020'!$N$89:$N$91</c:f>
              <c:numCache>
                <c:formatCode>"$"#,##0.00</c:formatCode>
                <c:ptCount val="3"/>
                <c:pt idx="0">
                  <c:v>87.84773060029282</c:v>
                </c:pt>
                <c:pt idx="1">
                  <c:v>570.6151508886112</c:v>
                </c:pt>
                <c:pt idx="2">
                  <c:v>404.01478096714982</c:v>
                </c:pt>
              </c:numCache>
            </c:numRef>
          </c:val>
          <c:extLst>
            <c:ext xmlns:c16="http://schemas.microsoft.com/office/drawing/2014/chart" uri="{C3380CC4-5D6E-409C-BE32-E72D297353CC}">
              <c16:uniqueId val="{00000000-52B4-FF46-A4BF-2F8A5C216FCE}"/>
            </c:ext>
          </c:extLst>
        </c:ser>
        <c:dLbls>
          <c:showLegendKey val="0"/>
          <c:showVal val="0"/>
          <c:showCatName val="0"/>
          <c:showSerName val="0"/>
          <c:showPercent val="0"/>
          <c:showBubbleSize val="0"/>
        </c:dLbls>
        <c:gapWidth val="182"/>
        <c:axId val="1865358031"/>
        <c:axId val="594820111"/>
      </c:barChart>
      <c:catAx>
        <c:axId val="186535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820111"/>
        <c:crosses val="autoZero"/>
        <c:auto val="1"/>
        <c:lblAlgn val="ctr"/>
        <c:lblOffset val="100"/>
        <c:noMultiLvlLbl val="0"/>
      </c:catAx>
      <c:valAx>
        <c:axId val="5948201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5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2020 Median $/SF by Buyer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'2020'!$N$23</c:f>
              <c:strCache>
                <c:ptCount val="1"/>
                <c:pt idx="0">
                  <c:v>Median $/SF</c:v>
                </c:pt>
              </c:strCache>
            </c:strRef>
          </c:tx>
          <c:spPr>
            <a:solidFill>
              <a:schemeClr val="accent1"/>
            </a:solidFill>
            <a:ln>
              <a:noFill/>
            </a:ln>
            <a:effectLst/>
          </c:spPr>
          <c:invertIfNegative val="0"/>
          <c:cat>
            <c:strRef>
              <c:f>'2020'!$M$24:$M$26</c:f>
              <c:strCache>
                <c:ptCount val="3"/>
                <c:pt idx="0">
                  <c:v>Local (&lt; 6K SF)</c:v>
                </c:pt>
                <c:pt idx="1">
                  <c:v>Mid-Market (6-10K SF)</c:v>
                </c:pt>
                <c:pt idx="2">
                  <c:v>Institutional (10K+ SF)</c:v>
                </c:pt>
              </c:strCache>
            </c:strRef>
          </c:cat>
          <c:val>
            <c:numRef>
              <c:f>'2020'!$N$24:$N$26</c:f>
              <c:numCache>
                <c:formatCode>"$"#,##0.00</c:formatCode>
                <c:ptCount val="3"/>
                <c:pt idx="0">
                  <c:v>623.25581395348843</c:v>
                </c:pt>
                <c:pt idx="1">
                  <c:v>87.84773060029282</c:v>
                </c:pt>
                <c:pt idx="2">
                  <c:v>45.304777594728172</c:v>
                </c:pt>
              </c:numCache>
            </c:numRef>
          </c:val>
          <c:extLst>
            <c:ext xmlns:c16="http://schemas.microsoft.com/office/drawing/2014/chart" uri="{C3380CC4-5D6E-409C-BE32-E72D297353CC}">
              <c16:uniqueId val="{00000000-CE14-7D48-A71E-F5CD6AB259FC}"/>
            </c:ext>
          </c:extLst>
        </c:ser>
        <c:dLbls>
          <c:showLegendKey val="0"/>
          <c:showVal val="0"/>
          <c:showCatName val="0"/>
          <c:showSerName val="0"/>
          <c:showPercent val="0"/>
          <c:showBubbleSize val="0"/>
        </c:dLbls>
        <c:gapWidth val="182"/>
        <c:axId val="1771859807"/>
        <c:axId val="1771116767"/>
      </c:barChart>
      <c:catAx>
        <c:axId val="177185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116767"/>
        <c:crosses val="autoZero"/>
        <c:auto val="1"/>
        <c:lblAlgn val="ctr"/>
        <c:lblOffset val="100"/>
        <c:noMultiLvlLbl val="0"/>
      </c:catAx>
      <c:valAx>
        <c:axId val="17711167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85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2021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'2021'!$N$4</c:f>
              <c:strCache>
                <c:ptCount val="1"/>
                <c:pt idx="0">
                  <c:v>#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96-3C4C-873D-B49D25F0D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96-3C4C-873D-B49D25F0D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96-3C4C-873D-B49D25F0D699}"/>
              </c:ext>
            </c:extLst>
          </c:dPt>
          <c:cat>
            <c:strRef>
              <c:f>'2021'!$M$5:$M$7</c:f>
              <c:strCache>
                <c:ptCount val="3"/>
                <c:pt idx="0">
                  <c:v>Medical</c:v>
                </c:pt>
                <c:pt idx="1">
                  <c:v>Multi-Tenant</c:v>
                </c:pt>
                <c:pt idx="2">
                  <c:v>Hospitals</c:v>
                </c:pt>
              </c:strCache>
            </c:strRef>
          </c:cat>
          <c:val>
            <c:numRef>
              <c:f>'2021'!$N$5:$N$7</c:f>
              <c:numCache>
                <c:formatCode>General</c:formatCode>
                <c:ptCount val="3"/>
                <c:pt idx="0">
                  <c:v>4</c:v>
                </c:pt>
                <c:pt idx="1">
                  <c:v>2</c:v>
                </c:pt>
                <c:pt idx="2">
                  <c:v>0</c:v>
                </c:pt>
              </c:numCache>
            </c:numRef>
          </c:val>
          <c:extLst>
            <c:ext xmlns:c16="http://schemas.microsoft.com/office/drawing/2014/chart" uri="{C3380CC4-5D6E-409C-BE32-E72D297353CC}">
              <c16:uniqueId val="{00000000-C424-7246-B43A-5E2AC377CA9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2021 County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'2021'!$N$10</c:f>
              <c:strCache>
                <c:ptCount val="1"/>
                <c:pt idx="0">
                  <c:v># Sales</c:v>
                </c:pt>
              </c:strCache>
            </c:strRef>
          </c:tx>
          <c:spPr>
            <a:solidFill>
              <a:schemeClr val="accent1"/>
            </a:solidFill>
            <a:ln>
              <a:noFill/>
            </a:ln>
            <a:effectLst/>
          </c:spPr>
          <c:invertIfNegative val="0"/>
          <c:cat>
            <c:strRef>
              <c:f>'2021'!$M$11:$M$14</c:f>
              <c:strCache>
                <c:ptCount val="4"/>
                <c:pt idx="0">
                  <c:v>Orange</c:v>
                </c:pt>
                <c:pt idx="1">
                  <c:v>Seminole</c:v>
                </c:pt>
                <c:pt idx="2">
                  <c:v>Osceola</c:v>
                </c:pt>
                <c:pt idx="3">
                  <c:v>Lake</c:v>
                </c:pt>
              </c:strCache>
            </c:strRef>
          </c:cat>
          <c:val>
            <c:numRef>
              <c:f>'2021'!$N$11:$N$14</c:f>
              <c:numCache>
                <c:formatCode>General</c:formatCode>
                <c:ptCount val="4"/>
                <c:pt idx="0">
                  <c:v>4</c:v>
                </c:pt>
                <c:pt idx="1">
                  <c:v>1</c:v>
                </c:pt>
                <c:pt idx="2">
                  <c:v>0</c:v>
                </c:pt>
                <c:pt idx="3">
                  <c:v>1</c:v>
                </c:pt>
              </c:numCache>
            </c:numRef>
          </c:val>
          <c:extLst>
            <c:ext xmlns:c16="http://schemas.microsoft.com/office/drawing/2014/chart" uri="{C3380CC4-5D6E-409C-BE32-E72D297353CC}">
              <c16:uniqueId val="{00000000-88C5-9A47-8AED-2E0066F74CEA}"/>
            </c:ext>
          </c:extLst>
        </c:ser>
        <c:ser>
          <c:idx val="1"/>
          <c:order val="1"/>
          <c:tx>
            <c:strRef>
              <c:f>'2021'!$O$10</c:f>
              <c:strCache>
                <c:ptCount val="1"/>
                <c:pt idx="0">
                  <c:v>Median $/SF</c:v>
                </c:pt>
              </c:strCache>
            </c:strRef>
          </c:tx>
          <c:spPr>
            <a:solidFill>
              <a:schemeClr val="accent2"/>
            </a:solidFill>
            <a:ln>
              <a:noFill/>
            </a:ln>
            <a:effectLst/>
          </c:spPr>
          <c:invertIfNegative val="0"/>
          <c:cat>
            <c:strRef>
              <c:f>'2021'!$M$11:$M$14</c:f>
              <c:strCache>
                <c:ptCount val="4"/>
                <c:pt idx="0">
                  <c:v>Orange</c:v>
                </c:pt>
                <c:pt idx="1">
                  <c:v>Seminole</c:v>
                </c:pt>
                <c:pt idx="2">
                  <c:v>Osceola</c:v>
                </c:pt>
                <c:pt idx="3">
                  <c:v>Lake</c:v>
                </c:pt>
              </c:strCache>
            </c:strRef>
          </c:cat>
          <c:val>
            <c:numRef>
              <c:f>'2021'!$O$11:$O$14</c:f>
              <c:numCache>
                <c:formatCode>"$"#,##0.00</c:formatCode>
                <c:ptCount val="4"/>
                <c:pt idx="0">
                  <c:v>72.415102579446241</c:v>
                </c:pt>
                <c:pt idx="1">
                  <c:v>686.73886883273167</c:v>
                </c:pt>
                <c:pt idx="2">
                  <c:v>0</c:v>
                </c:pt>
                <c:pt idx="3">
                  <c:v>72.860962566844918</c:v>
                </c:pt>
              </c:numCache>
            </c:numRef>
          </c:val>
          <c:extLst>
            <c:ext xmlns:c16="http://schemas.microsoft.com/office/drawing/2014/chart" uri="{C3380CC4-5D6E-409C-BE32-E72D297353CC}">
              <c16:uniqueId val="{00000001-88C5-9A47-8AED-2E0066F74CEA}"/>
            </c:ext>
          </c:extLst>
        </c:ser>
        <c:dLbls>
          <c:showLegendKey val="0"/>
          <c:showVal val="0"/>
          <c:showCatName val="0"/>
          <c:showSerName val="0"/>
          <c:showPercent val="0"/>
          <c:showBubbleSize val="0"/>
        </c:dLbls>
        <c:gapWidth val="182"/>
        <c:axId val="371752255"/>
        <c:axId val="1772021855"/>
      </c:barChart>
      <c:catAx>
        <c:axId val="37175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21855"/>
        <c:crosses val="autoZero"/>
        <c:auto val="1"/>
        <c:lblAlgn val="ctr"/>
        <c:lblOffset val="100"/>
        <c:noMultiLvlLbl val="0"/>
      </c:catAx>
      <c:valAx>
        <c:axId val="177202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52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Local vs. Institutional Buyer —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'2021'!$M$18</c:f>
              <c:strCache>
                <c:ptCount val="1"/>
                <c:pt idx="0">
                  <c:v>Local (&lt; 6K SF)</c:v>
                </c:pt>
              </c:strCache>
            </c:strRef>
          </c:tx>
          <c:spPr>
            <a:solidFill>
              <a:schemeClr val="accent1"/>
            </a:solidFill>
            <a:ln>
              <a:noFill/>
            </a:ln>
            <a:effectLst/>
          </c:spPr>
          <c:invertIfNegative val="0"/>
          <c:cat>
            <c:strRef>
              <c:f>'2021'!$N$17:$O$17</c:f>
              <c:strCache>
                <c:ptCount val="2"/>
                <c:pt idx="0">
                  <c:v>Median Price</c:v>
                </c:pt>
                <c:pt idx="1">
                  <c:v>Median $/SF</c:v>
                </c:pt>
              </c:strCache>
            </c:strRef>
          </c:cat>
          <c:val>
            <c:numRef>
              <c:f>'2021'!$N$18:$O$18</c:f>
              <c:numCache>
                <c:formatCode>"$"#,##0.00</c:formatCode>
                <c:ptCount val="2"/>
                <c:pt idx="0" formatCode="&quot;$&quot;#,##0">
                  <c:v>428300</c:v>
                </c:pt>
                <c:pt idx="1">
                  <c:v>96.096028718869192</c:v>
                </c:pt>
              </c:numCache>
            </c:numRef>
          </c:val>
          <c:extLst>
            <c:ext xmlns:c16="http://schemas.microsoft.com/office/drawing/2014/chart" uri="{C3380CC4-5D6E-409C-BE32-E72D297353CC}">
              <c16:uniqueId val="{00000000-C706-FF44-89D9-80252B89A26F}"/>
            </c:ext>
          </c:extLst>
        </c:ser>
        <c:ser>
          <c:idx val="1"/>
          <c:order val="1"/>
          <c:tx>
            <c:strRef>
              <c:f>'2021'!$M$19</c:f>
              <c:strCache>
                <c:ptCount val="1"/>
                <c:pt idx="0">
                  <c:v>Institutional (10K+ SF)</c:v>
                </c:pt>
              </c:strCache>
            </c:strRef>
          </c:tx>
          <c:spPr>
            <a:solidFill>
              <a:schemeClr val="accent2"/>
            </a:solidFill>
            <a:ln>
              <a:noFill/>
            </a:ln>
            <a:effectLst/>
          </c:spPr>
          <c:invertIfNegative val="0"/>
          <c:cat>
            <c:strRef>
              <c:f>'2021'!$N$17:$O$17</c:f>
              <c:strCache>
                <c:ptCount val="2"/>
                <c:pt idx="0">
                  <c:v>Median Price</c:v>
                </c:pt>
                <c:pt idx="1">
                  <c:v>Median $/SF</c:v>
                </c:pt>
              </c:strCache>
            </c:strRef>
          </c:cat>
          <c:val>
            <c:numRef>
              <c:f>'2021'!$N$19:$O$19</c:f>
              <c:numCache>
                <c:formatCode>"$"#,##0.00</c:formatCode>
                <c:ptCount val="2"/>
                <c:pt idx="0" formatCode="&quot;$&quot;#,##0">
                  <c:v>2450000</c:v>
                </c:pt>
                <c:pt idx="1">
                  <c:v>72.415102579446241</c:v>
                </c:pt>
              </c:numCache>
            </c:numRef>
          </c:val>
          <c:extLst>
            <c:ext xmlns:c16="http://schemas.microsoft.com/office/drawing/2014/chart" uri="{C3380CC4-5D6E-409C-BE32-E72D297353CC}">
              <c16:uniqueId val="{00000001-C706-FF44-89D9-80252B89A26F}"/>
            </c:ext>
          </c:extLst>
        </c:ser>
        <c:dLbls>
          <c:showLegendKey val="0"/>
          <c:showVal val="0"/>
          <c:showCatName val="0"/>
          <c:showSerName val="0"/>
          <c:showPercent val="0"/>
          <c:showBubbleSize val="0"/>
        </c:dLbls>
        <c:gapWidth val="182"/>
        <c:axId val="60489872"/>
        <c:axId val="1947544239"/>
      </c:barChart>
      <c:catAx>
        <c:axId val="6048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544239"/>
        <c:crosses val="autoZero"/>
        <c:auto val="1"/>
        <c:lblAlgn val="ctr"/>
        <c:lblOffset val="100"/>
        <c:noMultiLvlLbl val="0"/>
      </c:catAx>
      <c:valAx>
        <c:axId val="19475442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9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2021 Sales by Building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'2021'!$N$22</c:f>
              <c:strCache>
                <c:ptCount val="1"/>
                <c:pt idx="0">
                  <c:v># Sales</c:v>
                </c:pt>
              </c:strCache>
            </c:strRef>
          </c:tx>
          <c:spPr>
            <a:solidFill>
              <a:schemeClr val="accent1"/>
            </a:solidFill>
            <a:ln>
              <a:noFill/>
            </a:ln>
            <a:effectLst/>
          </c:spPr>
          <c:invertIfNegative val="0"/>
          <c:cat>
            <c:strRef>
              <c:f>'2021'!$M$23:$M$27</c:f>
              <c:strCache>
                <c:ptCount val="5"/>
                <c:pt idx="0">
                  <c:v>1. &lt; 3K SF</c:v>
                </c:pt>
                <c:pt idx="1">
                  <c:v>2. 3 - 6K SF</c:v>
                </c:pt>
                <c:pt idx="2">
                  <c:v>3. 6 - 10K SF</c:v>
                </c:pt>
                <c:pt idx="3">
                  <c:v>4. 10 - 20K SF</c:v>
                </c:pt>
                <c:pt idx="4">
                  <c:v>5. 20K+ SF</c:v>
                </c:pt>
              </c:strCache>
            </c:strRef>
          </c:cat>
          <c:val>
            <c:numRef>
              <c:f>'2021'!$N$23:$N$27</c:f>
              <c:numCache>
                <c:formatCode>General</c:formatCode>
                <c:ptCount val="5"/>
                <c:pt idx="0">
                  <c:v>13</c:v>
                </c:pt>
                <c:pt idx="1">
                  <c:v>17</c:v>
                </c:pt>
                <c:pt idx="2">
                  <c:v>4</c:v>
                </c:pt>
                <c:pt idx="3">
                  <c:v>7</c:v>
                </c:pt>
                <c:pt idx="4">
                  <c:v>6</c:v>
                </c:pt>
              </c:numCache>
            </c:numRef>
          </c:val>
          <c:extLst>
            <c:ext xmlns:c16="http://schemas.microsoft.com/office/drawing/2014/chart" uri="{C3380CC4-5D6E-409C-BE32-E72D297353CC}">
              <c16:uniqueId val="{00000000-E816-B34D-A36E-4E2D5DEB3E61}"/>
            </c:ext>
          </c:extLst>
        </c:ser>
        <c:dLbls>
          <c:showLegendKey val="0"/>
          <c:showVal val="0"/>
          <c:showCatName val="0"/>
          <c:showSerName val="0"/>
          <c:showPercent val="0"/>
          <c:showBubbleSize val="0"/>
        </c:dLbls>
        <c:gapWidth val="219"/>
        <c:overlap val="-27"/>
        <c:axId val="1771110495"/>
        <c:axId val="460989664"/>
      </c:barChart>
      <c:catAx>
        <c:axId val="177111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89664"/>
        <c:crosses val="autoZero"/>
        <c:auto val="1"/>
        <c:lblAlgn val="ctr"/>
        <c:lblOffset val="100"/>
        <c:noMultiLvlLbl val="0"/>
      </c:catAx>
      <c:valAx>
        <c:axId val="46098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11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2022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'2022'!$N$4</c:f>
              <c:strCache>
                <c:ptCount val="1"/>
                <c:pt idx="0">
                  <c:v>#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47-2F41-8961-8961D747BF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47-2F41-8961-8961D747BF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47-2F41-8961-8961D747BFBE}"/>
              </c:ext>
            </c:extLst>
          </c:dPt>
          <c:cat>
            <c:strRef>
              <c:f>'2022'!$M$5:$M$7</c:f>
              <c:strCache>
                <c:ptCount val="3"/>
                <c:pt idx="0">
                  <c:v>"Medical"</c:v>
                </c:pt>
                <c:pt idx="1">
                  <c:v>"Multi-Tenant"</c:v>
                </c:pt>
                <c:pt idx="2">
                  <c:v>"Hospitals"</c:v>
                </c:pt>
              </c:strCache>
            </c:strRef>
          </c:cat>
          <c:val>
            <c:numRef>
              <c:f>'2022'!$N$5:$N$7</c:f>
              <c:numCache>
                <c:formatCode>#,##0</c:formatCode>
                <c:ptCount val="3"/>
                <c:pt idx="0">
                  <c:v>2</c:v>
                </c:pt>
                <c:pt idx="1">
                  <c:v>2</c:v>
                </c:pt>
                <c:pt idx="2">
                  <c:v>0</c:v>
                </c:pt>
              </c:numCache>
            </c:numRef>
          </c:val>
          <c:extLst>
            <c:ext xmlns:c16="http://schemas.microsoft.com/office/drawing/2014/chart" uri="{C3380CC4-5D6E-409C-BE32-E72D297353CC}">
              <c16:uniqueId val="{00000000-7C7D-5041-ADE8-C22DE7A78AD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2022 County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'2022'!$N$10</c:f>
              <c:strCache>
                <c:ptCount val="1"/>
                <c:pt idx="0">
                  <c:v># Sales</c:v>
                </c:pt>
              </c:strCache>
            </c:strRef>
          </c:tx>
          <c:spPr>
            <a:solidFill>
              <a:schemeClr val="accent1"/>
            </a:solidFill>
            <a:ln>
              <a:noFill/>
            </a:ln>
            <a:effectLst/>
          </c:spPr>
          <c:invertIfNegative val="0"/>
          <c:cat>
            <c:strRef>
              <c:f>'2022'!$M$11:$M$14</c:f>
              <c:strCache>
                <c:ptCount val="4"/>
                <c:pt idx="0">
                  <c:v>"Orange"</c:v>
                </c:pt>
                <c:pt idx="1">
                  <c:v>"Seminole"</c:v>
                </c:pt>
                <c:pt idx="2">
                  <c:v>"Osceola"</c:v>
                </c:pt>
                <c:pt idx="3">
                  <c:v>"Lake"</c:v>
                </c:pt>
              </c:strCache>
            </c:strRef>
          </c:cat>
          <c:val>
            <c:numRef>
              <c:f>'2022'!$N$11:$N$14</c:f>
              <c:numCache>
                <c:formatCode>#,##0</c:formatCode>
                <c:ptCount val="4"/>
                <c:pt idx="0">
                  <c:v>2</c:v>
                </c:pt>
                <c:pt idx="1">
                  <c:v>2</c:v>
                </c:pt>
                <c:pt idx="2">
                  <c:v>0</c:v>
                </c:pt>
                <c:pt idx="3">
                  <c:v>0</c:v>
                </c:pt>
              </c:numCache>
            </c:numRef>
          </c:val>
          <c:extLst>
            <c:ext xmlns:c16="http://schemas.microsoft.com/office/drawing/2014/chart" uri="{C3380CC4-5D6E-409C-BE32-E72D297353CC}">
              <c16:uniqueId val="{00000000-5DCE-C64E-9E8E-B5D817CE6870}"/>
            </c:ext>
          </c:extLst>
        </c:ser>
        <c:ser>
          <c:idx val="1"/>
          <c:order val="1"/>
          <c:tx>
            <c:strRef>
              <c:f>'2022'!$O$10</c:f>
              <c:strCache>
                <c:ptCount val="1"/>
                <c:pt idx="0">
                  <c:v>Median $/SF</c:v>
                </c:pt>
              </c:strCache>
            </c:strRef>
          </c:tx>
          <c:spPr>
            <a:solidFill>
              <a:schemeClr val="accent2"/>
            </a:solidFill>
            <a:ln>
              <a:noFill/>
            </a:ln>
            <a:effectLst/>
          </c:spPr>
          <c:invertIfNegative val="0"/>
          <c:cat>
            <c:strRef>
              <c:f>'2022'!$M$11:$M$14</c:f>
              <c:strCache>
                <c:ptCount val="4"/>
                <c:pt idx="0">
                  <c:v>"Orange"</c:v>
                </c:pt>
                <c:pt idx="1">
                  <c:v>"Seminole"</c:v>
                </c:pt>
                <c:pt idx="2">
                  <c:v>"Osceola"</c:v>
                </c:pt>
                <c:pt idx="3">
                  <c:v>"Lake"</c:v>
                </c:pt>
              </c:strCache>
            </c:strRef>
          </c:cat>
          <c:val>
            <c:numRef>
              <c:f>'2022'!$O$11:$O$14</c:f>
              <c:numCache>
                <c:formatCode>"$"#,##0.00</c:formatCode>
                <c:ptCount val="4"/>
                <c:pt idx="0">
                  <c:v>467.17428204966131</c:v>
                </c:pt>
                <c:pt idx="1">
                  <c:v>709.55131284812967</c:v>
                </c:pt>
                <c:pt idx="2">
                  <c:v>0</c:v>
                </c:pt>
                <c:pt idx="3">
                  <c:v>0</c:v>
                </c:pt>
              </c:numCache>
            </c:numRef>
          </c:val>
          <c:extLst>
            <c:ext xmlns:c16="http://schemas.microsoft.com/office/drawing/2014/chart" uri="{C3380CC4-5D6E-409C-BE32-E72D297353CC}">
              <c16:uniqueId val="{00000001-5DCE-C64E-9E8E-B5D817CE6870}"/>
            </c:ext>
          </c:extLst>
        </c:ser>
        <c:dLbls>
          <c:showLegendKey val="0"/>
          <c:showVal val="0"/>
          <c:showCatName val="0"/>
          <c:showSerName val="0"/>
          <c:showPercent val="0"/>
          <c:showBubbleSize val="0"/>
        </c:dLbls>
        <c:gapWidth val="182"/>
        <c:axId val="1650997151"/>
        <c:axId val="1864477135"/>
      </c:barChart>
      <c:catAx>
        <c:axId val="165099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77135"/>
        <c:crosses val="autoZero"/>
        <c:auto val="1"/>
        <c:lblAlgn val="ctr"/>
        <c:lblOffset val="100"/>
        <c:noMultiLvlLbl val="0"/>
      </c:catAx>
      <c:valAx>
        <c:axId val="18644771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997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Local vs. Institutional —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'2022'!$M$18</c:f>
              <c:strCache>
                <c:ptCount val="1"/>
                <c:pt idx="0">
                  <c:v>"Local (&lt; 6K SF)"</c:v>
                </c:pt>
              </c:strCache>
            </c:strRef>
          </c:tx>
          <c:spPr>
            <a:solidFill>
              <a:schemeClr val="accent1"/>
            </a:solidFill>
            <a:ln>
              <a:noFill/>
            </a:ln>
            <a:effectLst/>
          </c:spPr>
          <c:invertIfNegative val="0"/>
          <c:cat>
            <c:strRef>
              <c:f>'2022'!$N$17:$O$17</c:f>
              <c:strCache>
                <c:ptCount val="2"/>
                <c:pt idx="0">
                  <c:v>Median Price</c:v>
                </c:pt>
                <c:pt idx="1">
                  <c:v>Median $/SF</c:v>
                </c:pt>
              </c:strCache>
            </c:strRef>
          </c:cat>
          <c:val>
            <c:numRef>
              <c:f>'2022'!$N$18:$O$18</c:f>
              <c:numCache>
                <c:formatCode>"$"#,##0.00</c:formatCode>
                <c:ptCount val="2"/>
                <c:pt idx="0" formatCode="&quot;$&quot;#,##0">
                  <c:v>3735000</c:v>
                </c:pt>
                <c:pt idx="1">
                  <c:v>772.0132286068623</c:v>
                </c:pt>
              </c:numCache>
            </c:numRef>
          </c:val>
          <c:extLst>
            <c:ext xmlns:c16="http://schemas.microsoft.com/office/drawing/2014/chart" uri="{C3380CC4-5D6E-409C-BE32-E72D297353CC}">
              <c16:uniqueId val="{00000000-2AA1-8A48-809F-5CDF423E5842}"/>
            </c:ext>
          </c:extLst>
        </c:ser>
        <c:ser>
          <c:idx val="1"/>
          <c:order val="1"/>
          <c:tx>
            <c:strRef>
              <c:f>'2022'!$M$19</c:f>
              <c:strCache>
                <c:ptCount val="1"/>
                <c:pt idx="0">
                  <c:v>"Institutional (10K+ SF)"</c:v>
                </c:pt>
              </c:strCache>
            </c:strRef>
          </c:tx>
          <c:spPr>
            <a:solidFill>
              <a:schemeClr val="accent2"/>
            </a:solidFill>
            <a:ln>
              <a:noFill/>
            </a:ln>
            <a:effectLst/>
          </c:spPr>
          <c:invertIfNegative val="0"/>
          <c:cat>
            <c:strRef>
              <c:f>'2022'!$N$17:$O$17</c:f>
              <c:strCache>
                <c:ptCount val="2"/>
                <c:pt idx="0">
                  <c:v>Median Price</c:v>
                </c:pt>
                <c:pt idx="1">
                  <c:v>Median $/SF</c:v>
                </c:pt>
              </c:strCache>
            </c:strRef>
          </c:cat>
          <c:val>
            <c:numRef>
              <c:f>'2022'!$N$19:$O$19</c:f>
              <c:numCache>
                <c:formatCode>"$"#,##0.00</c:formatCode>
                <c:ptCount val="2"/>
                <c:pt idx="0" formatCode="&quot;$&quot;#,##0">
                  <c:v>4411500</c:v>
                </c:pt>
                <c:pt idx="1">
                  <c:v>83.654119654878158</c:v>
                </c:pt>
              </c:numCache>
            </c:numRef>
          </c:val>
          <c:extLst>
            <c:ext xmlns:c16="http://schemas.microsoft.com/office/drawing/2014/chart" uri="{C3380CC4-5D6E-409C-BE32-E72D297353CC}">
              <c16:uniqueId val="{00000001-2AA1-8A48-809F-5CDF423E5842}"/>
            </c:ext>
          </c:extLst>
        </c:ser>
        <c:dLbls>
          <c:showLegendKey val="0"/>
          <c:showVal val="0"/>
          <c:showCatName val="0"/>
          <c:showSerName val="0"/>
          <c:showPercent val="0"/>
          <c:showBubbleSize val="0"/>
        </c:dLbls>
        <c:gapWidth val="182"/>
        <c:axId val="1864887839"/>
        <c:axId val="1864975791"/>
      </c:barChart>
      <c:catAx>
        <c:axId val="186488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75791"/>
        <c:crosses val="autoZero"/>
        <c:auto val="1"/>
        <c:lblAlgn val="ctr"/>
        <c:lblOffset val="100"/>
        <c:noMultiLvlLbl val="0"/>
      </c:catAx>
      <c:valAx>
        <c:axId val="18649757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87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2022 Sales by Building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'2022'!$N$22</c:f>
              <c:strCache>
                <c:ptCount val="1"/>
                <c:pt idx="0">
                  <c:v># Sales</c:v>
                </c:pt>
              </c:strCache>
            </c:strRef>
          </c:tx>
          <c:spPr>
            <a:solidFill>
              <a:schemeClr val="accent1"/>
            </a:solidFill>
            <a:ln>
              <a:noFill/>
            </a:ln>
            <a:effectLst/>
          </c:spPr>
          <c:invertIfNegative val="0"/>
          <c:cat>
            <c:strRef>
              <c:f>'2022'!$M$23:$M$27</c:f>
              <c:strCache>
                <c:ptCount val="5"/>
                <c:pt idx="0">
                  <c:v>1. &lt; 3K SF</c:v>
                </c:pt>
                <c:pt idx="1">
                  <c:v>2. 3 - 6K SF</c:v>
                </c:pt>
                <c:pt idx="2">
                  <c:v>3. 6 - 10K SF</c:v>
                </c:pt>
                <c:pt idx="3">
                  <c:v>4. 10 - 20K SF</c:v>
                </c:pt>
                <c:pt idx="4">
                  <c:v>5. 20K+ SF</c:v>
                </c:pt>
              </c:strCache>
            </c:strRef>
          </c:cat>
          <c:val>
            <c:numRef>
              <c:f>'2022'!$N$23:$N$27</c:f>
              <c:numCache>
                <c:formatCode>General</c:formatCode>
                <c:ptCount val="5"/>
                <c:pt idx="0">
                  <c:v>0</c:v>
                </c:pt>
                <c:pt idx="1">
                  <c:v>3</c:v>
                </c:pt>
                <c:pt idx="2">
                  <c:v>0</c:v>
                </c:pt>
                <c:pt idx="3">
                  <c:v>0</c:v>
                </c:pt>
                <c:pt idx="4">
                  <c:v>1</c:v>
                </c:pt>
              </c:numCache>
            </c:numRef>
          </c:val>
          <c:extLst>
            <c:ext xmlns:c16="http://schemas.microsoft.com/office/drawing/2014/chart" uri="{C3380CC4-5D6E-409C-BE32-E72D297353CC}">
              <c16:uniqueId val="{00000000-DFAA-9748-9C2A-340AFD06DB27}"/>
            </c:ext>
          </c:extLst>
        </c:ser>
        <c:dLbls>
          <c:showLegendKey val="0"/>
          <c:showVal val="0"/>
          <c:showCatName val="0"/>
          <c:showSerName val="0"/>
          <c:showPercent val="0"/>
          <c:showBubbleSize val="0"/>
        </c:dLbls>
        <c:gapWidth val="219"/>
        <c:overlap val="-27"/>
        <c:axId val="1948248255"/>
        <c:axId val="1948249967"/>
      </c:barChart>
      <c:catAx>
        <c:axId val="194824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249967"/>
        <c:crosses val="autoZero"/>
        <c:auto val="1"/>
        <c:lblAlgn val="ctr"/>
        <c:lblOffset val="100"/>
        <c:noMultiLvlLbl val="0"/>
      </c:catAx>
      <c:valAx>
        <c:axId val="19482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24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'2023'!$N$4</c:f>
              <c:strCache>
                <c:ptCount val="1"/>
                <c:pt idx="0">
                  <c:v>#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BC-EB44-84DC-B74667A48E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BC-EB44-84DC-B74667A48E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BC-EB44-84DC-B74667A48E0E}"/>
              </c:ext>
            </c:extLst>
          </c:dPt>
          <c:cat>
            <c:strRef>
              <c:f>'2023'!$M$5:$M$7</c:f>
              <c:strCache>
                <c:ptCount val="3"/>
                <c:pt idx="0">
                  <c:v>"Medical"</c:v>
                </c:pt>
                <c:pt idx="1">
                  <c:v>"Multi-Tenant"</c:v>
                </c:pt>
                <c:pt idx="2">
                  <c:v>"Hospitals"</c:v>
                </c:pt>
              </c:strCache>
            </c:strRef>
          </c:cat>
          <c:val>
            <c:numRef>
              <c:f>'2023'!$N$5:$N$7</c:f>
              <c:numCache>
                <c:formatCode>#,##0</c:formatCode>
                <c:ptCount val="3"/>
                <c:pt idx="0">
                  <c:v>1</c:v>
                </c:pt>
                <c:pt idx="1">
                  <c:v>0</c:v>
                </c:pt>
                <c:pt idx="2">
                  <c:v>1</c:v>
                </c:pt>
              </c:numCache>
            </c:numRef>
          </c:val>
          <c:extLst>
            <c:ext xmlns:c16="http://schemas.microsoft.com/office/drawing/2014/chart" uri="{C3380CC4-5D6E-409C-BE32-E72D297353CC}">
              <c16:uniqueId val="{00000000-943F-0545-8474-7EF0AAC0886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 County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'2023'!$N$10</c:f>
              <c:strCache>
                <c:ptCount val="1"/>
                <c:pt idx="0">
                  <c:v># Sales</c:v>
                </c:pt>
              </c:strCache>
            </c:strRef>
          </c:tx>
          <c:spPr>
            <a:solidFill>
              <a:schemeClr val="accent1"/>
            </a:solidFill>
            <a:ln>
              <a:noFill/>
            </a:ln>
            <a:effectLst/>
          </c:spPr>
          <c:invertIfNegative val="0"/>
          <c:cat>
            <c:strRef>
              <c:f>'2023'!$M$11:$M$14</c:f>
              <c:strCache>
                <c:ptCount val="4"/>
                <c:pt idx="0">
                  <c:v>"Orange"</c:v>
                </c:pt>
                <c:pt idx="1">
                  <c:v>"Seminole"</c:v>
                </c:pt>
                <c:pt idx="2">
                  <c:v>"Osceola"</c:v>
                </c:pt>
                <c:pt idx="3">
                  <c:v>"Lake"</c:v>
                </c:pt>
              </c:strCache>
            </c:strRef>
          </c:cat>
          <c:val>
            <c:numRef>
              <c:f>'2023'!$N$11:$N$14</c:f>
              <c:numCache>
                <c:formatCode>#,##0</c:formatCode>
                <c:ptCount val="4"/>
                <c:pt idx="0">
                  <c:v>1</c:v>
                </c:pt>
                <c:pt idx="1">
                  <c:v>1</c:v>
                </c:pt>
                <c:pt idx="2">
                  <c:v>0</c:v>
                </c:pt>
                <c:pt idx="3">
                  <c:v>0</c:v>
                </c:pt>
              </c:numCache>
            </c:numRef>
          </c:val>
          <c:extLst>
            <c:ext xmlns:c16="http://schemas.microsoft.com/office/drawing/2014/chart" uri="{C3380CC4-5D6E-409C-BE32-E72D297353CC}">
              <c16:uniqueId val="{00000000-45DB-8843-98D5-1F100F55933A}"/>
            </c:ext>
          </c:extLst>
        </c:ser>
        <c:ser>
          <c:idx val="1"/>
          <c:order val="1"/>
          <c:tx>
            <c:strRef>
              <c:f>'2023'!$O$10</c:f>
              <c:strCache>
                <c:ptCount val="1"/>
                <c:pt idx="0">
                  <c:v>Median $/SF</c:v>
                </c:pt>
              </c:strCache>
            </c:strRef>
          </c:tx>
          <c:spPr>
            <a:solidFill>
              <a:schemeClr val="accent2"/>
            </a:solidFill>
            <a:ln>
              <a:noFill/>
            </a:ln>
            <a:effectLst/>
          </c:spPr>
          <c:invertIfNegative val="0"/>
          <c:cat>
            <c:strRef>
              <c:f>'2023'!$M$11:$M$14</c:f>
              <c:strCache>
                <c:ptCount val="4"/>
                <c:pt idx="0">
                  <c:v>"Orange"</c:v>
                </c:pt>
                <c:pt idx="1">
                  <c:v>"Seminole"</c:v>
                </c:pt>
                <c:pt idx="2">
                  <c:v>"Osceola"</c:v>
                </c:pt>
                <c:pt idx="3">
                  <c:v>"Lake"</c:v>
                </c:pt>
              </c:strCache>
            </c:strRef>
          </c:cat>
          <c:val>
            <c:numRef>
              <c:f>'2023'!$O$11:$O$14</c:f>
              <c:numCache>
                <c:formatCode>"$"#,##0.00</c:formatCode>
                <c:ptCount val="4"/>
                <c:pt idx="0">
                  <c:v>713.43638525564802</c:v>
                </c:pt>
                <c:pt idx="1">
                  <c:v>136.42741878902686</c:v>
                </c:pt>
                <c:pt idx="2">
                  <c:v>0</c:v>
                </c:pt>
                <c:pt idx="3">
                  <c:v>0</c:v>
                </c:pt>
              </c:numCache>
            </c:numRef>
          </c:val>
          <c:extLst>
            <c:ext xmlns:c16="http://schemas.microsoft.com/office/drawing/2014/chart" uri="{C3380CC4-5D6E-409C-BE32-E72D297353CC}">
              <c16:uniqueId val="{00000001-45DB-8843-98D5-1F100F55933A}"/>
            </c:ext>
          </c:extLst>
        </c:ser>
        <c:dLbls>
          <c:showLegendKey val="0"/>
          <c:showVal val="0"/>
          <c:showCatName val="0"/>
          <c:showSerName val="0"/>
          <c:showPercent val="0"/>
          <c:showBubbleSize val="0"/>
        </c:dLbls>
        <c:gapWidth val="182"/>
        <c:axId val="389558847"/>
        <c:axId val="389211311"/>
      </c:barChart>
      <c:catAx>
        <c:axId val="389558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11311"/>
        <c:crosses val="autoZero"/>
        <c:auto val="1"/>
        <c:lblAlgn val="ctr"/>
        <c:lblOffset val="100"/>
        <c:noMultiLvlLbl val="0"/>
      </c:catAx>
      <c:valAx>
        <c:axId val="389211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558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Local vs. Institutional —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'2023'!$M$18</c:f>
              <c:strCache>
                <c:ptCount val="1"/>
                <c:pt idx="0">
                  <c:v>"Local (&lt; 6K SF)"</c:v>
                </c:pt>
              </c:strCache>
            </c:strRef>
          </c:tx>
          <c:spPr>
            <a:solidFill>
              <a:schemeClr val="accent1"/>
            </a:solidFill>
            <a:ln>
              <a:noFill/>
            </a:ln>
            <a:effectLst/>
          </c:spPr>
          <c:invertIfNegative val="0"/>
          <c:cat>
            <c:strRef>
              <c:f>'2023'!$N$17:$O$17</c:f>
              <c:strCache>
                <c:ptCount val="2"/>
                <c:pt idx="0">
                  <c:v>Median Price</c:v>
                </c:pt>
                <c:pt idx="1">
                  <c:v>Median $/SF</c:v>
                </c:pt>
              </c:strCache>
            </c:strRef>
          </c:cat>
          <c:val>
            <c:numRef>
              <c:f>'2023'!$N$18:$O$18</c:f>
              <c:numCache>
                <c:formatCode>"$"#,##0.00</c:formatCode>
                <c:ptCount val="2"/>
                <c:pt idx="0" formatCode="&quot;$&quot;#,##0">
                  <c:v>3000000</c:v>
                </c:pt>
                <c:pt idx="1">
                  <c:v>713.43638525564802</c:v>
                </c:pt>
              </c:numCache>
            </c:numRef>
          </c:val>
          <c:extLst>
            <c:ext xmlns:c16="http://schemas.microsoft.com/office/drawing/2014/chart" uri="{C3380CC4-5D6E-409C-BE32-E72D297353CC}">
              <c16:uniqueId val="{00000000-C972-B643-BCBA-B208F28FFC3A}"/>
            </c:ext>
          </c:extLst>
        </c:ser>
        <c:ser>
          <c:idx val="1"/>
          <c:order val="1"/>
          <c:tx>
            <c:strRef>
              <c:f>'2023'!$M$19</c:f>
              <c:strCache>
                <c:ptCount val="1"/>
                <c:pt idx="0">
                  <c:v>"Institutional (10K+ SF)"</c:v>
                </c:pt>
              </c:strCache>
            </c:strRef>
          </c:tx>
          <c:spPr>
            <a:solidFill>
              <a:schemeClr val="accent2"/>
            </a:solidFill>
            <a:ln>
              <a:noFill/>
            </a:ln>
            <a:effectLst/>
          </c:spPr>
          <c:invertIfNegative val="0"/>
          <c:cat>
            <c:strRef>
              <c:f>'2023'!$N$17:$O$17</c:f>
              <c:strCache>
                <c:ptCount val="2"/>
                <c:pt idx="0">
                  <c:v>Median Price</c:v>
                </c:pt>
                <c:pt idx="1">
                  <c:v>Median $/SF</c:v>
                </c:pt>
              </c:strCache>
            </c:strRef>
          </c:cat>
          <c:val>
            <c:numRef>
              <c:f>'2023'!$N$19:$O$19</c:f>
              <c:numCache>
                <c:formatCode>"$"#,##0.00</c:formatCode>
                <c:ptCount val="2"/>
                <c:pt idx="0" formatCode="&quot;$&quot;#,##0">
                  <c:v>3889000</c:v>
                </c:pt>
                <c:pt idx="1">
                  <c:v>136.42741878902686</c:v>
                </c:pt>
              </c:numCache>
            </c:numRef>
          </c:val>
          <c:extLst>
            <c:ext xmlns:c16="http://schemas.microsoft.com/office/drawing/2014/chart" uri="{C3380CC4-5D6E-409C-BE32-E72D297353CC}">
              <c16:uniqueId val="{00000001-C972-B643-BCBA-B208F28FFC3A}"/>
            </c:ext>
          </c:extLst>
        </c:ser>
        <c:dLbls>
          <c:showLegendKey val="0"/>
          <c:showVal val="0"/>
          <c:showCatName val="0"/>
          <c:showSerName val="0"/>
          <c:showPercent val="0"/>
          <c:showBubbleSize val="0"/>
        </c:dLbls>
        <c:gapWidth val="182"/>
        <c:axId val="461327904"/>
        <c:axId val="1771294127"/>
      </c:barChart>
      <c:catAx>
        <c:axId val="46132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294127"/>
        <c:crosses val="autoZero"/>
        <c:auto val="1"/>
        <c:lblAlgn val="ctr"/>
        <c:lblOffset val="100"/>
        <c:noMultiLvlLbl val="0"/>
      </c:catAx>
      <c:valAx>
        <c:axId val="17712941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27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 Sales by Building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'2023'!$N$22</c:f>
              <c:strCache>
                <c:ptCount val="1"/>
                <c:pt idx="0">
                  <c:v># Sales</c:v>
                </c:pt>
              </c:strCache>
            </c:strRef>
          </c:tx>
          <c:spPr>
            <a:solidFill>
              <a:schemeClr val="accent1"/>
            </a:solidFill>
            <a:ln>
              <a:noFill/>
            </a:ln>
            <a:effectLst/>
          </c:spPr>
          <c:invertIfNegative val="0"/>
          <c:cat>
            <c:strRef>
              <c:f>'2023'!$M$23:$M$27</c:f>
              <c:strCache>
                <c:ptCount val="5"/>
                <c:pt idx="0">
                  <c:v>1. &lt; 3K SF</c:v>
                </c:pt>
                <c:pt idx="1">
                  <c:v>2. 3 - 6K SF</c:v>
                </c:pt>
                <c:pt idx="2">
                  <c:v>3. 6 - 10K SF</c:v>
                </c:pt>
                <c:pt idx="3">
                  <c:v>4. 10 - 20K SF</c:v>
                </c:pt>
                <c:pt idx="4">
                  <c:v>5. 20K+ SF</c:v>
                </c:pt>
              </c:strCache>
            </c:strRef>
          </c:cat>
          <c:val>
            <c:numRef>
              <c:f>'2023'!$N$23:$N$27</c:f>
              <c:numCache>
                <c:formatCode>General</c:formatCode>
                <c:ptCount val="5"/>
                <c:pt idx="0">
                  <c:v>0</c:v>
                </c:pt>
                <c:pt idx="1">
                  <c:v>1</c:v>
                </c:pt>
                <c:pt idx="2">
                  <c:v>0</c:v>
                </c:pt>
                <c:pt idx="3">
                  <c:v>0</c:v>
                </c:pt>
                <c:pt idx="4">
                  <c:v>1</c:v>
                </c:pt>
              </c:numCache>
            </c:numRef>
          </c:val>
          <c:extLst>
            <c:ext xmlns:c16="http://schemas.microsoft.com/office/drawing/2014/chart" uri="{C3380CC4-5D6E-409C-BE32-E72D297353CC}">
              <c16:uniqueId val="{00000000-2E04-A140-A6E9-42EF1AA75A93}"/>
            </c:ext>
          </c:extLst>
        </c:ser>
        <c:dLbls>
          <c:showLegendKey val="0"/>
          <c:showVal val="0"/>
          <c:showCatName val="0"/>
          <c:showSerName val="0"/>
          <c:showPercent val="0"/>
          <c:showBubbleSize val="0"/>
        </c:dLbls>
        <c:gapWidth val="219"/>
        <c:overlap val="-27"/>
        <c:axId val="1650933951"/>
        <c:axId val="1865229503"/>
      </c:barChart>
      <c:catAx>
        <c:axId val="16509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29503"/>
        <c:crosses val="autoZero"/>
        <c:auto val="1"/>
        <c:lblAlgn val="ctr"/>
        <c:lblOffset val="100"/>
        <c:noMultiLvlLbl val="0"/>
      </c:catAx>
      <c:valAx>
        <c:axId val="186522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93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'2024'!$N$4</c:f>
              <c:strCache>
                <c:ptCount val="1"/>
                <c:pt idx="0">
                  <c:v>#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FC-5A46-849D-F25B1BB398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FC-5A46-849D-F25B1BB398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FC-5A46-849D-F25B1BB398C5}"/>
              </c:ext>
            </c:extLst>
          </c:dPt>
          <c:cat>
            <c:strRef>
              <c:f>'2024'!$M$5:$M$7</c:f>
              <c:strCache>
                <c:ptCount val="3"/>
                <c:pt idx="0">
                  <c:v>Medical</c:v>
                </c:pt>
                <c:pt idx="1">
                  <c:v>Multi-Tenant</c:v>
                </c:pt>
                <c:pt idx="2">
                  <c:v>Hospitals</c:v>
                </c:pt>
              </c:strCache>
            </c:strRef>
          </c:cat>
          <c:val>
            <c:numRef>
              <c:f>'2024'!$N$5:$N$7</c:f>
              <c:numCache>
                <c:formatCode>General</c:formatCode>
                <c:ptCount val="3"/>
                <c:pt idx="0">
                  <c:v>1</c:v>
                </c:pt>
                <c:pt idx="1">
                  <c:v>1</c:v>
                </c:pt>
                <c:pt idx="2">
                  <c:v>1</c:v>
                </c:pt>
              </c:numCache>
            </c:numRef>
          </c:val>
          <c:extLst>
            <c:ext xmlns:c16="http://schemas.microsoft.com/office/drawing/2014/chart" uri="{C3380CC4-5D6E-409C-BE32-E72D297353CC}">
              <c16:uniqueId val="{00000000-6A6E-364D-9E1F-7F71C581E5F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 County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'2024'!$N$10</c:f>
              <c:strCache>
                <c:ptCount val="1"/>
                <c:pt idx="0">
                  <c:v># Sales</c:v>
                </c:pt>
              </c:strCache>
            </c:strRef>
          </c:tx>
          <c:spPr>
            <a:solidFill>
              <a:schemeClr val="accent1"/>
            </a:solidFill>
            <a:ln>
              <a:noFill/>
            </a:ln>
            <a:effectLst/>
          </c:spPr>
          <c:invertIfNegative val="0"/>
          <c:cat>
            <c:strRef>
              <c:f>'2024'!$M$11:$M$14</c:f>
              <c:strCache>
                <c:ptCount val="4"/>
                <c:pt idx="0">
                  <c:v>Orange</c:v>
                </c:pt>
                <c:pt idx="1">
                  <c:v>Seminole</c:v>
                </c:pt>
                <c:pt idx="2">
                  <c:v>Osceola</c:v>
                </c:pt>
                <c:pt idx="3">
                  <c:v>Lake</c:v>
                </c:pt>
              </c:strCache>
            </c:strRef>
          </c:cat>
          <c:val>
            <c:numRef>
              <c:f>'2024'!$N$11:$N$14</c:f>
              <c:numCache>
                <c:formatCode>General</c:formatCode>
                <c:ptCount val="4"/>
                <c:pt idx="0">
                  <c:v>2</c:v>
                </c:pt>
                <c:pt idx="1">
                  <c:v>1</c:v>
                </c:pt>
                <c:pt idx="2">
                  <c:v>0</c:v>
                </c:pt>
                <c:pt idx="3">
                  <c:v>0</c:v>
                </c:pt>
              </c:numCache>
            </c:numRef>
          </c:val>
          <c:extLst>
            <c:ext xmlns:c16="http://schemas.microsoft.com/office/drawing/2014/chart" uri="{C3380CC4-5D6E-409C-BE32-E72D297353CC}">
              <c16:uniqueId val="{00000000-5493-D545-A555-6649054A298B}"/>
            </c:ext>
          </c:extLst>
        </c:ser>
        <c:ser>
          <c:idx val="1"/>
          <c:order val="1"/>
          <c:tx>
            <c:strRef>
              <c:f>'2024'!$O$10</c:f>
              <c:strCache>
                <c:ptCount val="1"/>
                <c:pt idx="0">
                  <c:v>Median $/SF</c:v>
                </c:pt>
              </c:strCache>
            </c:strRef>
          </c:tx>
          <c:spPr>
            <a:solidFill>
              <a:schemeClr val="accent2"/>
            </a:solidFill>
            <a:ln>
              <a:noFill/>
            </a:ln>
            <a:effectLst/>
          </c:spPr>
          <c:invertIfNegative val="0"/>
          <c:cat>
            <c:strRef>
              <c:f>'2024'!$M$11:$M$14</c:f>
              <c:strCache>
                <c:ptCount val="4"/>
                <c:pt idx="0">
                  <c:v>Orange</c:v>
                </c:pt>
                <c:pt idx="1">
                  <c:v>Seminole</c:v>
                </c:pt>
                <c:pt idx="2">
                  <c:v>Osceola</c:v>
                </c:pt>
                <c:pt idx="3">
                  <c:v>Lake</c:v>
                </c:pt>
              </c:strCache>
            </c:strRef>
          </c:cat>
          <c:val>
            <c:numRef>
              <c:f>'2024'!$O$11:$O$14</c:f>
              <c:numCache>
                <c:formatCode>"$"#,##0.00</c:formatCode>
                <c:ptCount val="4"/>
                <c:pt idx="0">
                  <c:v>355.35715580570411</c:v>
                </c:pt>
                <c:pt idx="1">
                  <c:v>479.56867196367762</c:v>
                </c:pt>
                <c:pt idx="2">
                  <c:v>0</c:v>
                </c:pt>
                <c:pt idx="3">
                  <c:v>0</c:v>
                </c:pt>
              </c:numCache>
            </c:numRef>
          </c:val>
          <c:extLst>
            <c:ext xmlns:c16="http://schemas.microsoft.com/office/drawing/2014/chart" uri="{C3380CC4-5D6E-409C-BE32-E72D297353CC}">
              <c16:uniqueId val="{00000001-5493-D545-A555-6649054A298B}"/>
            </c:ext>
          </c:extLst>
        </c:ser>
        <c:dLbls>
          <c:showLegendKey val="0"/>
          <c:showVal val="0"/>
          <c:showCatName val="0"/>
          <c:showSerName val="0"/>
          <c:showPercent val="0"/>
          <c:showBubbleSize val="0"/>
        </c:dLbls>
        <c:gapWidth val="182"/>
        <c:axId val="1947781679"/>
        <c:axId val="1947783391"/>
      </c:barChart>
      <c:catAx>
        <c:axId val="194778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783391"/>
        <c:crosses val="autoZero"/>
        <c:auto val="1"/>
        <c:lblAlgn val="ctr"/>
        <c:lblOffset val="100"/>
        <c:noMultiLvlLbl val="0"/>
      </c:catAx>
      <c:valAx>
        <c:axId val="194778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781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 Buyer Segment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'2024'!$N$17</c:f>
              <c:strCache>
                <c:ptCount val="1"/>
                <c:pt idx="0">
                  <c:v>Median Price</c:v>
                </c:pt>
              </c:strCache>
            </c:strRef>
          </c:tx>
          <c:spPr>
            <a:solidFill>
              <a:schemeClr val="accent1"/>
            </a:solidFill>
            <a:ln>
              <a:noFill/>
            </a:ln>
            <a:effectLst/>
          </c:spPr>
          <c:invertIfNegative val="0"/>
          <c:cat>
            <c:strRef>
              <c:f>'2024'!$M$18:$M$20</c:f>
              <c:strCache>
                <c:ptCount val="3"/>
                <c:pt idx="0">
                  <c:v>Local (&lt; 6K SF)</c:v>
                </c:pt>
                <c:pt idx="1">
                  <c:v>Mid (6-10K SF)</c:v>
                </c:pt>
                <c:pt idx="2">
                  <c:v>Institutional (10K+)</c:v>
                </c:pt>
              </c:strCache>
            </c:strRef>
          </c:cat>
          <c:val>
            <c:numRef>
              <c:f>'2024'!$N$18:$N$20</c:f>
              <c:numCache>
                <c:formatCode>"$"#,##0</c:formatCode>
                <c:ptCount val="3"/>
                <c:pt idx="0">
                  <c:v>3500000</c:v>
                </c:pt>
                <c:pt idx="1">
                  <c:v>4225000</c:v>
                </c:pt>
                <c:pt idx="2">
                  <c:v>3200000</c:v>
                </c:pt>
              </c:numCache>
            </c:numRef>
          </c:val>
          <c:extLst>
            <c:ext xmlns:c16="http://schemas.microsoft.com/office/drawing/2014/chart" uri="{C3380CC4-5D6E-409C-BE32-E72D297353CC}">
              <c16:uniqueId val="{00000000-125D-694C-9AA9-564411F0D265}"/>
            </c:ext>
          </c:extLst>
        </c:ser>
        <c:ser>
          <c:idx val="1"/>
          <c:order val="1"/>
          <c:tx>
            <c:strRef>
              <c:f>'2024'!$O$17</c:f>
              <c:strCache>
                <c:ptCount val="1"/>
                <c:pt idx="0">
                  <c:v>Median $/SF</c:v>
                </c:pt>
              </c:strCache>
            </c:strRef>
          </c:tx>
          <c:spPr>
            <a:solidFill>
              <a:schemeClr val="accent2"/>
            </a:solidFill>
            <a:ln>
              <a:noFill/>
            </a:ln>
            <a:effectLst/>
          </c:spPr>
          <c:invertIfNegative val="0"/>
          <c:cat>
            <c:strRef>
              <c:f>'2024'!$M$18:$M$20</c:f>
              <c:strCache>
                <c:ptCount val="3"/>
                <c:pt idx="0">
                  <c:v>Local (&lt; 6K SF)</c:v>
                </c:pt>
                <c:pt idx="1">
                  <c:v>Mid (6-10K SF)</c:v>
                </c:pt>
                <c:pt idx="2">
                  <c:v>Institutional (10K+)</c:v>
                </c:pt>
              </c:strCache>
            </c:strRef>
          </c:cat>
          <c:val>
            <c:numRef>
              <c:f>'2024'!$O$18:$O$20</c:f>
              <c:numCache>
                <c:formatCode>"$"#,##0.00</c:formatCode>
                <c:ptCount val="3"/>
                <c:pt idx="0">
                  <c:v>591.01654846335703</c:v>
                </c:pt>
                <c:pt idx="1">
                  <c:v>479.56867196367762</c:v>
                </c:pt>
                <c:pt idx="2">
                  <c:v>119.69776314805117</c:v>
                </c:pt>
              </c:numCache>
            </c:numRef>
          </c:val>
          <c:extLst>
            <c:ext xmlns:c16="http://schemas.microsoft.com/office/drawing/2014/chart" uri="{C3380CC4-5D6E-409C-BE32-E72D297353CC}">
              <c16:uniqueId val="{00000001-125D-694C-9AA9-564411F0D265}"/>
            </c:ext>
          </c:extLst>
        </c:ser>
        <c:dLbls>
          <c:showLegendKey val="0"/>
          <c:showVal val="0"/>
          <c:showCatName val="0"/>
          <c:showSerName val="0"/>
          <c:showPercent val="0"/>
          <c:showBubbleSize val="0"/>
        </c:dLbls>
        <c:gapWidth val="182"/>
        <c:axId val="60052816"/>
        <c:axId val="1947559551"/>
      </c:barChart>
      <c:catAx>
        <c:axId val="6005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559551"/>
        <c:crosses val="autoZero"/>
        <c:auto val="1"/>
        <c:lblAlgn val="ctr"/>
        <c:lblOffset val="100"/>
        <c:noMultiLvlLbl val="0"/>
      </c:catAx>
      <c:valAx>
        <c:axId val="19475595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2024 Sales by Building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'2024'!$N$23</c:f>
              <c:strCache>
                <c:ptCount val="1"/>
                <c:pt idx="0">
                  <c:v># Sales</c:v>
                </c:pt>
              </c:strCache>
            </c:strRef>
          </c:tx>
          <c:spPr>
            <a:solidFill>
              <a:schemeClr val="accent1"/>
            </a:solidFill>
            <a:ln>
              <a:noFill/>
            </a:ln>
            <a:effectLst/>
          </c:spPr>
          <c:invertIfNegative val="0"/>
          <c:cat>
            <c:strRef>
              <c:f>'2024'!$M$24:$M$28</c:f>
              <c:strCache>
                <c:ptCount val="5"/>
                <c:pt idx="0">
                  <c:v>1. &lt; 3K SF</c:v>
                </c:pt>
                <c:pt idx="1">
                  <c:v>2. 3 - 6K SF</c:v>
                </c:pt>
                <c:pt idx="2">
                  <c:v>3. 6 - 10K SF</c:v>
                </c:pt>
                <c:pt idx="3">
                  <c:v>4. 10 - 20K SF</c:v>
                </c:pt>
                <c:pt idx="4">
                  <c:v>5. 20K+ SF</c:v>
                </c:pt>
              </c:strCache>
            </c:strRef>
          </c:cat>
          <c:val>
            <c:numRef>
              <c:f>'2024'!$N$24:$N$28</c:f>
              <c:numCache>
                <c:formatCode>General</c:formatCode>
                <c:ptCount val="5"/>
                <c:pt idx="0">
                  <c:v>0</c:v>
                </c:pt>
                <c:pt idx="1">
                  <c:v>1</c:v>
                </c:pt>
                <c:pt idx="2">
                  <c:v>1</c:v>
                </c:pt>
                <c:pt idx="3">
                  <c:v>0</c:v>
                </c:pt>
                <c:pt idx="4">
                  <c:v>1</c:v>
                </c:pt>
              </c:numCache>
            </c:numRef>
          </c:val>
          <c:extLst>
            <c:ext xmlns:c16="http://schemas.microsoft.com/office/drawing/2014/chart" uri="{C3380CC4-5D6E-409C-BE32-E72D297353CC}">
              <c16:uniqueId val="{00000000-6CDE-8C48-B5F7-F795558F4243}"/>
            </c:ext>
          </c:extLst>
        </c:ser>
        <c:dLbls>
          <c:showLegendKey val="0"/>
          <c:showVal val="0"/>
          <c:showCatName val="0"/>
          <c:showSerName val="0"/>
          <c:showPercent val="0"/>
          <c:showBubbleSize val="0"/>
        </c:dLbls>
        <c:gapWidth val="219"/>
        <c:overlap val="-27"/>
        <c:axId val="625654111"/>
        <c:axId val="1948208895"/>
      </c:barChart>
      <c:catAx>
        <c:axId val="6256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208895"/>
        <c:crosses val="autoZero"/>
        <c:auto val="1"/>
        <c:lblAlgn val="ctr"/>
        <c:lblOffset val="100"/>
        <c:noMultiLvlLbl val="0"/>
      </c:catAx>
      <c:valAx>
        <c:axId val="194820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5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'2025'!$N$4</c:f>
              <c:strCache>
                <c:ptCount val="1"/>
                <c:pt idx="0">
                  <c:v>#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A1-B048-92A4-0800EDFDB5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A1-B048-92A4-0800EDFDB5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A1-B048-92A4-0800EDFDB5F0}"/>
              </c:ext>
            </c:extLst>
          </c:dPt>
          <c:cat>
            <c:strRef>
              <c:f>'2025'!$M$5:$M$7</c:f>
              <c:strCache>
                <c:ptCount val="3"/>
                <c:pt idx="0">
                  <c:v>Medical</c:v>
                </c:pt>
                <c:pt idx="1">
                  <c:v>Multi-Tenant</c:v>
                </c:pt>
                <c:pt idx="2">
                  <c:v>Hospitals</c:v>
                </c:pt>
              </c:strCache>
            </c:strRef>
          </c:cat>
          <c:val>
            <c:numRef>
              <c:f>'2025'!$N$5:$N$7</c:f>
              <c:numCache>
                <c:formatCode>General</c:formatCode>
                <c:ptCount val="3"/>
                <c:pt idx="0">
                  <c:v>5</c:v>
                </c:pt>
                <c:pt idx="1">
                  <c:v>1</c:v>
                </c:pt>
                <c:pt idx="2">
                  <c:v>1</c:v>
                </c:pt>
              </c:numCache>
            </c:numRef>
          </c:val>
          <c:extLst>
            <c:ext xmlns:c16="http://schemas.microsoft.com/office/drawing/2014/chart" uri="{C3380CC4-5D6E-409C-BE32-E72D297353CC}">
              <c16:uniqueId val="{00000000-2B28-E94F-A6E4-FE43E9CFC8C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 County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'2025'!$N$10</c:f>
              <c:strCache>
                <c:ptCount val="1"/>
                <c:pt idx="0">
                  <c:v># Sales</c:v>
                </c:pt>
              </c:strCache>
            </c:strRef>
          </c:tx>
          <c:spPr>
            <a:solidFill>
              <a:schemeClr val="accent1"/>
            </a:solidFill>
            <a:ln>
              <a:noFill/>
            </a:ln>
            <a:effectLst/>
          </c:spPr>
          <c:invertIfNegative val="0"/>
          <c:cat>
            <c:strRef>
              <c:f>'2025'!$M$11:$M$14</c:f>
              <c:strCache>
                <c:ptCount val="4"/>
                <c:pt idx="0">
                  <c:v>Orange</c:v>
                </c:pt>
                <c:pt idx="1">
                  <c:v>Seminole</c:v>
                </c:pt>
                <c:pt idx="2">
                  <c:v>Osceola</c:v>
                </c:pt>
                <c:pt idx="3">
                  <c:v>Lake</c:v>
                </c:pt>
              </c:strCache>
            </c:strRef>
          </c:cat>
          <c:val>
            <c:numRef>
              <c:f>'2025'!$N$11:$N$14</c:f>
              <c:numCache>
                <c:formatCode>General</c:formatCode>
                <c:ptCount val="4"/>
                <c:pt idx="0">
                  <c:v>7</c:v>
                </c:pt>
                <c:pt idx="1">
                  <c:v>0</c:v>
                </c:pt>
                <c:pt idx="2">
                  <c:v>0</c:v>
                </c:pt>
                <c:pt idx="3">
                  <c:v>0</c:v>
                </c:pt>
              </c:numCache>
            </c:numRef>
          </c:val>
          <c:extLst>
            <c:ext xmlns:c16="http://schemas.microsoft.com/office/drawing/2014/chart" uri="{C3380CC4-5D6E-409C-BE32-E72D297353CC}">
              <c16:uniqueId val="{00000000-07BB-8B4E-9E6E-426F2A8E91C2}"/>
            </c:ext>
          </c:extLst>
        </c:ser>
        <c:ser>
          <c:idx val="1"/>
          <c:order val="1"/>
          <c:tx>
            <c:strRef>
              <c:f>'2025'!$O$10</c:f>
              <c:strCache>
                <c:ptCount val="1"/>
                <c:pt idx="0">
                  <c:v>Median $/SF</c:v>
                </c:pt>
              </c:strCache>
            </c:strRef>
          </c:tx>
          <c:spPr>
            <a:solidFill>
              <a:schemeClr val="accent2"/>
            </a:solidFill>
            <a:ln>
              <a:noFill/>
            </a:ln>
            <a:effectLst/>
          </c:spPr>
          <c:invertIfNegative val="0"/>
          <c:cat>
            <c:strRef>
              <c:f>'2025'!$M$11:$M$14</c:f>
              <c:strCache>
                <c:ptCount val="4"/>
                <c:pt idx="0">
                  <c:v>Orange</c:v>
                </c:pt>
                <c:pt idx="1">
                  <c:v>Seminole</c:v>
                </c:pt>
                <c:pt idx="2">
                  <c:v>Osceola</c:v>
                </c:pt>
                <c:pt idx="3">
                  <c:v>Lake</c:v>
                </c:pt>
              </c:strCache>
            </c:strRef>
          </c:cat>
          <c:val>
            <c:numRef>
              <c:f>'2025'!$O$11:$O$14</c:f>
              <c:numCache>
                <c:formatCode>"$"#,##0.00</c:formatCode>
                <c:ptCount val="4"/>
                <c:pt idx="0">
                  <c:v>478.33488751269329</c:v>
                </c:pt>
                <c:pt idx="1">
                  <c:v>0</c:v>
                </c:pt>
                <c:pt idx="2">
                  <c:v>0</c:v>
                </c:pt>
                <c:pt idx="3">
                  <c:v>0</c:v>
                </c:pt>
              </c:numCache>
            </c:numRef>
          </c:val>
          <c:extLst>
            <c:ext xmlns:c16="http://schemas.microsoft.com/office/drawing/2014/chart" uri="{C3380CC4-5D6E-409C-BE32-E72D297353CC}">
              <c16:uniqueId val="{00000001-07BB-8B4E-9E6E-426F2A8E91C2}"/>
            </c:ext>
          </c:extLst>
        </c:ser>
        <c:dLbls>
          <c:showLegendKey val="0"/>
          <c:showVal val="0"/>
          <c:showCatName val="0"/>
          <c:showSerName val="0"/>
          <c:showPercent val="0"/>
          <c:showBubbleSize val="0"/>
        </c:dLbls>
        <c:gapWidth val="182"/>
        <c:axId val="1475448367"/>
        <c:axId val="596776831"/>
      </c:barChart>
      <c:catAx>
        <c:axId val="147544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76831"/>
        <c:crosses val="autoZero"/>
        <c:auto val="1"/>
        <c:lblAlgn val="ctr"/>
        <c:lblOffset val="100"/>
        <c:noMultiLvlLbl val="0"/>
      </c:catAx>
      <c:valAx>
        <c:axId val="596776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48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 Buyer Segment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'2025'!$N$17</c:f>
              <c:strCache>
                <c:ptCount val="1"/>
                <c:pt idx="0">
                  <c:v>Median Price</c:v>
                </c:pt>
              </c:strCache>
            </c:strRef>
          </c:tx>
          <c:spPr>
            <a:solidFill>
              <a:schemeClr val="accent1"/>
            </a:solidFill>
            <a:ln>
              <a:noFill/>
            </a:ln>
            <a:effectLst/>
          </c:spPr>
          <c:invertIfNegative val="0"/>
          <c:cat>
            <c:strRef>
              <c:f>'2025'!$M$18:$M$20</c:f>
              <c:strCache>
                <c:ptCount val="3"/>
                <c:pt idx="0">
                  <c:v>Local (&lt; 6K SF)</c:v>
                </c:pt>
                <c:pt idx="1">
                  <c:v>Mid (6-10K SF)</c:v>
                </c:pt>
                <c:pt idx="2">
                  <c:v>Institutional (10K+)</c:v>
                </c:pt>
              </c:strCache>
            </c:strRef>
          </c:cat>
          <c:val>
            <c:numRef>
              <c:f>'2025'!$N$18:$N$20</c:f>
              <c:numCache>
                <c:formatCode>"$"#,##0</c:formatCode>
                <c:ptCount val="3"/>
                <c:pt idx="0">
                  <c:v>3200000</c:v>
                </c:pt>
                <c:pt idx="1">
                  <c:v>830900</c:v>
                </c:pt>
                <c:pt idx="2">
                  <c:v>6850000</c:v>
                </c:pt>
              </c:numCache>
            </c:numRef>
          </c:val>
          <c:extLst>
            <c:ext xmlns:c16="http://schemas.microsoft.com/office/drawing/2014/chart" uri="{C3380CC4-5D6E-409C-BE32-E72D297353CC}">
              <c16:uniqueId val="{00000000-2E43-5E45-A94E-197343E93A55}"/>
            </c:ext>
          </c:extLst>
        </c:ser>
        <c:ser>
          <c:idx val="1"/>
          <c:order val="1"/>
          <c:tx>
            <c:strRef>
              <c:f>'2025'!$O$17</c:f>
              <c:strCache>
                <c:ptCount val="1"/>
                <c:pt idx="0">
                  <c:v>Median $/SF</c:v>
                </c:pt>
              </c:strCache>
            </c:strRef>
          </c:tx>
          <c:spPr>
            <a:solidFill>
              <a:schemeClr val="accent2"/>
            </a:solidFill>
            <a:ln>
              <a:noFill/>
            </a:ln>
            <a:effectLst/>
          </c:spPr>
          <c:invertIfNegative val="0"/>
          <c:cat>
            <c:strRef>
              <c:f>'2025'!$M$18:$M$20</c:f>
              <c:strCache>
                <c:ptCount val="3"/>
                <c:pt idx="0">
                  <c:v>Local (&lt; 6K SF)</c:v>
                </c:pt>
                <c:pt idx="1">
                  <c:v>Mid (6-10K SF)</c:v>
                </c:pt>
                <c:pt idx="2">
                  <c:v>Institutional (10K+)</c:v>
                </c:pt>
              </c:strCache>
            </c:strRef>
          </c:cat>
          <c:val>
            <c:numRef>
              <c:f>'2025'!$O$18:$O$20</c:f>
              <c:numCache>
                <c:formatCode>"$"#,##0.00</c:formatCode>
                <c:ptCount val="3"/>
                <c:pt idx="0">
                  <c:v>915.12170706006327</c:v>
                </c:pt>
                <c:pt idx="1">
                  <c:v>136.21311475409837</c:v>
                </c:pt>
                <c:pt idx="2">
                  <c:v>155.79158043166777</c:v>
                </c:pt>
              </c:numCache>
            </c:numRef>
          </c:val>
          <c:extLst>
            <c:ext xmlns:c16="http://schemas.microsoft.com/office/drawing/2014/chart" uri="{C3380CC4-5D6E-409C-BE32-E72D297353CC}">
              <c16:uniqueId val="{00000001-2E43-5E45-A94E-197343E93A55}"/>
            </c:ext>
          </c:extLst>
        </c:ser>
        <c:dLbls>
          <c:showLegendKey val="0"/>
          <c:showVal val="0"/>
          <c:showCatName val="0"/>
          <c:showSerName val="0"/>
          <c:showPercent val="0"/>
          <c:showBubbleSize val="0"/>
        </c:dLbls>
        <c:gapWidth val="182"/>
        <c:axId val="594968751"/>
        <c:axId val="595035871"/>
      </c:barChart>
      <c:catAx>
        <c:axId val="59496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35871"/>
        <c:crosses val="autoZero"/>
        <c:auto val="1"/>
        <c:lblAlgn val="ctr"/>
        <c:lblOffset val="100"/>
        <c:noMultiLvlLbl val="0"/>
      </c:catAx>
      <c:valAx>
        <c:axId val="5950358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6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 Sales by Building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'2025'!$N$23</c:f>
              <c:strCache>
                <c:ptCount val="1"/>
                <c:pt idx="0">
                  <c:v># Sales</c:v>
                </c:pt>
              </c:strCache>
            </c:strRef>
          </c:tx>
          <c:spPr>
            <a:solidFill>
              <a:schemeClr val="accent1"/>
            </a:solidFill>
            <a:ln>
              <a:noFill/>
            </a:ln>
            <a:effectLst/>
          </c:spPr>
          <c:invertIfNegative val="0"/>
          <c:cat>
            <c:strRef>
              <c:f>'2025'!$M$24:$M$28</c:f>
              <c:strCache>
                <c:ptCount val="5"/>
                <c:pt idx="0">
                  <c:v>1. &lt; 3K SF</c:v>
                </c:pt>
                <c:pt idx="1">
                  <c:v>2. 3 - 6K SF</c:v>
                </c:pt>
                <c:pt idx="2">
                  <c:v>3. 6 - 10K SF</c:v>
                </c:pt>
                <c:pt idx="3">
                  <c:v>4. 10 - 20K SF</c:v>
                </c:pt>
                <c:pt idx="4">
                  <c:v>5. 20K+ SF</c:v>
                </c:pt>
              </c:strCache>
            </c:strRef>
          </c:cat>
          <c:val>
            <c:numRef>
              <c:f>'2025'!$N$24:$N$28</c:f>
              <c:numCache>
                <c:formatCode>General</c:formatCode>
                <c:ptCount val="5"/>
                <c:pt idx="0">
                  <c:v>1</c:v>
                </c:pt>
                <c:pt idx="1">
                  <c:v>2</c:v>
                </c:pt>
                <c:pt idx="2">
                  <c:v>1</c:v>
                </c:pt>
                <c:pt idx="3">
                  <c:v>0</c:v>
                </c:pt>
                <c:pt idx="4">
                  <c:v>3</c:v>
                </c:pt>
              </c:numCache>
            </c:numRef>
          </c:val>
          <c:extLst>
            <c:ext xmlns:c16="http://schemas.microsoft.com/office/drawing/2014/chart" uri="{C3380CC4-5D6E-409C-BE32-E72D297353CC}">
              <c16:uniqueId val="{00000000-846C-E847-A948-13D7A960C8F5}"/>
            </c:ext>
          </c:extLst>
        </c:ser>
        <c:dLbls>
          <c:showLegendKey val="0"/>
          <c:showVal val="0"/>
          <c:showCatName val="0"/>
          <c:showSerName val="0"/>
          <c:showPercent val="0"/>
          <c:showBubbleSize val="0"/>
        </c:dLbls>
        <c:gapWidth val="219"/>
        <c:overlap val="-27"/>
        <c:axId val="1658306655"/>
        <c:axId val="1819482847"/>
      </c:barChart>
      <c:catAx>
        <c:axId val="165830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482847"/>
        <c:crosses val="autoZero"/>
        <c:auto val="1"/>
        <c:lblAlgn val="ctr"/>
        <c:lblOffset val="100"/>
        <c:noMultiLvlLbl val="0"/>
      </c:catAx>
      <c:valAx>
        <c:axId val="181948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0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$/SF by Buyer Segment (2020–2025)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 Year (Incomplete)'!$A$17</c:f>
              <c:strCache>
                <c:ptCount val="1"/>
                <c:pt idx="0">
                  <c:v>🏥 Local (&lt; 6K 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'6 Year (Incomplete)'!$B$16:$G$16</c:f>
              <c:numCache>
                <c:formatCode>General</c:formatCode>
                <c:ptCount val="6"/>
                <c:pt idx="0">
                  <c:v>2020</c:v>
                </c:pt>
                <c:pt idx="1">
                  <c:v>2021</c:v>
                </c:pt>
                <c:pt idx="2">
                  <c:v>2022</c:v>
                </c:pt>
                <c:pt idx="3">
                  <c:v>2023</c:v>
                </c:pt>
                <c:pt idx="4">
                  <c:v>2024</c:v>
                </c:pt>
                <c:pt idx="5">
                  <c:v>2025</c:v>
                </c:pt>
              </c:numCache>
            </c:numRef>
          </c:cat>
          <c:val>
            <c:numRef>
              <c:f>'6 Year (Incomplete)'!$B$17:$G$17</c:f>
              <c:numCache>
                <c:formatCode>"$"#,##0</c:formatCode>
                <c:ptCount val="6"/>
                <c:pt idx="0">
                  <c:v>623.25581395348843</c:v>
                </c:pt>
                <c:pt idx="1">
                  <c:v>96.096028718869192</c:v>
                </c:pt>
                <c:pt idx="2">
                  <c:v>772.0132286068623</c:v>
                </c:pt>
                <c:pt idx="3">
                  <c:v>713.43638525564802</c:v>
                </c:pt>
                <c:pt idx="4">
                  <c:v>591.01654846335703</c:v>
                </c:pt>
                <c:pt idx="5">
                  <c:v>915.12170706006327</c:v>
                </c:pt>
              </c:numCache>
            </c:numRef>
          </c:val>
          <c:smooth val="0"/>
          <c:extLst>
            <c:ext xmlns:c16="http://schemas.microsoft.com/office/drawing/2014/chart" uri="{C3380CC4-5D6E-409C-BE32-E72D297353CC}">
              <c16:uniqueId val="{00000000-9E6D-D042-83DA-9078CFAE6193}"/>
            </c:ext>
          </c:extLst>
        </c:ser>
        <c:ser>
          <c:idx val="1"/>
          <c:order val="1"/>
          <c:tx>
            <c:strRef>
              <c:f>'6 Year (Incomplete)'!$A$18</c:f>
              <c:strCache>
                <c:ptCount val="1"/>
                <c:pt idx="0">
                  <c:v>🏢 Mid-Market (6–10K 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'6 Year (Incomplete)'!$B$16:$G$16</c:f>
              <c:numCache>
                <c:formatCode>General</c:formatCode>
                <c:ptCount val="6"/>
                <c:pt idx="0">
                  <c:v>2020</c:v>
                </c:pt>
                <c:pt idx="1">
                  <c:v>2021</c:v>
                </c:pt>
                <c:pt idx="2">
                  <c:v>2022</c:v>
                </c:pt>
                <c:pt idx="3">
                  <c:v>2023</c:v>
                </c:pt>
                <c:pt idx="4">
                  <c:v>2024</c:v>
                </c:pt>
                <c:pt idx="5">
                  <c:v>2025</c:v>
                </c:pt>
              </c:numCache>
            </c:numRef>
          </c:cat>
          <c:val>
            <c:numRef>
              <c:f>'6 Year (Incomplete)'!$B$18:$G$18</c:f>
              <c:numCache>
                <c:formatCode>"$"#,##0</c:formatCode>
                <c:ptCount val="6"/>
                <c:pt idx="0">
                  <c:v>87.84773060029282</c:v>
                </c:pt>
                <c:pt idx="1">
                  <c:v>72.860962566844918</c:v>
                </c:pt>
                <c:pt idx="2">
                  <c:v>0</c:v>
                </c:pt>
                <c:pt idx="3">
                  <c:v>0</c:v>
                </c:pt>
                <c:pt idx="4">
                  <c:v>479.56867196367762</c:v>
                </c:pt>
                <c:pt idx="5">
                  <c:v>136.21311475409837</c:v>
                </c:pt>
              </c:numCache>
            </c:numRef>
          </c:val>
          <c:smooth val="0"/>
          <c:extLst>
            <c:ext xmlns:c16="http://schemas.microsoft.com/office/drawing/2014/chart" uri="{C3380CC4-5D6E-409C-BE32-E72D297353CC}">
              <c16:uniqueId val="{00000001-9E6D-D042-83DA-9078CFAE6193}"/>
            </c:ext>
          </c:extLst>
        </c:ser>
        <c:ser>
          <c:idx val="2"/>
          <c:order val="2"/>
          <c:tx>
            <c:strRef>
              <c:f>'6 Year (Incomplete)'!$A$19</c:f>
              <c:strCache>
                <c:ptCount val="1"/>
                <c:pt idx="0">
                  <c:v>🏢 Institutional (10K+ SF)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'6 Year (Incomplete)'!$B$16:$G$16</c:f>
              <c:numCache>
                <c:formatCode>General</c:formatCode>
                <c:ptCount val="6"/>
                <c:pt idx="0">
                  <c:v>2020</c:v>
                </c:pt>
                <c:pt idx="1">
                  <c:v>2021</c:v>
                </c:pt>
                <c:pt idx="2">
                  <c:v>2022</c:v>
                </c:pt>
                <c:pt idx="3">
                  <c:v>2023</c:v>
                </c:pt>
                <c:pt idx="4">
                  <c:v>2024</c:v>
                </c:pt>
                <c:pt idx="5">
                  <c:v>2025</c:v>
                </c:pt>
              </c:numCache>
            </c:numRef>
          </c:cat>
          <c:val>
            <c:numRef>
              <c:f>'6 Year (Incomplete)'!$B$19:$G$19</c:f>
              <c:numCache>
                <c:formatCode>"$"#,##0</c:formatCode>
                <c:ptCount val="6"/>
                <c:pt idx="0">
                  <c:v>45.304777594728172</c:v>
                </c:pt>
                <c:pt idx="1">
                  <c:v>72.415102579446241</c:v>
                </c:pt>
                <c:pt idx="2">
                  <c:v>83.654119654878158</c:v>
                </c:pt>
                <c:pt idx="3">
                  <c:v>136.42741878902686</c:v>
                </c:pt>
                <c:pt idx="4">
                  <c:v>119.69776314805117</c:v>
                </c:pt>
                <c:pt idx="5">
                  <c:v>155.79158043166777</c:v>
                </c:pt>
              </c:numCache>
            </c:numRef>
          </c:val>
          <c:smooth val="0"/>
          <c:extLst>
            <c:ext xmlns:c16="http://schemas.microsoft.com/office/drawing/2014/chart" uri="{C3380CC4-5D6E-409C-BE32-E72D297353CC}">
              <c16:uniqueId val="{00000002-9E6D-D042-83DA-9078CFAE6193}"/>
            </c:ext>
          </c:extLst>
        </c:ser>
        <c:dLbls>
          <c:showLegendKey val="0"/>
          <c:showVal val="0"/>
          <c:showCatName val="0"/>
          <c:showSerName val="0"/>
          <c:showPercent val="0"/>
          <c:showBubbleSize val="0"/>
        </c:dLbls>
        <c:marker val="1"/>
        <c:smooth val="0"/>
        <c:axId val="596909727"/>
        <c:axId val="584344479"/>
      </c:lineChart>
      <c:catAx>
        <c:axId val="5969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44479"/>
        <c:crosses val="autoZero"/>
        <c:auto val="1"/>
        <c:lblAlgn val="ctr"/>
        <c:lblOffset val="100"/>
        <c:noMultiLvlLbl val="0"/>
      </c:catAx>
      <c:valAx>
        <c:axId val="584344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09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Price by Buyer Segment (2020–2025)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'6 Year (Incomplete)'!$A$23</c:f>
              <c:strCache>
                <c:ptCount val="1"/>
                <c:pt idx="0">
                  <c:v>🏥 Local (&lt; 6K 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'6 Year (Incomplete)'!$B$22:$G$22</c:f>
              <c:numCache>
                <c:formatCode>General</c:formatCode>
                <c:ptCount val="6"/>
                <c:pt idx="0">
                  <c:v>2020</c:v>
                </c:pt>
                <c:pt idx="1">
                  <c:v>2021</c:v>
                </c:pt>
                <c:pt idx="2">
                  <c:v>2022</c:v>
                </c:pt>
                <c:pt idx="3">
                  <c:v>2023</c:v>
                </c:pt>
                <c:pt idx="4">
                  <c:v>2024</c:v>
                </c:pt>
                <c:pt idx="5">
                  <c:v>2025</c:v>
                </c:pt>
              </c:numCache>
            </c:numRef>
          </c:cat>
          <c:val>
            <c:numRef>
              <c:f>'6 Year (Incomplete)'!$B$23:$G$23</c:f>
              <c:numCache>
                <c:formatCode>"$"#,##0,"K"</c:formatCode>
                <c:ptCount val="6"/>
                <c:pt idx="0">
                  <c:v>1340000</c:v>
                </c:pt>
                <c:pt idx="1">
                  <c:v>428300</c:v>
                </c:pt>
                <c:pt idx="2">
                  <c:v>3735000</c:v>
                </c:pt>
                <c:pt idx="3">
                  <c:v>3000000</c:v>
                </c:pt>
                <c:pt idx="4">
                  <c:v>3500000</c:v>
                </c:pt>
                <c:pt idx="5">
                  <c:v>3200000</c:v>
                </c:pt>
              </c:numCache>
            </c:numRef>
          </c:val>
          <c:smooth val="0"/>
          <c:extLst>
            <c:ext xmlns:c16="http://schemas.microsoft.com/office/drawing/2014/chart" uri="{C3380CC4-5D6E-409C-BE32-E72D297353CC}">
              <c16:uniqueId val="{00000000-0511-6047-8E62-30DCD828D29D}"/>
            </c:ext>
          </c:extLst>
        </c:ser>
        <c:ser>
          <c:idx val="1"/>
          <c:order val="1"/>
          <c:tx>
            <c:strRef>
              <c:f>'6 Year (Incomplete)'!$A$24</c:f>
              <c:strCache>
                <c:ptCount val="1"/>
                <c:pt idx="0">
                  <c:v>🏢 Mid-Market (6–10K 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'6 Year (Incomplete)'!$B$22:$G$22</c:f>
              <c:numCache>
                <c:formatCode>General</c:formatCode>
                <c:ptCount val="6"/>
                <c:pt idx="0">
                  <c:v>2020</c:v>
                </c:pt>
                <c:pt idx="1">
                  <c:v>2021</c:v>
                </c:pt>
                <c:pt idx="2">
                  <c:v>2022</c:v>
                </c:pt>
                <c:pt idx="3">
                  <c:v>2023</c:v>
                </c:pt>
                <c:pt idx="4">
                  <c:v>2024</c:v>
                </c:pt>
                <c:pt idx="5">
                  <c:v>2025</c:v>
                </c:pt>
              </c:numCache>
            </c:numRef>
          </c:cat>
          <c:val>
            <c:numRef>
              <c:f>'6 Year (Incomplete)'!$B$24:$G$24</c:f>
              <c:numCache>
                <c:formatCode>"$"#,##0,"K"</c:formatCode>
                <c:ptCount val="6"/>
                <c:pt idx="0">
                  <c:v>780000</c:v>
                </c:pt>
                <c:pt idx="1">
                  <c:v>545000</c:v>
                </c:pt>
                <c:pt idx="2">
                  <c:v>0</c:v>
                </c:pt>
                <c:pt idx="3">
                  <c:v>0</c:v>
                </c:pt>
                <c:pt idx="4">
                  <c:v>4225000</c:v>
                </c:pt>
                <c:pt idx="5">
                  <c:v>830900</c:v>
                </c:pt>
              </c:numCache>
            </c:numRef>
          </c:val>
          <c:smooth val="0"/>
          <c:extLst>
            <c:ext xmlns:c16="http://schemas.microsoft.com/office/drawing/2014/chart" uri="{C3380CC4-5D6E-409C-BE32-E72D297353CC}">
              <c16:uniqueId val="{00000001-0511-6047-8E62-30DCD828D29D}"/>
            </c:ext>
          </c:extLst>
        </c:ser>
        <c:ser>
          <c:idx val="2"/>
          <c:order val="2"/>
          <c:tx>
            <c:strRef>
              <c:f>'6 Year (Incomplete)'!$A$25</c:f>
              <c:strCache>
                <c:ptCount val="1"/>
                <c:pt idx="0">
                  <c:v>🏢 Institutional (10K+ SF)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'6 Year (Incomplete)'!$B$22:$G$22</c:f>
              <c:numCache>
                <c:formatCode>General</c:formatCode>
                <c:ptCount val="6"/>
                <c:pt idx="0">
                  <c:v>2020</c:v>
                </c:pt>
                <c:pt idx="1">
                  <c:v>2021</c:v>
                </c:pt>
                <c:pt idx="2">
                  <c:v>2022</c:v>
                </c:pt>
                <c:pt idx="3">
                  <c:v>2023</c:v>
                </c:pt>
                <c:pt idx="4">
                  <c:v>2024</c:v>
                </c:pt>
                <c:pt idx="5">
                  <c:v>2025</c:v>
                </c:pt>
              </c:numCache>
            </c:numRef>
          </c:cat>
          <c:val>
            <c:numRef>
              <c:f>'6 Year (Incomplete)'!$B$25:$G$25</c:f>
              <c:numCache>
                <c:formatCode>"$"#,##0,"K"</c:formatCode>
                <c:ptCount val="6"/>
                <c:pt idx="0">
                  <c:v>550000</c:v>
                </c:pt>
                <c:pt idx="1">
                  <c:v>2450000</c:v>
                </c:pt>
                <c:pt idx="2">
                  <c:v>4411500</c:v>
                </c:pt>
                <c:pt idx="3">
                  <c:v>3889000</c:v>
                </c:pt>
                <c:pt idx="4">
                  <c:v>3200000</c:v>
                </c:pt>
                <c:pt idx="5">
                  <c:v>6850000</c:v>
                </c:pt>
              </c:numCache>
            </c:numRef>
          </c:val>
          <c:smooth val="0"/>
          <c:extLst>
            <c:ext xmlns:c16="http://schemas.microsoft.com/office/drawing/2014/chart" uri="{C3380CC4-5D6E-409C-BE32-E72D297353CC}">
              <c16:uniqueId val="{00000002-0511-6047-8E62-30DCD828D29D}"/>
            </c:ext>
          </c:extLst>
        </c:ser>
        <c:dLbls>
          <c:showLegendKey val="0"/>
          <c:showVal val="0"/>
          <c:showCatName val="0"/>
          <c:showSerName val="0"/>
          <c:showPercent val="0"/>
          <c:showBubbleSize val="0"/>
        </c:dLbls>
        <c:marker val="1"/>
        <c:smooth val="0"/>
        <c:axId val="460968704"/>
        <c:axId val="903944864"/>
      </c:lineChart>
      <c:catAx>
        <c:axId val="46096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944864"/>
        <c:crosses val="autoZero"/>
        <c:auto val="1"/>
        <c:lblAlgn val="ctr"/>
        <c:lblOffset val="100"/>
        <c:noMultiLvlLbl val="0"/>
      </c:catAx>
      <c:valAx>
        <c:axId val="903944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68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 Volume by Buyer Segment (2020–2025)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'6 Year (Incomplete)'!$A$29</c:f>
              <c:strCache>
                <c:ptCount val="1"/>
                <c:pt idx="0">
                  <c:v>🏥 Local (&lt; 6K SF)</c:v>
                </c:pt>
              </c:strCache>
            </c:strRef>
          </c:tx>
          <c:spPr>
            <a:solidFill>
              <a:schemeClr val="accent1"/>
            </a:solidFill>
            <a:ln>
              <a:noFill/>
            </a:ln>
            <a:effectLst/>
          </c:spPr>
          <c:invertIfNegative val="0"/>
          <c:cat>
            <c:numRef>
              <c:f>'6 Year (Incomplete)'!$B$28:$G$28</c:f>
              <c:numCache>
                <c:formatCode>General</c:formatCode>
                <c:ptCount val="6"/>
                <c:pt idx="0">
                  <c:v>2020</c:v>
                </c:pt>
                <c:pt idx="1">
                  <c:v>2021</c:v>
                </c:pt>
                <c:pt idx="2">
                  <c:v>2022</c:v>
                </c:pt>
                <c:pt idx="3">
                  <c:v>2023</c:v>
                </c:pt>
                <c:pt idx="4">
                  <c:v>2024</c:v>
                </c:pt>
                <c:pt idx="5">
                  <c:v>2025</c:v>
                </c:pt>
              </c:numCache>
            </c:numRef>
          </c:cat>
          <c:val>
            <c:numRef>
              <c:f>'6 Year (Incomplete)'!$B$29:$G$29</c:f>
              <c:numCache>
                <c:formatCode>#,##0</c:formatCode>
                <c:ptCount val="6"/>
                <c:pt idx="0">
                  <c:v>5</c:v>
                </c:pt>
                <c:pt idx="1">
                  <c:v>3</c:v>
                </c:pt>
                <c:pt idx="2">
                  <c:v>3</c:v>
                </c:pt>
                <c:pt idx="3">
                  <c:v>1</c:v>
                </c:pt>
                <c:pt idx="4">
                  <c:v>1</c:v>
                </c:pt>
                <c:pt idx="5">
                  <c:v>3</c:v>
                </c:pt>
              </c:numCache>
            </c:numRef>
          </c:val>
          <c:extLst>
            <c:ext xmlns:c16="http://schemas.microsoft.com/office/drawing/2014/chart" uri="{C3380CC4-5D6E-409C-BE32-E72D297353CC}">
              <c16:uniqueId val="{00000000-5642-854A-AE7D-957F6B28231E}"/>
            </c:ext>
          </c:extLst>
        </c:ser>
        <c:ser>
          <c:idx val="1"/>
          <c:order val="1"/>
          <c:tx>
            <c:strRef>
              <c:f>'6 Year (Incomplete)'!$A$30</c:f>
              <c:strCache>
                <c:ptCount val="1"/>
                <c:pt idx="0">
                  <c:v>🏢 Mid-Market (6–10K SF)</c:v>
                </c:pt>
              </c:strCache>
            </c:strRef>
          </c:tx>
          <c:spPr>
            <a:solidFill>
              <a:schemeClr val="accent2"/>
            </a:solidFill>
            <a:ln>
              <a:noFill/>
            </a:ln>
            <a:effectLst/>
          </c:spPr>
          <c:invertIfNegative val="0"/>
          <c:cat>
            <c:numRef>
              <c:f>'6 Year (Incomplete)'!$B$28:$G$28</c:f>
              <c:numCache>
                <c:formatCode>General</c:formatCode>
                <c:ptCount val="6"/>
                <c:pt idx="0">
                  <c:v>2020</c:v>
                </c:pt>
                <c:pt idx="1">
                  <c:v>2021</c:v>
                </c:pt>
                <c:pt idx="2">
                  <c:v>2022</c:v>
                </c:pt>
                <c:pt idx="3">
                  <c:v>2023</c:v>
                </c:pt>
                <c:pt idx="4">
                  <c:v>2024</c:v>
                </c:pt>
                <c:pt idx="5">
                  <c:v>2025</c:v>
                </c:pt>
              </c:numCache>
            </c:numRef>
          </c:cat>
          <c:val>
            <c:numRef>
              <c:f>'6 Year (Incomplete)'!$B$30:$G$30</c:f>
              <c:numCache>
                <c:formatCode>#,##0</c:formatCode>
                <c:ptCount val="6"/>
                <c:pt idx="0">
                  <c:v>1</c:v>
                </c:pt>
                <c:pt idx="1">
                  <c:v>1</c:v>
                </c:pt>
                <c:pt idx="2">
                  <c:v>0</c:v>
                </c:pt>
                <c:pt idx="3">
                  <c:v>0</c:v>
                </c:pt>
                <c:pt idx="4">
                  <c:v>1</c:v>
                </c:pt>
                <c:pt idx="5">
                  <c:v>1</c:v>
                </c:pt>
              </c:numCache>
            </c:numRef>
          </c:val>
          <c:extLst>
            <c:ext xmlns:c16="http://schemas.microsoft.com/office/drawing/2014/chart" uri="{C3380CC4-5D6E-409C-BE32-E72D297353CC}">
              <c16:uniqueId val="{00000001-5642-854A-AE7D-957F6B28231E}"/>
            </c:ext>
          </c:extLst>
        </c:ser>
        <c:ser>
          <c:idx val="2"/>
          <c:order val="2"/>
          <c:tx>
            <c:strRef>
              <c:f>'6 Year (Incomplete)'!$A$31</c:f>
              <c:strCache>
                <c:ptCount val="1"/>
                <c:pt idx="0">
                  <c:v>🏢 Institutional (10K+ SF)</c:v>
                </c:pt>
              </c:strCache>
            </c:strRef>
          </c:tx>
          <c:spPr>
            <a:solidFill>
              <a:schemeClr val="accent3"/>
            </a:solidFill>
            <a:ln>
              <a:noFill/>
            </a:ln>
            <a:effectLst/>
          </c:spPr>
          <c:invertIfNegative val="0"/>
          <c:cat>
            <c:numRef>
              <c:f>'6 Year (Incomplete)'!$B$28:$G$28</c:f>
              <c:numCache>
                <c:formatCode>General</c:formatCode>
                <c:ptCount val="6"/>
                <c:pt idx="0">
                  <c:v>2020</c:v>
                </c:pt>
                <c:pt idx="1">
                  <c:v>2021</c:v>
                </c:pt>
                <c:pt idx="2">
                  <c:v>2022</c:v>
                </c:pt>
                <c:pt idx="3">
                  <c:v>2023</c:v>
                </c:pt>
                <c:pt idx="4">
                  <c:v>2024</c:v>
                </c:pt>
                <c:pt idx="5">
                  <c:v>2025</c:v>
                </c:pt>
              </c:numCache>
            </c:numRef>
          </c:cat>
          <c:val>
            <c:numRef>
              <c:f>'6 Year (Incomplete)'!$B$31:$G$31</c:f>
              <c:numCache>
                <c:formatCode>#,##0</c:formatCode>
                <c:ptCount val="6"/>
                <c:pt idx="0">
                  <c:v>1</c:v>
                </c:pt>
                <c:pt idx="1">
                  <c:v>2</c:v>
                </c:pt>
                <c:pt idx="2">
                  <c:v>1</c:v>
                </c:pt>
                <c:pt idx="3">
                  <c:v>1</c:v>
                </c:pt>
                <c:pt idx="4">
                  <c:v>1</c:v>
                </c:pt>
                <c:pt idx="5">
                  <c:v>3</c:v>
                </c:pt>
              </c:numCache>
            </c:numRef>
          </c:val>
          <c:extLst>
            <c:ext xmlns:c16="http://schemas.microsoft.com/office/drawing/2014/chart" uri="{C3380CC4-5D6E-409C-BE32-E72D297353CC}">
              <c16:uniqueId val="{00000002-5642-854A-AE7D-957F6B28231E}"/>
            </c:ext>
          </c:extLst>
        </c:ser>
        <c:dLbls>
          <c:showLegendKey val="0"/>
          <c:showVal val="0"/>
          <c:showCatName val="0"/>
          <c:showSerName val="0"/>
          <c:showPercent val="0"/>
          <c:showBubbleSize val="0"/>
        </c:dLbls>
        <c:gapWidth val="150"/>
        <c:overlap val="100"/>
        <c:axId val="584609183"/>
        <c:axId val="597117855"/>
      </c:barChart>
      <c:catAx>
        <c:axId val="5846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17855"/>
        <c:crosses val="autoZero"/>
        <c:auto val="1"/>
        <c:lblAlgn val="ctr"/>
        <c:lblOffset val="100"/>
        <c:noMultiLvlLbl val="0"/>
      </c:catAx>
      <c:valAx>
        <c:axId val="597117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09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chart" Target="../charts/chart3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4" Type="http://schemas.openxmlformats.org/officeDocument/2006/relationships/chart" Target="../charts/chart3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10</xdr:col>
      <xdr:colOff>668228</xdr:colOff>
      <xdr:row>8</xdr:row>
      <xdr:rowOff>543744</xdr:rowOff>
    </xdr:from>
    <xdr:to>
      <xdr:col>14</xdr:col>
      <xdr:colOff>299026</xdr:colOff>
      <xdr:row>19</xdr:row>
      <xdr:rowOff>61191</xdr:rowOff>
    </xdr:to>
    <xdr:graphicFrame macro="">
      <xdr:nvGraphicFramePr>
        <xdr:cNvPr id="25" name="CountyChart">
          <a:extLst>
            <a:ext uri="{FF2B5EF4-FFF2-40B4-BE49-F238E27FC236}">
              <a16:creationId xmlns:a16="http://schemas.microsoft.com/office/drawing/2014/main" id="{391EE7BF-8286-C443-1D8A-093269065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63529</xdr:colOff>
      <xdr:row>19</xdr:row>
      <xdr:rowOff>519545</xdr:rowOff>
    </xdr:from>
    <xdr:to>
      <xdr:col>14</xdr:col>
      <xdr:colOff>357524</xdr:colOff>
      <xdr:row>31</xdr:row>
      <xdr:rowOff>28863</xdr:rowOff>
    </xdr:to>
    <xdr:graphicFrame macro="">
      <xdr:nvGraphicFramePr>
        <xdr:cNvPr id="28" name="TrendChart">
          <a:extLst>
            <a:ext uri="{FF2B5EF4-FFF2-40B4-BE49-F238E27FC236}">
              <a16:creationId xmlns:a16="http://schemas.microsoft.com/office/drawing/2014/main" id="{9A0644D7-F664-8F5C-D871-58EE9BB3F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365963</xdr:colOff>
      <xdr:row>4</xdr:row>
      <xdr:rowOff>362276</xdr:rowOff>
    </xdr:from>
    <xdr:to>
      <xdr:col>5</xdr:col>
      <xdr:colOff>148544</xdr:colOff>
      <xdr:row>7</xdr:row>
      <xdr:rowOff>595230</xdr:rowOff>
    </xdr:to>
    <xdr:pic>
      <xdr:nvPicPr>
        <xdr:cNvPr id="34" name="Picture 33">
          <a:extLst>
            <a:ext uri="{FF2B5EF4-FFF2-40B4-BE49-F238E27FC236}">
              <a16:creationId xmlns:a16="http://schemas.microsoft.com/office/drawing/2014/main" id="{E76D2632-36BA-901C-8D04-C7B000EB55F5}"/>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0425" b="14043"/>
        <a:stretch>
          <a:fillRect/>
        </a:stretch>
      </xdr:blipFill>
      <xdr:spPr bwMode="auto">
        <a:xfrm>
          <a:off x="721563" y="2783743"/>
          <a:ext cx="3220048" cy="2177726"/>
        </a:xfrm>
        <a:prstGeom prst="rect">
          <a:avLst/>
        </a:prstGeom>
        <a:noFill/>
      </xdr:spPr>
    </xdr:pic>
    <xdr:clientData/>
  </xdr:twoCellAnchor>
  <xdr:twoCellAnchor>
    <xdr:from>
      <xdr:col>6</xdr:col>
      <xdr:colOff>655688</xdr:colOff>
      <xdr:row>7</xdr:row>
      <xdr:rowOff>304035</xdr:rowOff>
    </xdr:from>
    <xdr:to>
      <xdr:col>10</xdr:col>
      <xdr:colOff>323357</xdr:colOff>
      <xdr:row>15</xdr:row>
      <xdr:rowOff>0</xdr:rowOff>
    </xdr:to>
    <xdr:graphicFrame macro="">
      <xdr:nvGraphicFramePr>
        <xdr:cNvPr id="35" name="CategoryChart">
          <a:extLst>
            <a:ext uri="{FF2B5EF4-FFF2-40B4-BE49-F238E27FC236}">
              <a16:creationId xmlns:a16="http://schemas.microsoft.com/office/drawing/2014/main" id="{42D7D47E-1A44-86C2-52FB-31F2C2C0C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229383</xdr:colOff>
      <xdr:row>8</xdr:row>
      <xdr:rowOff>680367</xdr:rowOff>
    </xdr:from>
    <xdr:to>
      <xdr:col>3</xdr:col>
      <xdr:colOff>200527</xdr:colOff>
      <xdr:row>16</xdr:row>
      <xdr:rowOff>66396</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BF6E35F7-12C1-CEF3-28B4-9E76E49608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9383" y="6050016"/>
              <a:ext cx="2043249" cy="4064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212886</xdr:colOff>
      <xdr:row>16</xdr:row>
      <xdr:rowOff>314158</xdr:rowOff>
    </xdr:from>
    <xdr:to>
      <xdr:col>5</xdr:col>
      <xdr:colOff>557017</xdr:colOff>
      <xdr:row>24</xdr:row>
      <xdr:rowOff>770021</xdr:rowOff>
    </xdr:to>
    <mc:AlternateContent xmlns:mc="http://schemas.openxmlformats.org/markup-compatibility/2006" xmlns:a14="http://schemas.microsoft.com/office/drawing/2010/main">
      <mc:Choice Requires="a14">
        <xdr:graphicFrame macro="">
          <xdr:nvGraphicFramePr>
            <xdr:cNvPr id="3" name="Verdict">
              <a:extLst>
                <a:ext uri="{FF2B5EF4-FFF2-40B4-BE49-F238E27FC236}">
                  <a16:creationId xmlns:a16="http://schemas.microsoft.com/office/drawing/2014/main" id="{A48B058B-338B-B6E3-C248-84C8E2144FFB}"/>
                </a:ext>
              </a:extLst>
            </xdr:cNvPr>
            <xdr:cNvGraphicFramePr/>
          </xdr:nvGraphicFramePr>
          <xdr:xfrm>
            <a:off x="0" y="0"/>
            <a:ext cx="0" cy="0"/>
          </xdr:xfrm>
          <a:graphic>
            <a:graphicData uri="http://schemas.microsoft.com/office/drawing/2010/slicer">
              <sle:slicer xmlns:sle="http://schemas.microsoft.com/office/drawing/2010/slicer" name="Verdict"/>
            </a:graphicData>
          </a:graphic>
        </xdr:graphicFrame>
      </mc:Choice>
      <mc:Fallback xmlns="">
        <xdr:sp macro="" textlink="">
          <xdr:nvSpPr>
            <xdr:cNvPr id="0" name=""/>
            <xdr:cNvSpPr>
              <a:spLocks noTextEdit="1"/>
            </xdr:cNvSpPr>
          </xdr:nvSpPr>
          <xdr:spPr>
            <a:xfrm>
              <a:off x="212886" y="10362754"/>
              <a:ext cx="4421499" cy="2216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401052</xdr:colOff>
      <xdr:row>8</xdr:row>
      <xdr:rowOff>683127</xdr:rowOff>
    </xdr:from>
    <xdr:to>
      <xdr:col>5</xdr:col>
      <xdr:colOff>601578</xdr:colOff>
      <xdr:row>16</xdr:row>
      <xdr:rowOff>66397</xdr:rowOff>
    </xdr:to>
    <mc:AlternateContent xmlns:mc="http://schemas.openxmlformats.org/markup-compatibility/2006" xmlns:a14="http://schemas.microsoft.com/office/drawing/2010/main">
      <mc:Choice Requires="a14">
        <xdr:graphicFrame macro="">
          <xdr:nvGraphicFramePr>
            <xdr:cNvPr id="4" name="Size Bracket">
              <a:extLst>
                <a:ext uri="{FF2B5EF4-FFF2-40B4-BE49-F238E27FC236}">
                  <a16:creationId xmlns:a16="http://schemas.microsoft.com/office/drawing/2014/main" id="{39394D68-BB4E-7C5F-C6BA-118E40FC59A4}"/>
                </a:ext>
              </a:extLst>
            </xdr:cNvPr>
            <xdr:cNvGraphicFramePr/>
          </xdr:nvGraphicFramePr>
          <xdr:xfrm>
            <a:off x="0" y="0"/>
            <a:ext cx="0" cy="0"/>
          </xdr:xfrm>
          <a:graphic>
            <a:graphicData uri="http://schemas.microsoft.com/office/drawing/2010/slicer">
              <sle:slicer xmlns:sle="http://schemas.microsoft.com/office/drawing/2010/slicer" name="Size Bracket"/>
            </a:graphicData>
          </a:graphic>
        </xdr:graphicFrame>
      </mc:Choice>
      <mc:Fallback xmlns="">
        <xdr:sp macro="" textlink="">
          <xdr:nvSpPr>
            <xdr:cNvPr id="0" name=""/>
            <xdr:cNvSpPr>
              <a:spLocks noTextEdit="1"/>
            </xdr:cNvSpPr>
          </xdr:nvSpPr>
          <xdr:spPr>
            <a:xfrm>
              <a:off x="2473157" y="6052776"/>
              <a:ext cx="2205789" cy="4062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212069</xdr:colOff>
      <xdr:row>24</xdr:row>
      <xdr:rowOff>1020959</xdr:rowOff>
    </xdr:from>
    <xdr:to>
      <xdr:col>5</xdr:col>
      <xdr:colOff>534736</xdr:colOff>
      <xdr:row>27</xdr:row>
      <xdr:rowOff>440266</xdr:rowOff>
    </xdr:to>
    <mc:AlternateContent xmlns:mc="http://schemas.openxmlformats.org/markup-compatibility/2006" xmlns:a14="http://schemas.microsoft.com/office/drawing/2010/main">
      <mc:Choice Requires="a14">
        <xdr:graphicFrame macro="">
          <xdr:nvGraphicFramePr>
            <xdr:cNvPr id="5" name="Building Age">
              <a:extLst>
                <a:ext uri="{FF2B5EF4-FFF2-40B4-BE49-F238E27FC236}">
                  <a16:creationId xmlns:a16="http://schemas.microsoft.com/office/drawing/2014/main" id="{47E7ED26-1A0F-1399-2594-82ECA953E14B}"/>
                </a:ext>
              </a:extLst>
            </xdr:cNvPr>
            <xdr:cNvGraphicFramePr/>
          </xdr:nvGraphicFramePr>
          <xdr:xfrm>
            <a:off x="0" y="0"/>
            <a:ext cx="0" cy="0"/>
          </xdr:xfrm>
          <a:graphic>
            <a:graphicData uri="http://schemas.microsoft.com/office/drawing/2010/slicer">
              <sle:slicer xmlns:sle="http://schemas.microsoft.com/office/drawing/2010/slicer" name="Building Age"/>
            </a:graphicData>
          </a:graphic>
        </xdr:graphicFrame>
      </mc:Choice>
      <mc:Fallback xmlns="">
        <xdr:sp macro="" textlink="">
          <xdr:nvSpPr>
            <xdr:cNvPr id="0" name=""/>
            <xdr:cNvSpPr>
              <a:spLocks noTextEdit="1"/>
            </xdr:cNvSpPr>
          </xdr:nvSpPr>
          <xdr:spPr>
            <a:xfrm>
              <a:off x="212069" y="12829731"/>
              <a:ext cx="4400035" cy="2293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190169</xdr:colOff>
      <xdr:row>27</xdr:row>
      <xdr:rowOff>649900</xdr:rowOff>
    </xdr:from>
    <xdr:to>
      <xdr:col>5</xdr:col>
      <xdr:colOff>512456</xdr:colOff>
      <xdr:row>28</xdr:row>
      <xdr:rowOff>87786</xdr:rowOff>
    </xdr:to>
    <mc:AlternateContent xmlns:mc="http://schemas.openxmlformats.org/markup-compatibility/2006" xmlns:a14="http://schemas.microsoft.com/office/drawing/2010/main">
      <mc:Choice Requires="a14">
        <xdr:graphicFrame macro="">
          <xdr:nvGraphicFramePr>
            <xdr:cNvPr id="6" name="Outlier">
              <a:extLst>
                <a:ext uri="{FF2B5EF4-FFF2-40B4-BE49-F238E27FC236}">
                  <a16:creationId xmlns:a16="http://schemas.microsoft.com/office/drawing/2014/main" id="{B42AAAF8-87BD-FACE-4674-3DB3D8AB8E3F}"/>
                </a:ext>
              </a:extLst>
            </xdr:cNvPr>
            <xdr:cNvGraphicFramePr/>
          </xdr:nvGraphicFramePr>
          <xdr:xfrm>
            <a:off x="0" y="0"/>
            <a:ext cx="0" cy="0"/>
          </xdr:xfrm>
          <a:graphic>
            <a:graphicData uri="http://schemas.microsoft.com/office/drawing/2010/slicer">
              <sle:slicer xmlns:sle="http://schemas.microsoft.com/office/drawing/2010/slicer" name="Outlier"/>
            </a:graphicData>
          </a:graphic>
        </xdr:graphicFrame>
      </mc:Choice>
      <mc:Fallback xmlns="">
        <xdr:sp macro="" textlink="">
          <xdr:nvSpPr>
            <xdr:cNvPr id="0" name=""/>
            <xdr:cNvSpPr>
              <a:spLocks noTextEdit="1"/>
            </xdr:cNvSpPr>
          </xdr:nvSpPr>
          <xdr:spPr>
            <a:xfrm>
              <a:off x="190169" y="15332882"/>
              <a:ext cx="4399655" cy="863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0</xdr:rowOff>
    </xdr:from>
    <xdr:to>
      <xdr:col>15</xdr:col>
      <xdr:colOff>635000</xdr:colOff>
      <xdr:row>16</xdr:row>
      <xdr:rowOff>101600</xdr:rowOff>
    </xdr:to>
    <xdr:graphicFrame macro="">
      <xdr:nvGraphicFramePr>
        <xdr:cNvPr id="2" name="Chart 1">
          <a:extLst>
            <a:ext uri="{FF2B5EF4-FFF2-40B4-BE49-F238E27FC236}">
              <a16:creationId xmlns:a16="http://schemas.microsoft.com/office/drawing/2014/main" id="{A52EFA3F-B1F8-E976-061B-4B846155A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69</xdr:row>
      <xdr:rowOff>38100</xdr:rowOff>
    </xdr:from>
    <xdr:to>
      <xdr:col>15</xdr:col>
      <xdr:colOff>749300</xdr:colOff>
      <xdr:row>98</xdr:row>
      <xdr:rowOff>38100</xdr:rowOff>
    </xdr:to>
    <xdr:graphicFrame macro="">
      <xdr:nvGraphicFramePr>
        <xdr:cNvPr id="16" name="Chart 15">
          <a:extLst>
            <a:ext uri="{FF2B5EF4-FFF2-40B4-BE49-F238E27FC236}">
              <a16:creationId xmlns:a16="http://schemas.microsoft.com/office/drawing/2014/main" id="{846EF8DD-E118-D0F9-096B-FFC8202AA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17</xdr:row>
      <xdr:rowOff>152400</xdr:rowOff>
    </xdr:from>
    <xdr:to>
      <xdr:col>15</xdr:col>
      <xdr:colOff>635000</xdr:colOff>
      <xdr:row>36</xdr:row>
      <xdr:rowOff>76200</xdr:rowOff>
    </xdr:to>
    <xdr:graphicFrame macro="">
      <xdr:nvGraphicFramePr>
        <xdr:cNvPr id="12" name="Chart 8">
          <a:extLst>
            <a:ext uri="{FF2B5EF4-FFF2-40B4-BE49-F238E27FC236}">
              <a16:creationId xmlns:a16="http://schemas.microsoft.com/office/drawing/2014/main" id="{2A4EA3A8-193F-5964-D6B5-1C01F3BD1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37</xdr:row>
      <xdr:rowOff>127000</xdr:rowOff>
    </xdr:from>
    <xdr:to>
      <xdr:col>15</xdr:col>
      <xdr:colOff>635000</xdr:colOff>
      <xdr:row>67</xdr:row>
      <xdr:rowOff>152400</xdr:rowOff>
    </xdr:to>
    <xdr:graphicFrame macro="">
      <xdr:nvGraphicFramePr>
        <xdr:cNvPr id="13" name="Chart 9">
          <a:extLst>
            <a:ext uri="{FF2B5EF4-FFF2-40B4-BE49-F238E27FC236}">
              <a16:creationId xmlns:a16="http://schemas.microsoft.com/office/drawing/2014/main" id="{1E67C5FC-9120-419C-A2A0-99A25DBB0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668228</xdr:colOff>
      <xdr:row>8</xdr:row>
      <xdr:rowOff>543744</xdr:rowOff>
    </xdr:from>
    <xdr:to>
      <xdr:col>14</xdr:col>
      <xdr:colOff>299026</xdr:colOff>
      <xdr:row>19</xdr:row>
      <xdr:rowOff>61191</xdr:rowOff>
    </xdr:to>
    <xdr:graphicFrame macro="">
      <xdr:nvGraphicFramePr>
        <xdr:cNvPr id="2" name="CountyChart">
          <a:extLst>
            <a:ext uri="{FF2B5EF4-FFF2-40B4-BE49-F238E27FC236}">
              <a16:creationId xmlns:a16="http://schemas.microsoft.com/office/drawing/2014/main" id="{6A9E7347-60B9-D944-B486-2AB31EBE9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63529</xdr:colOff>
      <xdr:row>19</xdr:row>
      <xdr:rowOff>519545</xdr:rowOff>
    </xdr:from>
    <xdr:to>
      <xdr:col>14</xdr:col>
      <xdr:colOff>357524</xdr:colOff>
      <xdr:row>31</xdr:row>
      <xdr:rowOff>28863</xdr:rowOff>
    </xdr:to>
    <xdr:graphicFrame macro="">
      <xdr:nvGraphicFramePr>
        <xdr:cNvPr id="3" name="TrendChart">
          <a:extLst>
            <a:ext uri="{FF2B5EF4-FFF2-40B4-BE49-F238E27FC236}">
              <a16:creationId xmlns:a16="http://schemas.microsoft.com/office/drawing/2014/main" id="{64626DAC-9E1E-7D42-9617-76DA3CFF9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365963</xdr:colOff>
      <xdr:row>4</xdr:row>
      <xdr:rowOff>362276</xdr:rowOff>
    </xdr:from>
    <xdr:to>
      <xdr:col>5</xdr:col>
      <xdr:colOff>148544</xdr:colOff>
      <xdr:row>7</xdr:row>
      <xdr:rowOff>595230</xdr:rowOff>
    </xdr:to>
    <xdr:pic>
      <xdr:nvPicPr>
        <xdr:cNvPr id="4" name="Picture 3">
          <a:extLst>
            <a:ext uri="{FF2B5EF4-FFF2-40B4-BE49-F238E27FC236}">
              <a16:creationId xmlns:a16="http://schemas.microsoft.com/office/drawing/2014/main" id="{6105CD36-967C-9F42-84FC-A659CD897315}"/>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0425" b="14043"/>
        <a:stretch>
          <a:fillRect/>
        </a:stretch>
      </xdr:blipFill>
      <xdr:spPr bwMode="auto">
        <a:xfrm>
          <a:off x="1039063" y="2787976"/>
          <a:ext cx="3198881" cy="2188754"/>
        </a:xfrm>
        <a:prstGeom prst="rect">
          <a:avLst/>
        </a:prstGeom>
        <a:noFill/>
      </xdr:spPr>
    </xdr:pic>
    <xdr:clientData/>
  </xdr:twoCellAnchor>
  <xdr:twoCellAnchor>
    <xdr:from>
      <xdr:col>6</xdr:col>
      <xdr:colOff>655688</xdr:colOff>
      <xdr:row>7</xdr:row>
      <xdr:rowOff>304035</xdr:rowOff>
    </xdr:from>
    <xdr:to>
      <xdr:col>10</xdr:col>
      <xdr:colOff>323357</xdr:colOff>
      <xdr:row>15</xdr:row>
      <xdr:rowOff>0</xdr:rowOff>
    </xdr:to>
    <xdr:graphicFrame macro="">
      <xdr:nvGraphicFramePr>
        <xdr:cNvPr id="5" name="CategoryChart">
          <a:extLst>
            <a:ext uri="{FF2B5EF4-FFF2-40B4-BE49-F238E27FC236}">
              <a16:creationId xmlns:a16="http://schemas.microsoft.com/office/drawing/2014/main" id="{E2D83867-5709-2A45-82BF-8FBBDC5D3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229383</xdr:colOff>
      <xdr:row>8</xdr:row>
      <xdr:rowOff>680367</xdr:rowOff>
    </xdr:from>
    <xdr:to>
      <xdr:col>3</xdr:col>
      <xdr:colOff>200527</xdr:colOff>
      <xdr:row>16</xdr:row>
      <xdr:rowOff>66396</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DF77DB93-5B33-FE44-95F1-EFE69E01A0C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9383" y="6050016"/>
              <a:ext cx="2043249" cy="4064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212886</xdr:colOff>
      <xdr:row>16</xdr:row>
      <xdr:rowOff>314158</xdr:rowOff>
    </xdr:from>
    <xdr:to>
      <xdr:col>5</xdr:col>
      <xdr:colOff>557017</xdr:colOff>
      <xdr:row>24</xdr:row>
      <xdr:rowOff>770021</xdr:rowOff>
    </xdr:to>
    <mc:AlternateContent xmlns:mc="http://schemas.openxmlformats.org/markup-compatibility/2006" xmlns:a14="http://schemas.microsoft.com/office/drawing/2010/main">
      <mc:Choice Requires="a14">
        <xdr:graphicFrame macro="">
          <xdr:nvGraphicFramePr>
            <xdr:cNvPr id="7" name="Verdict 1">
              <a:extLst>
                <a:ext uri="{FF2B5EF4-FFF2-40B4-BE49-F238E27FC236}">
                  <a16:creationId xmlns:a16="http://schemas.microsoft.com/office/drawing/2014/main" id="{38B97185-12FB-394B-BA28-8D515B35DB8E}"/>
                </a:ext>
              </a:extLst>
            </xdr:cNvPr>
            <xdr:cNvGraphicFramePr/>
          </xdr:nvGraphicFramePr>
          <xdr:xfrm>
            <a:off x="0" y="0"/>
            <a:ext cx="0" cy="0"/>
          </xdr:xfrm>
          <a:graphic>
            <a:graphicData uri="http://schemas.microsoft.com/office/drawing/2010/slicer">
              <sle:slicer xmlns:sle="http://schemas.microsoft.com/office/drawing/2010/slicer" name="Verdict 1"/>
            </a:graphicData>
          </a:graphic>
        </xdr:graphicFrame>
      </mc:Choice>
      <mc:Fallback xmlns="">
        <xdr:sp macro="" textlink="">
          <xdr:nvSpPr>
            <xdr:cNvPr id="0" name=""/>
            <xdr:cNvSpPr>
              <a:spLocks noTextEdit="1"/>
            </xdr:cNvSpPr>
          </xdr:nvSpPr>
          <xdr:spPr>
            <a:xfrm>
              <a:off x="212886" y="10362754"/>
              <a:ext cx="4421499" cy="2216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401052</xdr:colOff>
      <xdr:row>8</xdr:row>
      <xdr:rowOff>683127</xdr:rowOff>
    </xdr:from>
    <xdr:to>
      <xdr:col>5</xdr:col>
      <xdr:colOff>601578</xdr:colOff>
      <xdr:row>16</xdr:row>
      <xdr:rowOff>66397</xdr:rowOff>
    </xdr:to>
    <mc:AlternateContent xmlns:mc="http://schemas.openxmlformats.org/markup-compatibility/2006" xmlns:a14="http://schemas.microsoft.com/office/drawing/2010/main">
      <mc:Choice Requires="a14">
        <xdr:graphicFrame macro="">
          <xdr:nvGraphicFramePr>
            <xdr:cNvPr id="8" name="Size Bracket 1">
              <a:extLst>
                <a:ext uri="{FF2B5EF4-FFF2-40B4-BE49-F238E27FC236}">
                  <a16:creationId xmlns:a16="http://schemas.microsoft.com/office/drawing/2014/main" id="{0680AAB1-156B-BC4B-A5F6-2F4280EE51B2}"/>
                </a:ext>
              </a:extLst>
            </xdr:cNvPr>
            <xdr:cNvGraphicFramePr/>
          </xdr:nvGraphicFramePr>
          <xdr:xfrm>
            <a:off x="0" y="0"/>
            <a:ext cx="0" cy="0"/>
          </xdr:xfrm>
          <a:graphic>
            <a:graphicData uri="http://schemas.microsoft.com/office/drawing/2010/slicer">
              <sle:slicer xmlns:sle="http://schemas.microsoft.com/office/drawing/2010/slicer" name="Size Bracket 1"/>
            </a:graphicData>
          </a:graphic>
        </xdr:graphicFrame>
      </mc:Choice>
      <mc:Fallback xmlns="">
        <xdr:sp macro="" textlink="">
          <xdr:nvSpPr>
            <xdr:cNvPr id="0" name=""/>
            <xdr:cNvSpPr>
              <a:spLocks noTextEdit="1"/>
            </xdr:cNvSpPr>
          </xdr:nvSpPr>
          <xdr:spPr>
            <a:xfrm>
              <a:off x="2473157" y="6052776"/>
              <a:ext cx="2205789" cy="4062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212069</xdr:colOff>
      <xdr:row>24</xdr:row>
      <xdr:rowOff>1020959</xdr:rowOff>
    </xdr:from>
    <xdr:to>
      <xdr:col>5</xdr:col>
      <xdr:colOff>534736</xdr:colOff>
      <xdr:row>27</xdr:row>
      <xdr:rowOff>440266</xdr:rowOff>
    </xdr:to>
    <mc:AlternateContent xmlns:mc="http://schemas.openxmlformats.org/markup-compatibility/2006" xmlns:a14="http://schemas.microsoft.com/office/drawing/2010/main">
      <mc:Choice Requires="a14">
        <xdr:graphicFrame macro="">
          <xdr:nvGraphicFramePr>
            <xdr:cNvPr id="9" name="Building Age 1">
              <a:extLst>
                <a:ext uri="{FF2B5EF4-FFF2-40B4-BE49-F238E27FC236}">
                  <a16:creationId xmlns:a16="http://schemas.microsoft.com/office/drawing/2014/main" id="{532F7236-5D81-B54A-B0D4-3A013A8F7069}"/>
                </a:ext>
              </a:extLst>
            </xdr:cNvPr>
            <xdr:cNvGraphicFramePr/>
          </xdr:nvGraphicFramePr>
          <xdr:xfrm>
            <a:off x="0" y="0"/>
            <a:ext cx="0" cy="0"/>
          </xdr:xfrm>
          <a:graphic>
            <a:graphicData uri="http://schemas.microsoft.com/office/drawing/2010/slicer">
              <sle:slicer xmlns:sle="http://schemas.microsoft.com/office/drawing/2010/slicer" name="Building Age 1"/>
            </a:graphicData>
          </a:graphic>
        </xdr:graphicFrame>
      </mc:Choice>
      <mc:Fallback xmlns="">
        <xdr:sp macro="" textlink="">
          <xdr:nvSpPr>
            <xdr:cNvPr id="0" name=""/>
            <xdr:cNvSpPr>
              <a:spLocks noTextEdit="1"/>
            </xdr:cNvSpPr>
          </xdr:nvSpPr>
          <xdr:spPr>
            <a:xfrm>
              <a:off x="212069" y="12829731"/>
              <a:ext cx="4400035" cy="2293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190169</xdr:colOff>
      <xdr:row>27</xdr:row>
      <xdr:rowOff>649900</xdr:rowOff>
    </xdr:from>
    <xdr:to>
      <xdr:col>5</xdr:col>
      <xdr:colOff>512456</xdr:colOff>
      <xdr:row>28</xdr:row>
      <xdr:rowOff>87786</xdr:rowOff>
    </xdr:to>
    <mc:AlternateContent xmlns:mc="http://schemas.openxmlformats.org/markup-compatibility/2006" xmlns:a14="http://schemas.microsoft.com/office/drawing/2010/main">
      <mc:Choice Requires="a14">
        <xdr:graphicFrame macro="">
          <xdr:nvGraphicFramePr>
            <xdr:cNvPr id="10" name="Outlier 1">
              <a:extLst>
                <a:ext uri="{FF2B5EF4-FFF2-40B4-BE49-F238E27FC236}">
                  <a16:creationId xmlns:a16="http://schemas.microsoft.com/office/drawing/2014/main" id="{FD4D8DDF-80D2-8746-99CC-5B5646B257C3}"/>
                </a:ext>
              </a:extLst>
            </xdr:cNvPr>
            <xdr:cNvGraphicFramePr/>
          </xdr:nvGraphicFramePr>
          <xdr:xfrm>
            <a:off x="0" y="0"/>
            <a:ext cx="0" cy="0"/>
          </xdr:xfrm>
          <a:graphic>
            <a:graphicData uri="http://schemas.microsoft.com/office/drawing/2010/slicer">
              <sle:slicer xmlns:sle="http://schemas.microsoft.com/office/drawing/2010/slicer" name="Outlier 1"/>
            </a:graphicData>
          </a:graphic>
        </xdr:graphicFrame>
      </mc:Choice>
      <mc:Fallback xmlns="">
        <xdr:sp macro="" textlink="">
          <xdr:nvSpPr>
            <xdr:cNvPr id="0" name=""/>
            <xdr:cNvSpPr>
              <a:spLocks noTextEdit="1"/>
            </xdr:cNvSpPr>
          </xdr:nvSpPr>
          <xdr:spPr>
            <a:xfrm>
              <a:off x="190169" y="15332882"/>
              <a:ext cx="4399655" cy="863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0</xdr:colOff>
      <xdr:row>35</xdr:row>
      <xdr:rowOff>0</xdr:rowOff>
    </xdr:from>
    <xdr:to>
      <xdr:col>17</xdr:col>
      <xdr:colOff>444500</xdr:colOff>
      <xdr:row>68</xdr:row>
      <xdr:rowOff>63500</xdr:rowOff>
    </xdr:to>
    <xdr:graphicFrame macro="">
      <xdr:nvGraphicFramePr>
        <xdr:cNvPr id="2" name="Chart 1">
          <a:extLst>
            <a:ext uri="{FF2B5EF4-FFF2-40B4-BE49-F238E27FC236}">
              <a16:creationId xmlns:a16="http://schemas.microsoft.com/office/drawing/2014/main" id="{5D7489CB-AC8E-EE56-47EC-8AE07D69F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419100</xdr:colOff>
      <xdr:row>34</xdr:row>
      <xdr:rowOff>190500</xdr:rowOff>
    </xdr:from>
    <xdr:to>
      <xdr:col>23</xdr:col>
      <xdr:colOff>38100</xdr:colOff>
      <xdr:row>68</xdr:row>
      <xdr:rowOff>50800</xdr:rowOff>
    </xdr:to>
    <xdr:graphicFrame macro="">
      <xdr:nvGraphicFramePr>
        <xdr:cNvPr id="3" name="Chart 2">
          <a:extLst>
            <a:ext uri="{FF2B5EF4-FFF2-40B4-BE49-F238E27FC236}">
              <a16:creationId xmlns:a16="http://schemas.microsoft.com/office/drawing/2014/main" id="{A008E3A5-FBF9-54AD-493F-F797A3643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457200</xdr:colOff>
      <xdr:row>68</xdr:row>
      <xdr:rowOff>190500</xdr:rowOff>
    </xdr:from>
    <xdr:to>
      <xdr:col>23</xdr:col>
      <xdr:colOff>76200</xdr:colOff>
      <xdr:row>82</xdr:row>
      <xdr:rowOff>88900</xdr:rowOff>
    </xdr:to>
    <xdr:graphicFrame macro="">
      <xdr:nvGraphicFramePr>
        <xdr:cNvPr id="5" name="Chart 4">
          <a:extLst>
            <a:ext uri="{FF2B5EF4-FFF2-40B4-BE49-F238E27FC236}">
              <a16:creationId xmlns:a16="http://schemas.microsoft.com/office/drawing/2014/main" id="{54A97851-39DA-648F-3EE5-54A9860E1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210015</xdr:colOff>
      <xdr:row>85</xdr:row>
      <xdr:rowOff>144966</xdr:rowOff>
    </xdr:from>
    <xdr:to>
      <xdr:col>20</xdr:col>
      <xdr:colOff>551985</xdr:colOff>
      <xdr:row>94</xdr:row>
      <xdr:rowOff>7124</xdr:rowOff>
    </xdr:to>
    <xdr:graphicFrame macro="">
      <xdr:nvGraphicFramePr>
        <xdr:cNvPr id="6" name="Chart 5">
          <a:extLst>
            <a:ext uri="{FF2B5EF4-FFF2-40B4-BE49-F238E27FC236}">
              <a16:creationId xmlns:a16="http://schemas.microsoft.com/office/drawing/2014/main" id="{E7F0C3F0-9B98-0F96-8423-9C1DD42AE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60</xdr:row>
      <xdr:rowOff>0</xdr:rowOff>
    </xdr:from>
    <xdr:to>
      <xdr:col>17</xdr:col>
      <xdr:colOff>406400</xdr:colOff>
      <xdr:row>73</xdr:row>
      <xdr:rowOff>38100</xdr:rowOff>
    </xdr:to>
    <xdr:graphicFrame macro="">
      <xdr:nvGraphicFramePr>
        <xdr:cNvPr id="7" name="Chart 6">
          <a:extLst>
            <a:ext uri="{FF2B5EF4-FFF2-40B4-BE49-F238E27FC236}">
              <a16:creationId xmlns:a16="http://schemas.microsoft.com/office/drawing/2014/main" id="{755D9FA6-246C-2B0C-7A5C-BDCCC12D2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0</xdr:colOff>
      <xdr:row>29</xdr:row>
      <xdr:rowOff>0</xdr:rowOff>
    </xdr:from>
    <xdr:to>
      <xdr:col>17</xdr:col>
      <xdr:colOff>448686</xdr:colOff>
      <xdr:row>42</xdr:row>
      <xdr:rowOff>35728</xdr:rowOff>
    </xdr:to>
    <xdr:graphicFrame macro="">
      <xdr:nvGraphicFramePr>
        <xdr:cNvPr id="2" name="Chart 1">
          <a:extLst>
            <a:ext uri="{FF2B5EF4-FFF2-40B4-BE49-F238E27FC236}">
              <a16:creationId xmlns:a16="http://schemas.microsoft.com/office/drawing/2014/main" id="{BEE1E697-10E7-849A-E8F7-8CA76B99C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29</xdr:row>
      <xdr:rowOff>0</xdr:rowOff>
    </xdr:from>
    <xdr:to>
      <xdr:col>20</xdr:col>
      <xdr:colOff>448686</xdr:colOff>
      <xdr:row>42</xdr:row>
      <xdr:rowOff>35728</xdr:rowOff>
    </xdr:to>
    <xdr:graphicFrame macro="">
      <xdr:nvGraphicFramePr>
        <xdr:cNvPr id="3" name="Chart 2">
          <a:extLst>
            <a:ext uri="{FF2B5EF4-FFF2-40B4-BE49-F238E27FC236}">
              <a16:creationId xmlns:a16="http://schemas.microsoft.com/office/drawing/2014/main" id="{B40D5FC1-CBA8-4E8C-2F23-5120FBDB9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47</xdr:row>
      <xdr:rowOff>0</xdr:rowOff>
    </xdr:from>
    <xdr:to>
      <xdr:col>17</xdr:col>
      <xdr:colOff>450082</xdr:colOff>
      <xdr:row>60</xdr:row>
      <xdr:rowOff>35728</xdr:rowOff>
    </xdr:to>
    <xdr:graphicFrame macro="">
      <xdr:nvGraphicFramePr>
        <xdr:cNvPr id="4" name="Chart 3">
          <a:extLst>
            <a:ext uri="{FF2B5EF4-FFF2-40B4-BE49-F238E27FC236}">
              <a16:creationId xmlns:a16="http://schemas.microsoft.com/office/drawing/2014/main" id="{EFE2188C-EB55-06F8-934F-91D3AD854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47</xdr:row>
      <xdr:rowOff>0</xdr:rowOff>
    </xdr:from>
    <xdr:to>
      <xdr:col>20</xdr:col>
      <xdr:colOff>450082</xdr:colOff>
      <xdr:row>60</xdr:row>
      <xdr:rowOff>35728</xdr:rowOff>
    </xdr:to>
    <xdr:graphicFrame macro="">
      <xdr:nvGraphicFramePr>
        <xdr:cNvPr id="5" name="Chart 4">
          <a:extLst>
            <a:ext uri="{FF2B5EF4-FFF2-40B4-BE49-F238E27FC236}">
              <a16:creationId xmlns:a16="http://schemas.microsoft.com/office/drawing/2014/main" id="{FAAD09F1-6546-BD58-AEA9-2841FA8FA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29</xdr:row>
      <xdr:rowOff>0</xdr:rowOff>
    </xdr:from>
    <xdr:to>
      <xdr:col>17</xdr:col>
      <xdr:colOff>444500</xdr:colOff>
      <xdr:row>42</xdr:row>
      <xdr:rowOff>101600</xdr:rowOff>
    </xdr:to>
    <xdr:graphicFrame macro="">
      <xdr:nvGraphicFramePr>
        <xdr:cNvPr id="2" name="Chart 1">
          <a:extLst>
            <a:ext uri="{FF2B5EF4-FFF2-40B4-BE49-F238E27FC236}">
              <a16:creationId xmlns:a16="http://schemas.microsoft.com/office/drawing/2014/main" id="{5F6F552D-CB48-6D3A-1560-816423D48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29</xdr:row>
      <xdr:rowOff>0</xdr:rowOff>
    </xdr:from>
    <xdr:to>
      <xdr:col>19</xdr:col>
      <xdr:colOff>444500</xdr:colOff>
      <xdr:row>42</xdr:row>
      <xdr:rowOff>101600</xdr:rowOff>
    </xdr:to>
    <xdr:graphicFrame macro="">
      <xdr:nvGraphicFramePr>
        <xdr:cNvPr id="3" name="Chart 2">
          <a:extLst>
            <a:ext uri="{FF2B5EF4-FFF2-40B4-BE49-F238E27FC236}">
              <a16:creationId xmlns:a16="http://schemas.microsoft.com/office/drawing/2014/main" id="{31A2080A-5DA6-96F6-BF81-E2A78BE6C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49</xdr:row>
      <xdr:rowOff>0</xdr:rowOff>
    </xdr:from>
    <xdr:to>
      <xdr:col>17</xdr:col>
      <xdr:colOff>444500</xdr:colOff>
      <xdr:row>62</xdr:row>
      <xdr:rowOff>63500</xdr:rowOff>
    </xdr:to>
    <xdr:graphicFrame macro="">
      <xdr:nvGraphicFramePr>
        <xdr:cNvPr id="4" name="Chart 3">
          <a:extLst>
            <a:ext uri="{FF2B5EF4-FFF2-40B4-BE49-F238E27FC236}">
              <a16:creationId xmlns:a16="http://schemas.microsoft.com/office/drawing/2014/main" id="{198C1764-51EB-14EE-9C78-115EABBA8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49</xdr:row>
      <xdr:rowOff>0</xdr:rowOff>
    </xdr:from>
    <xdr:to>
      <xdr:col>19</xdr:col>
      <xdr:colOff>444500</xdr:colOff>
      <xdr:row>62</xdr:row>
      <xdr:rowOff>63500</xdr:rowOff>
    </xdr:to>
    <xdr:graphicFrame macro="">
      <xdr:nvGraphicFramePr>
        <xdr:cNvPr id="5" name="Chart 4">
          <a:extLst>
            <a:ext uri="{FF2B5EF4-FFF2-40B4-BE49-F238E27FC236}">
              <a16:creationId xmlns:a16="http://schemas.microsoft.com/office/drawing/2014/main" id="{51698320-87F0-B850-7E8C-A7B0DD62B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0</xdr:colOff>
      <xdr:row>29</xdr:row>
      <xdr:rowOff>0</xdr:rowOff>
    </xdr:from>
    <xdr:to>
      <xdr:col>17</xdr:col>
      <xdr:colOff>444500</xdr:colOff>
      <xdr:row>42</xdr:row>
      <xdr:rowOff>101600</xdr:rowOff>
    </xdr:to>
    <xdr:graphicFrame macro="">
      <xdr:nvGraphicFramePr>
        <xdr:cNvPr id="2" name="Chart 1">
          <a:extLst>
            <a:ext uri="{FF2B5EF4-FFF2-40B4-BE49-F238E27FC236}">
              <a16:creationId xmlns:a16="http://schemas.microsoft.com/office/drawing/2014/main" id="{E824AD09-50C6-B1BF-88F4-ED3750B98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29</xdr:row>
      <xdr:rowOff>0</xdr:rowOff>
    </xdr:from>
    <xdr:to>
      <xdr:col>19</xdr:col>
      <xdr:colOff>444500</xdr:colOff>
      <xdr:row>42</xdr:row>
      <xdr:rowOff>101600</xdr:rowOff>
    </xdr:to>
    <xdr:graphicFrame macro="">
      <xdr:nvGraphicFramePr>
        <xdr:cNvPr id="3" name="Chart 2">
          <a:extLst>
            <a:ext uri="{FF2B5EF4-FFF2-40B4-BE49-F238E27FC236}">
              <a16:creationId xmlns:a16="http://schemas.microsoft.com/office/drawing/2014/main" id="{7507C573-3905-9386-0D91-48AAD7A7F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49</xdr:row>
      <xdr:rowOff>0</xdr:rowOff>
    </xdr:from>
    <xdr:to>
      <xdr:col>17</xdr:col>
      <xdr:colOff>444500</xdr:colOff>
      <xdr:row>62</xdr:row>
      <xdr:rowOff>63500</xdr:rowOff>
    </xdr:to>
    <xdr:graphicFrame macro="">
      <xdr:nvGraphicFramePr>
        <xdr:cNvPr id="4" name="Chart 3">
          <a:extLst>
            <a:ext uri="{FF2B5EF4-FFF2-40B4-BE49-F238E27FC236}">
              <a16:creationId xmlns:a16="http://schemas.microsoft.com/office/drawing/2014/main" id="{211709DF-D688-866A-30C6-F6A461939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49</xdr:row>
      <xdr:rowOff>0</xdr:rowOff>
    </xdr:from>
    <xdr:to>
      <xdr:col>19</xdr:col>
      <xdr:colOff>444500</xdr:colOff>
      <xdr:row>62</xdr:row>
      <xdr:rowOff>63500</xdr:rowOff>
    </xdr:to>
    <xdr:graphicFrame macro="">
      <xdr:nvGraphicFramePr>
        <xdr:cNvPr id="5" name="Chart 4">
          <a:extLst>
            <a:ext uri="{FF2B5EF4-FFF2-40B4-BE49-F238E27FC236}">
              <a16:creationId xmlns:a16="http://schemas.microsoft.com/office/drawing/2014/main" id="{6657615C-7F84-FFBC-A447-F0D43547A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0</xdr:colOff>
      <xdr:row>29</xdr:row>
      <xdr:rowOff>0</xdr:rowOff>
    </xdr:from>
    <xdr:to>
      <xdr:col>17</xdr:col>
      <xdr:colOff>444500</xdr:colOff>
      <xdr:row>42</xdr:row>
      <xdr:rowOff>101600</xdr:rowOff>
    </xdr:to>
    <xdr:graphicFrame macro="">
      <xdr:nvGraphicFramePr>
        <xdr:cNvPr id="2" name="Chart 1">
          <a:extLst>
            <a:ext uri="{FF2B5EF4-FFF2-40B4-BE49-F238E27FC236}">
              <a16:creationId xmlns:a16="http://schemas.microsoft.com/office/drawing/2014/main" id="{DA164A8C-0884-53C8-2111-547B77EBF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29</xdr:row>
      <xdr:rowOff>0</xdr:rowOff>
    </xdr:from>
    <xdr:to>
      <xdr:col>20</xdr:col>
      <xdr:colOff>444500</xdr:colOff>
      <xdr:row>42</xdr:row>
      <xdr:rowOff>101600</xdr:rowOff>
    </xdr:to>
    <xdr:graphicFrame macro="">
      <xdr:nvGraphicFramePr>
        <xdr:cNvPr id="3" name="Chart 2">
          <a:extLst>
            <a:ext uri="{FF2B5EF4-FFF2-40B4-BE49-F238E27FC236}">
              <a16:creationId xmlns:a16="http://schemas.microsoft.com/office/drawing/2014/main" id="{063CBFD4-B57D-169B-A42E-0063B510E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49</xdr:row>
      <xdr:rowOff>0</xdr:rowOff>
    </xdr:from>
    <xdr:to>
      <xdr:col>17</xdr:col>
      <xdr:colOff>444500</xdr:colOff>
      <xdr:row>62</xdr:row>
      <xdr:rowOff>63500</xdr:rowOff>
    </xdr:to>
    <xdr:graphicFrame macro="">
      <xdr:nvGraphicFramePr>
        <xdr:cNvPr id="4" name="Chart 3">
          <a:extLst>
            <a:ext uri="{FF2B5EF4-FFF2-40B4-BE49-F238E27FC236}">
              <a16:creationId xmlns:a16="http://schemas.microsoft.com/office/drawing/2014/main" id="{5FBB629F-F404-4401-1CAC-B2A7617B4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49</xdr:row>
      <xdr:rowOff>0</xdr:rowOff>
    </xdr:from>
    <xdr:to>
      <xdr:col>20</xdr:col>
      <xdr:colOff>444500</xdr:colOff>
      <xdr:row>62</xdr:row>
      <xdr:rowOff>63500</xdr:rowOff>
    </xdr:to>
    <xdr:graphicFrame macro="">
      <xdr:nvGraphicFramePr>
        <xdr:cNvPr id="5" name="Chart 4">
          <a:extLst>
            <a:ext uri="{FF2B5EF4-FFF2-40B4-BE49-F238E27FC236}">
              <a16:creationId xmlns:a16="http://schemas.microsoft.com/office/drawing/2014/main" id="{A576FDE4-953B-38B1-CA4C-6CB62F992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12</xdr:col>
      <xdr:colOff>0</xdr:colOff>
      <xdr:row>29</xdr:row>
      <xdr:rowOff>0</xdr:rowOff>
    </xdr:from>
    <xdr:to>
      <xdr:col>17</xdr:col>
      <xdr:colOff>444500</xdr:colOff>
      <xdr:row>42</xdr:row>
      <xdr:rowOff>101600</xdr:rowOff>
    </xdr:to>
    <xdr:graphicFrame macro="">
      <xdr:nvGraphicFramePr>
        <xdr:cNvPr id="2" name="Chart 1">
          <a:extLst>
            <a:ext uri="{FF2B5EF4-FFF2-40B4-BE49-F238E27FC236}">
              <a16:creationId xmlns:a16="http://schemas.microsoft.com/office/drawing/2014/main" id="{71D067D6-4212-8651-C19E-1CB8DF1B1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29</xdr:row>
      <xdr:rowOff>0</xdr:rowOff>
    </xdr:from>
    <xdr:to>
      <xdr:col>20</xdr:col>
      <xdr:colOff>444500</xdr:colOff>
      <xdr:row>42</xdr:row>
      <xdr:rowOff>101600</xdr:rowOff>
    </xdr:to>
    <xdr:graphicFrame macro="">
      <xdr:nvGraphicFramePr>
        <xdr:cNvPr id="3" name="Chart 2">
          <a:extLst>
            <a:ext uri="{FF2B5EF4-FFF2-40B4-BE49-F238E27FC236}">
              <a16:creationId xmlns:a16="http://schemas.microsoft.com/office/drawing/2014/main" id="{4BF168B8-B66F-DF96-B132-AEDCDF6DE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49</xdr:row>
      <xdr:rowOff>0</xdr:rowOff>
    </xdr:from>
    <xdr:to>
      <xdr:col>17</xdr:col>
      <xdr:colOff>444500</xdr:colOff>
      <xdr:row>62</xdr:row>
      <xdr:rowOff>63500</xdr:rowOff>
    </xdr:to>
    <xdr:graphicFrame macro="">
      <xdr:nvGraphicFramePr>
        <xdr:cNvPr id="4" name="Chart 3">
          <a:extLst>
            <a:ext uri="{FF2B5EF4-FFF2-40B4-BE49-F238E27FC236}">
              <a16:creationId xmlns:a16="http://schemas.microsoft.com/office/drawing/2014/main" id="{E0832972-3291-A612-2E56-CB5E9EF90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49</xdr:row>
      <xdr:rowOff>0</xdr:rowOff>
    </xdr:from>
    <xdr:to>
      <xdr:col>20</xdr:col>
      <xdr:colOff>444500</xdr:colOff>
      <xdr:row>62</xdr:row>
      <xdr:rowOff>63500</xdr:rowOff>
    </xdr:to>
    <xdr:graphicFrame macro="">
      <xdr:nvGraphicFramePr>
        <xdr:cNvPr id="5" name="Chart 4">
          <a:extLst>
            <a:ext uri="{FF2B5EF4-FFF2-40B4-BE49-F238E27FC236}">
              <a16:creationId xmlns:a16="http://schemas.microsoft.com/office/drawing/2014/main" id="{E80D02DA-6103-6E59-77D0-3B6FC3C21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1104900</xdr:colOff>
      <xdr:row>2</xdr:row>
      <xdr:rowOff>114300</xdr:rowOff>
    </xdr:from>
    <xdr:to>
      <xdr:col>14</xdr:col>
      <xdr:colOff>342900</xdr:colOff>
      <xdr:row>15</xdr:row>
      <xdr:rowOff>165100</xdr:rowOff>
    </xdr:to>
    <xdr:graphicFrame macro="">
      <xdr:nvGraphicFramePr>
        <xdr:cNvPr id="2" name="Chart 1">
          <a:extLst>
            <a:ext uri="{FF2B5EF4-FFF2-40B4-BE49-F238E27FC236}">
              <a16:creationId xmlns:a16="http://schemas.microsoft.com/office/drawing/2014/main" id="{0401BFEA-69C6-B2AC-2783-38E980BF8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1143000</xdr:colOff>
      <xdr:row>16</xdr:row>
      <xdr:rowOff>0</xdr:rowOff>
    </xdr:from>
    <xdr:to>
      <xdr:col>14</xdr:col>
      <xdr:colOff>381000</xdr:colOff>
      <xdr:row>29</xdr:row>
      <xdr:rowOff>50800</xdr:rowOff>
    </xdr:to>
    <xdr:graphicFrame macro="">
      <xdr:nvGraphicFramePr>
        <xdr:cNvPr id="3" name="Chart 2">
          <a:extLst>
            <a:ext uri="{FF2B5EF4-FFF2-40B4-BE49-F238E27FC236}">
              <a16:creationId xmlns:a16="http://schemas.microsoft.com/office/drawing/2014/main" id="{07219439-1C32-7D6F-6570-7F589C0D6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xdr:colOff>
      <xdr:row>32</xdr:row>
      <xdr:rowOff>139700</xdr:rowOff>
    </xdr:from>
    <xdr:to>
      <xdr:col>14</xdr:col>
      <xdr:colOff>609600</xdr:colOff>
      <xdr:row>46</xdr:row>
      <xdr:rowOff>38100</xdr:rowOff>
    </xdr:to>
    <xdr:graphicFrame macro="">
      <xdr:nvGraphicFramePr>
        <xdr:cNvPr id="4" name="Chart 3">
          <a:extLst>
            <a:ext uri="{FF2B5EF4-FFF2-40B4-BE49-F238E27FC236}">
              <a16:creationId xmlns:a16="http://schemas.microsoft.com/office/drawing/2014/main" id="{96BC09EB-623F-243B-A034-D1D30C835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 A. Banez" refreshedDate="46125.484214699078" createdVersion="8" refreshedVersion="8" minRefreshableVersion="3" recordCount="195" xr:uid="{4E2E67B8-A50B-E34C-8A7A-6E82C57DA3BE}">
  <cacheSource type="worksheet">
    <worksheetSource ref="A2:W197" sheet="Medical Sales"/>
  </cacheSource>
  <cacheFields count="23">
    <cacheField name="VERIFIED VIA HUMAN (1-3 GRADE)" numFmtId="0">
      <sharedItems containsString="0" containsBlank="1" containsNumber="1" containsInteger="1" minValue="2" maxValue="3"/>
    </cacheField>
    <cacheField name="Prpty Addr" numFmtId="49">
      <sharedItems count="195">
        <s v="1605 Fairbanks Av W"/>
        <s v="16831 US Highway 441"/>
        <s v="1724 Mills Av N"/>
        <s v="2909 Orange Av N"/>
        <s v="3200 Citrus Tower Blvd"/>
        <s v="3480 Polynesian Isle Blvd"/>
        <s v="454 Rinehart Rd"/>
        <s v="658 Oviedo Medical Dr"/>
        <s v="750 Orienta Ave"/>
        <s v="9401 Summit Centre Wa"/>
        <s v="100 Waymont Ct"/>
        <s v="1000 E Irlo Bronson Memorial"/>
        <s v="1001 W Cherry St"/>
        <s v="101 Bellagio Cir"/>
        <s v="1010 Arthur Av"/>
        <s v="1010 W Oak St"/>
        <s v="1045 N John Young Pkwy"/>
        <s v="106 Boston # 100 Ave"/>
        <s v="108 Citrus St W"/>
        <s v="108 Park Av S"/>
        <s v="11001 Colonial Dr W"/>
        <s v="1122 SR 434 E"/>
        <s v="1127 Edgewater Dr"/>
        <s v="1132 North Blvd E"/>
        <s v="11625 Lachlan Ln"/>
        <s v="1221 Fairbanks Av W"/>
        <s v="129 Bellagio Cir"/>
        <s v="130 Marks St E"/>
        <s v="1301 Sundial Pt"/>
        <s v="1307 International # 2051 Pkw"/>
        <s v="1314 Sumter St"/>
        <s v="1318 Mills Av N"/>
        <s v="1320 N Main St"/>
        <s v="1325 International # 2241 Pkw"/>
        <s v="1325 Shelfer St"/>
        <s v="1343 International # 1351 Pkw"/>
        <s v="1350 Fairbanks Av W"/>
        <s v="1355 International # 1481 Pkw"/>
        <s v="1403 Medical Plaza # 204 Dr"/>
        <s v="1445 Mitchell Hammock Rd E"/>
        <s v="1475 Mitchell Hammock Rd E"/>
        <s v="14835 Colonial Dr W"/>
        <s v="1492 Fairbanks Av W"/>
        <s v="1495 Mitchell Hammock Rd E"/>
        <s v="1501 Colonial Dr W"/>
        <s v="1513 N Main St"/>
        <s v="15650 Colonial Dr W"/>
        <s v="1603 Main St E"/>
        <s v="1611 N Main St"/>
        <s v="1645 Ee Williamson Rd"/>
        <s v="165 Montgomery Rd"/>
        <s v="1701 1st St W"/>
        <s v="1788 Fairbanks Av W"/>
        <s v="1901 Lee Rd"/>
        <s v="1986 State Road 19"/>
        <s v="20 Park Av S"/>
        <s v="205 Eola Dr S"/>
        <s v="205 Park Place Blvd"/>
        <s v="2100 1st St W"/>
        <s v="2115 Orange Blossom Tr W"/>
        <s v="212 County Road 466"/>
        <s v="212 SR 434 E"/>
        <s v="2134 Kentucky Av"/>
        <s v="214 Marks St E"/>
        <s v="2200 Lee Rd"/>
        <s v="238 Orlando Av S"/>
        <s v="2400 Hooks St"/>
        <s v="241 Bellagio Cir"/>
        <s v="241 Obrien Rd"/>
        <s v="2497 Trafalgar Blvd"/>
        <s v="2500 Lake Mary # 217 Blvd W"/>
        <s v="252 Plaza Dr"/>
        <s v="2605 Ocoee Apopka Rd"/>
        <s v="261 Airport Blvd E"/>
        <s v="2610 Audrey Av"/>
        <s v="2610 Orlando Dr"/>
        <s v="2702 Rew Ci"/>
        <s v="2721 SR 434 W"/>
        <s v="2744 N Orange Blossom Trl"/>
        <s v="2905 Mcrae Av"/>
        <s v="2940 Maguire Rd"/>
        <s v="300 Hazel St E"/>
        <s v="3000 Orange Av N"/>
        <s v="3016 Dyer Blvd"/>
        <s v="305 Childs St S"/>
        <s v="307 Lagrande Blvd"/>
        <s v="308 Groveland St"/>
        <s v="309 Orange St"/>
        <s v="32032 Burleigh Blvd W"/>
        <s v="321 Maitland # 1000 Ave"/>
        <s v="32629 Blossom Ln"/>
        <s v="3352 US Hwy 17 92 S"/>
        <s v="3600 Formosa Av"/>
        <s v="3615 Lake Center Dr"/>
        <s v="400 Wymore Rd N"/>
        <s v="4020 Edgewater Dr"/>
        <s v="404 Orange Blossom Tr W"/>
        <s v="405 Waymont Ct"/>
        <s v="4106 Lake Mary # 100 Blvd W"/>
        <s v="4106 Lake Mary # 212 Blvd W"/>
        <s v="4106 Lake Mary # 330 Blvd W"/>
        <s v="416 Main St E"/>
        <s v="422 Teague Trl"/>
        <s v="425 Alexandria Blvd"/>
        <s v="426 Teague Trl"/>
        <s v="429 Lake Howell Rd"/>
        <s v="444 Mills Av N"/>
        <s v="450 Errol Pk"/>
        <s v="462 Central # 1000 Pkwy W"/>
        <s v="4970 US Hwy 17 92 S"/>
        <s v="5068 SR 46 W"/>
        <s v="5165 Adanson St"/>
        <s v="521 SR 434 # 101 W"/>
        <s v="521 SR 434 # 106 W"/>
        <s v="54 Plant St E"/>
        <s v="5802 Citrus Village Bl"/>
        <s v="590 Palm Springs Dr"/>
        <s v="591 Oak Commons Blvd"/>
        <s v="601 Grove St N"/>
        <s v="609 Virginia Dr"/>
        <s v="6404 Old Winter Garden Rd"/>
        <s v="661 Altamonte # 120 Dr E"/>
        <s v="661 Altamonte # 210 Dr E"/>
        <s v="701 E Oak St"/>
        <s v="705 Doctors Ct"/>
        <s v="707 Colonial Dr E"/>
        <s v="710 Oak Commons Blvd"/>
        <s v="720 Oak Commons Blvd"/>
        <s v="721 Oak Commons Blvd"/>
        <s v="723 Virginia Dr"/>
        <s v="724 Charles St"/>
        <s v="741 County Road 466"/>
        <s v="741 Dillard St S"/>
        <s v="7560 Red Bug Lake # 1014 Rd"/>
        <s v="7560 Red Bug Lake # 1080 Rd"/>
        <s v="761 Stirling Center Pl"/>
        <s v="800 Fern Creek Av N"/>
        <s v="804 Emmett St"/>
        <s v="816 Executive Dr"/>
        <s v="819 E Oak St"/>
        <s v="8200 World Center Dr"/>
        <s v="829 E Oak St"/>
        <s v="833 E Oak St"/>
        <s v="870 Rinehart Rd"/>
        <s v="872 Executive Dr"/>
        <s v="901 E Oak St"/>
        <s v="908 Mabbette St"/>
        <s v="914 Emmett St"/>
        <s v="916 Bryan St"/>
        <s v="917 Rinehart # 1051 Rd"/>
        <s v="922 Williston Park Pt"/>
        <s v="923 Dixie Ave W"/>
        <s v="926 Maitland Av N"/>
        <s v="930 Williston Park Pt"/>
        <s v="942 International Pkwy"/>
        <s v="950 Dillard St S"/>
        <s v="997 Broadway St W"/>
        <s v="100 Sybelia Av E"/>
        <s v="1000 Executive Dr"/>
        <s v="10131 Colonial Dr W"/>
        <s v="1049 Willa Springs Dr"/>
        <s v="1071 Sun Dr S"/>
        <s v="1101 Maitland Av N"/>
        <s v="1207 Daniels Rd"/>
        <s v="12200 Colonial Dr W"/>
        <s v="12323 Colonial Dr W"/>
        <s v="126 Colonial Dr E"/>
        <s v="1301 Colonial Dr W"/>
        <s v="1400 Orlando Av S"/>
        <s v="1505 Colonial Dr E"/>
        <s v="1510 Colonial Dr E"/>
        <s v="1511 SR 434 # 1001 E"/>
        <s v="1701 Park Center Dr"/>
        <s v="1745 Mills Av N"/>
        <s v="175 Main St E"/>
        <s v="1781 Park Center Dr"/>
        <s v="1803 Park Center Dr"/>
        <s v="2233 Lee Rd"/>
        <s v="341 Maitland Av N"/>
        <s v="541 Horatio Av E"/>
        <s v="5749 Westgate Dr"/>
        <s v="600 North Blvd W"/>
        <s v="6909 Old Hwy 441"/>
        <s v="7009 Dr Phillips Bl"/>
        <s v="7208 Sand Lake Rd W"/>
        <s v="7232 Sand Lake Rd W"/>
        <s v="750 Concourse Pk"/>
        <s v="770 Concourse Pk"/>
        <s v="780 Concourse Pk"/>
        <s v="788 Montgomery Av"/>
        <s v="790 Concourse Pk"/>
        <s v="795 Primera Blvd"/>
        <s v="954 Orlando Av S"/>
        <s v="9582 Colonial Dr W"/>
        <s v="9401 Summit Centre Way"/>
      </sharedItems>
    </cacheField>
    <cacheField name="County" numFmtId="0">
      <sharedItems count="4">
        <s v="Orange"/>
        <s v="Lake"/>
        <s v="Osceola"/>
        <s v="Seminole"/>
      </sharedItems>
    </cacheField>
    <cacheField name="Date Trnsfr" numFmtId="49">
      <sharedItems/>
    </cacheField>
    <cacheField name="Price" numFmtId="166">
      <sharedItems containsSemiMixedTypes="0" containsString="0" containsNumber="1" containsInteger="1" minValue="210000" maxValue="33444697"/>
    </cacheField>
    <cacheField name="$/SF" numFmtId="0">
      <sharedItems containsSemiMixedTypes="0" containsString="0" containsNumber="1" minValue="45.304777594728172" maxValue="1500.3387861775238"/>
    </cacheField>
    <cacheField name="Tot Ht Area" numFmtId="165">
      <sharedItems containsSemiMixedTypes="0" containsString="0" containsNumber="1" containsInteger="1" minValue="1843" maxValue="69919"/>
    </cacheField>
    <cacheField name="Total Area" numFmtId="165">
      <sharedItems containsSemiMixedTypes="0" containsString="0" containsNumber="1" containsInteger="1" minValue="2000" maxValue="77729"/>
    </cacheField>
    <cacheField name="Grantee" numFmtId="49">
      <sharedItems/>
    </cacheField>
    <cacheField name="Yr Built 1" numFmtId="0">
      <sharedItems containsMixedTypes="1" containsNumber="1" containsInteger="1" minValue="1980" maxValue="2024"/>
    </cacheField>
    <cacheField name="Use Code" numFmtId="0">
      <sharedItems containsMixedTypes="1" containsNumber="1" containsInteger="1" minValue="1900" maxValue="1900"/>
    </cacheField>
    <cacheField name="Zoning" numFmtId="49">
      <sharedItems containsBlank="1"/>
    </cacheField>
    <cacheField name="Parcel ID" numFmtId="49">
      <sharedItems/>
    </cacheField>
    <cacheField name="Verdict" numFmtId="0">
      <sharedItems count="3">
        <s v="Hospitals"/>
        <s v="Medical"/>
        <s v="Multi-Tenant Medical"/>
      </sharedItems>
    </cacheField>
    <cacheField name="Confidence" numFmtId="0">
      <sharedItems/>
    </cacheField>
    <cacheField name="Current Tenant" numFmtId="0">
      <sharedItems containsBlank="1"/>
    </cacheField>
    <cacheField name="Evidence Link" numFmtId="0">
      <sharedItems containsBlank="1" longText="1"/>
    </cacheField>
    <cacheField name="Google Map Link" numFmtId="0">
      <sharedItems longText="1"/>
    </cacheField>
    <cacheField name="Evidence P2." numFmtId="0">
      <sharedItems containsBlank="1"/>
    </cacheField>
    <cacheField name="Building Age" numFmtId="0">
      <sharedItems count="3">
        <s v="Normal"/>
        <s v="New"/>
        <s v="Old"/>
      </sharedItems>
    </cacheField>
    <cacheField name="Outlier" numFmtId="0">
      <sharedItems containsBlank="1" count="2">
        <s v="Yes"/>
        <m/>
      </sharedItems>
    </cacheField>
    <cacheField name="Year" numFmtId="49">
      <sharedItems containsSemiMixedTypes="0" containsString="0" containsNumber="1" containsInteger="1" minValue="2020" maxValue="2025" count="6">
        <n v="2021"/>
        <n v="2025"/>
        <n v="2020"/>
        <n v="2023"/>
        <n v="2024"/>
        <n v="2022"/>
      </sharedItems>
    </cacheField>
    <cacheField name="Size Bracket" numFmtId="0">
      <sharedItems count="5">
        <s v="4. 10 - 20K SF"/>
        <s v="5. 20K+ SF"/>
        <s v="3. 6 - 10K SF"/>
        <s v="2. 3 - 6K SF"/>
        <s v="1. &lt; 3K SF"/>
      </sharedItems>
    </cacheField>
  </cacheFields>
  <extLst>
    <ext xmlns:x14="http://schemas.microsoft.com/office/spreadsheetml/2009/9/main" uri="{725AE2AE-9491-48be-B2B4-4EB974FC3084}">
      <x14:pivotCacheDefinition pivotCacheId="1106360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n v="3"/>
    <x v="0"/>
    <x v="0"/>
    <s v="2021/12"/>
    <n v="5000000"/>
    <n v="405.28491529545272"/>
    <n v="12337"/>
    <n v="14132"/>
    <s v="AdventHealth Medical Group Cardiology MEDICAL CENTER"/>
    <s v="2005"/>
    <s v="1900"/>
    <s v="WPO1"/>
    <s v="2229 12 0000 00 001"/>
    <x v="0"/>
    <s v="High"/>
    <s v="**AdventHealth Medical Group Cardiology** MEDICAL CENTER"/>
    <s v="https://www.adventhealth.com/find-doctor/doctor/basiem-barsoum-md-1104099456"/>
    <s v="https://www.google.com/maps/search/1605+Fairbanks+Av+W+Orange+FL"/>
    <m/>
    <x v="0"/>
    <x v="0"/>
    <x v="0"/>
    <x v="0"/>
  </r>
  <r>
    <n v="3"/>
    <x v="1"/>
    <x v="1"/>
    <s v="2021/12"/>
    <n v="3060000"/>
    <n v="278.71390837052553"/>
    <n v="10979"/>
    <n v="12986"/>
    <s v="HCA Florida Eustis Emergency Room MEDICAL CENTER"/>
    <s v="2023"/>
    <s v="1900"/>
    <m/>
    <s v="1926 23 0004 000 02900"/>
    <x v="0"/>
    <s v="High"/>
    <s v="**HCA Florida Eustis Emergency Room** MEDICAL CENTER"/>
    <s v="https://www.hcafloridahealthcare.com/locations/mount-dora-emergency"/>
    <s v="https://www.google.com/maps?q=16831+US+Highway+441+Lake,+FL"/>
    <m/>
    <x v="1"/>
    <x v="0"/>
    <x v="0"/>
    <x v="0"/>
  </r>
  <r>
    <n v="3"/>
    <x v="2"/>
    <x v="0"/>
    <s v="2025/04"/>
    <n v="33444697"/>
    <n v="478.33488751269329"/>
    <n v="69919"/>
    <n v="77729"/>
    <s v="Adventist Health System/Sunbelt Inc"/>
    <s v="2024"/>
    <s v="1900"/>
    <s v="ORLPD/"/>
    <s v="2229 24 8833 02 000"/>
    <x v="0"/>
    <s v="High"/>
    <s v="**Charter Research (Clinical Trials)** MEDICAL CENTER"/>
    <s v="https://seamless.ai/b/charter-research-6612681"/>
    <s v="https://www.google.com/maps/search/1724+Mills+Av+N+Orange+FL"/>
    <m/>
    <x v="1"/>
    <x v="1"/>
    <x v="1"/>
    <x v="1"/>
  </r>
  <r>
    <n v="3"/>
    <x v="3"/>
    <x v="0"/>
    <s v="2021/06"/>
    <n v="10221900"/>
    <n v="651.90688775510205"/>
    <n v="15680"/>
    <n v="20440"/>
    <s v="Adventist Health System/Sunbelt Inc Attn: Adventhealth Accounting Dept"/>
    <s v="1958"/>
    <s v="1900"/>
    <s v="ORLMU1"/>
    <s v="2229 13 2784 02 030"/>
    <x v="0"/>
    <s v="High"/>
    <s v="Orlando Medical Dental Center MEDICAL CENTER"/>
    <s v="https://www.adventhealth.com/"/>
    <s v="https://www.google.com/maps/search/2909+Orange+Av+N+Orange+FL"/>
    <m/>
    <x v="2"/>
    <x v="0"/>
    <x v="0"/>
    <x v="0"/>
  </r>
  <r>
    <n v="3"/>
    <x v="4"/>
    <x v="1"/>
    <s v="2020/07"/>
    <n v="1340800"/>
    <n v="111.71471421429762"/>
    <n v="12002"/>
    <n v="12360"/>
    <s v="Clermont VA Clinic (Veterans Affairs) MEDICAL CENTER"/>
    <s v="2021"/>
    <s v="1900"/>
    <m/>
    <s v="2326 05 0050 000 01300"/>
    <x v="0"/>
    <s v="High"/>
    <s v="**Clermont VA Clinic (Veterans Affairs)** MEDICAL CENTER"/>
    <s v="https://www.va.gov/orlando-health-care/locations/clermont-va-clinic/"/>
    <s v="https://www.google.com/maps/search/?api=1&amp;query=3200+Citrus+Tower+Blvd+Lake+FL"/>
    <m/>
    <x v="1"/>
    <x v="0"/>
    <x v="2"/>
    <x v="0"/>
  </r>
  <r>
    <n v="3"/>
    <x v="5"/>
    <x v="2"/>
    <s v="2025/04"/>
    <n v="5150000"/>
    <n v="412.66025641025641"/>
    <n v="12480"/>
    <n v="12720"/>
    <s v="Vitalis Mob Kissimmee LLC"/>
    <s v="2020"/>
    <s v="1911"/>
    <s v="OPD"/>
    <s v="2528 02 5035 0001 0017"/>
    <x v="0"/>
    <s v="High"/>
    <s v="**Florida Lung, Asthma &amp; Sleep Specialists** MEDICAL CENTER"/>
    <s v="https://floridalungdoctors.com/polynesian-office/"/>
    <s v="https://www.google.com/maps/search/3480+Polynesian+Isle+Blvd+Osceola+FL"/>
    <m/>
    <x v="1"/>
    <x v="0"/>
    <x v="1"/>
    <x v="0"/>
  </r>
  <r>
    <n v="3"/>
    <x v="6"/>
    <x v="3"/>
    <s v="2023/10"/>
    <n v="3889000"/>
    <n v="136.42741878902686"/>
    <n v="28506"/>
    <n v="28506"/>
    <s v="Orlandohealth Inc"/>
    <n v="2024"/>
    <s v="1906"/>
    <m/>
    <s v="2030 06 525 0000 00B0"/>
    <x v="0"/>
    <s v="High"/>
    <s v="Orlando Health Jewett Orthopedic Institute MEDICAL CENTER"/>
    <s v="https://www.orlandohealth.com/locations/orlando-health-jewett-orthopedic-institute-lake-mary-rinehart"/>
    <s v="https://www.google.com/maps?q=454+Rinehart+Rd+Seminole,+FL"/>
    <m/>
    <x v="1"/>
    <x v="1"/>
    <x v="3"/>
    <x v="1"/>
  </r>
  <r>
    <n v="3"/>
    <x v="7"/>
    <x v="3"/>
    <s v="2024/12"/>
    <n v="9998200"/>
    <n v="587.19680507429382"/>
    <n v="17027"/>
    <n v="17027"/>
    <s v="Mmof IV Mid Fl Portfolio LLC C/O Ryan LLC"/>
    <s v="2017"/>
    <s v="19"/>
    <m/>
    <s v="2131 16 5CA 0000 120A"/>
    <x v="0"/>
    <s v="High"/>
    <s v="Hematology and Oncology MEDICAL CENTER"/>
    <s v="https://www.orlandohealth.com/physician-finder/alan-r-forbes-md"/>
    <s v="https://www.google.com/maps/search/?api=1&amp;query=658+Oviedo+Medical+Dr+Seminole+FL"/>
    <m/>
    <x v="1"/>
    <x v="0"/>
    <x v="4"/>
    <x v="0"/>
  </r>
  <r>
    <n v="3"/>
    <x v="8"/>
    <x v="3"/>
    <s v="2020/04"/>
    <n v="550000"/>
    <n v="45.304777594728172"/>
    <n v="12140"/>
    <n v="12140"/>
    <s v="Florida Cancer Specialists MEDICAL CENTER"/>
    <s v="2023"/>
    <s v="19"/>
    <m/>
    <s v="2129 12 5BE 0000 4660"/>
    <x v="0"/>
    <s v="High"/>
    <s v="**Florida Cancer Specialists** MEDICAL CENTER"/>
    <s v="https://flcancer.com/location/altamonte/"/>
    <s v="https://www.google.com/maps/search/?api=1&amp;query=750+Orienta+Ave+Seminole+FL"/>
    <m/>
    <x v="1"/>
    <x v="1"/>
    <x v="2"/>
    <x v="0"/>
  </r>
  <r>
    <n v="3"/>
    <x v="9"/>
    <x v="0"/>
    <s v="2021/10"/>
    <n v="15500000"/>
    <n v="1500.3387861775238"/>
    <n v="10331"/>
    <n v="12626"/>
    <s v="HCA Florida Maitland Emergency (Freestanding ER) MEDICAL CENTER"/>
    <s v="2024"/>
    <s v="1900"/>
    <s v="MTLPD"/>
    <s v="2129 28 5499 03 000"/>
    <x v="0"/>
    <s v="High"/>
    <s v="**HCA Florida Maitland Emergency (Freestanding ER)** MEDICAL CENTER"/>
    <s v="https://www.hcafloridahealthcare.com/locations/maitland-emergency"/>
    <s v="https://www.google.com/maps/search/9401+Summit+Centre+Wa,+FL"/>
    <m/>
    <x v="1"/>
    <x v="0"/>
    <x v="0"/>
    <x v="0"/>
  </r>
  <r>
    <n v="3"/>
    <x v="10"/>
    <x v="3"/>
    <s v="2022/11"/>
    <n v="4100000"/>
    <n v="227.77777777777777"/>
    <n v="18000"/>
    <n v="18000"/>
    <s v="AdventHealth Sports Medicine &amp; Rehab"/>
    <n v="1997"/>
    <s v="19"/>
    <m/>
    <s v="2030 17 300 0140 0000"/>
    <x v="1"/>
    <s v="High"/>
    <s v="**AdventHealth Sports Medicine &amp; Rehab**"/>
    <s v="https://www.adventhealth.com/locations/adventhealth-sports-med-and-rehab-lake-mary"/>
    <s v="https://www.google.com/maps?q=100+Waymont+Ct+Seminole,+FL"/>
    <m/>
    <x v="0"/>
    <x v="0"/>
    <x v="5"/>
    <x v="0"/>
  </r>
  <r>
    <n v="3"/>
    <x v="11"/>
    <x v="2"/>
    <s v="2021/01"/>
    <n v="3552600"/>
    <n v="466.9558359621451"/>
    <n v="7608"/>
    <n v="8124"/>
    <s v="MedExpress Urgent Care (Optum) MEDICAL CENTER"/>
    <s v="2020"/>
    <s v="1911"/>
    <s v="SPUD"/>
    <s v="2631 07 0212 0001 0010"/>
    <x v="0"/>
    <s v="High"/>
    <s v="MedExpress Urgent Care (Optum) MEDICAL CENTER"/>
    <s v="https://www.optum.com/en/"/>
    <s v="https://www.google.com/maps?q=1000+E+Irlo+Bronson+Memorial+Osceola,+FL"/>
    <m/>
    <x v="1"/>
    <x v="0"/>
    <x v="0"/>
    <x v="2"/>
  </r>
  <r>
    <n v="3"/>
    <x v="12"/>
    <x v="2"/>
    <s v="2021/12"/>
    <n v="1010000"/>
    <n v="175.49956559513467"/>
    <n v="5755"/>
    <n v="5959"/>
    <s v="Acaba Properties LLC"/>
    <s v="2003"/>
    <s v="1911"/>
    <s v="KHC"/>
    <s v="2529 21 1212 0001 0010"/>
    <x v="1"/>
    <s v="High"/>
    <s v="Sunshine Family Medical and Wellness"/>
    <s v="https://sunshinefmwc.com/"/>
    <s v="https://www.google.com/maps/search/1001+W+Cherry+St+Osceola+FL"/>
    <m/>
    <x v="0"/>
    <x v="0"/>
    <x v="0"/>
    <x v="3"/>
  </r>
  <r>
    <n v="3"/>
    <x v="13"/>
    <x v="3"/>
    <s v="2020/08"/>
    <n v="1340000"/>
    <n v="517.97448782373408"/>
    <n v="2587"/>
    <n v="2587"/>
    <s v="American Hospitality Assn Inc"/>
    <n v="2007"/>
    <s v="1905"/>
    <m/>
    <s v="1930 28 520 0000 0330"/>
    <x v="1"/>
    <s v="High"/>
    <s v="Coastal Mental Health Center (Condo)"/>
    <s v="https://coastalmhc.com/"/>
    <s v="https://maps.google.com/?cid=8827082157455925323&amp;g_mp=Cidnb29nbGUubWFwcy5wbGFjZXMudjEuUGxhY2VzLlNlYXJjaFRleHQ"/>
    <m/>
    <x v="0"/>
    <x v="1"/>
    <x v="2"/>
    <x v="4"/>
  </r>
  <r>
    <n v="3"/>
    <x v="14"/>
    <x v="0"/>
    <s v="2022/05"/>
    <n v="925000"/>
    <n v="262.41134751773052"/>
    <n v="3525"/>
    <n v="3525"/>
    <s v="The Spa Orlando (Massage &amp; Wellness)"/>
    <s v="1984"/>
    <s v="1900"/>
    <s v="ORLMU1"/>
    <s v="2229 10 8828 04 150"/>
    <x v="1"/>
    <s v="High"/>
    <s v="**The Spa Orlando (Massage &amp; Wellness)**"/>
    <s v="Used to be https://www.tolbirth.com/"/>
    <s v="https://www.google.com/maps/search/5749+Westgate+Dr,+FL+R13"/>
    <m/>
    <x v="2"/>
    <x v="0"/>
    <x v="5"/>
    <x v="3"/>
  </r>
  <r>
    <n v="3"/>
    <x v="15"/>
    <x v="2"/>
    <s v="2024/06"/>
    <n v="2002800"/>
    <n v="302.17260108630052"/>
    <n v="6628"/>
    <n v="6628"/>
    <s v="Cream Rises To The Top Real Estate Holdings LLC"/>
    <s v="2010"/>
    <s v="1911"/>
    <s v="KB5"/>
    <s v="2529 21 1069 0001 0010"/>
    <x v="1"/>
    <s v="High"/>
    <s v="Medical"/>
    <s v="https://www.loopnet.com/Listing/1010-1020-W-Oak-St-Kissimmee-FL/31250163/"/>
    <s v="https://www.google.com/maps/search/1010+W+Oak+St+Osceola+FL"/>
    <m/>
    <x v="0"/>
    <x v="0"/>
    <x v="4"/>
    <x v="2"/>
  </r>
  <r>
    <n v="3"/>
    <x v="16"/>
    <x v="2"/>
    <s v="2025/08"/>
    <n v="2310000"/>
    <n v="320.83333333333331"/>
    <n v="7200"/>
    <n v="7200"/>
    <s v="Nova Health Medical Group LLC"/>
    <s v="1999"/>
    <s v="1911"/>
    <s v="KHC"/>
    <s v="2529 21 1412 0001 0020"/>
    <x v="1"/>
    <s v="High"/>
    <s v="**Nova Health Medical Group (Primary Care)**"/>
    <s v="https://www.loopnet.com/Listing/1045-1085-N-John-Young-Pky-Kissimmee-FL/31094164/"/>
    <s v="https://www.google.com/maps/search/1045+N+John+Young+Pkwy+Osceola+FL"/>
    <s v="investment sale"/>
    <x v="2"/>
    <x v="0"/>
    <x v="1"/>
    <x v="2"/>
  </r>
  <r>
    <n v="3"/>
    <x v="17"/>
    <x v="3"/>
    <s v="2021/12"/>
    <n v="5050000"/>
    <n v="202.46161247644631"/>
    <n v="24943"/>
    <n v="24943"/>
    <s v="Geneva Altamonte LLC"/>
    <s v="1976"/>
    <s v="1900"/>
    <m/>
    <s v="2129 12 5BE 0000 6000"/>
    <x v="1"/>
    <s v="High"/>
    <s v="Associates in Dermatology - Altamonte Springs"/>
    <s v="https://www.psoriasis.org/health-care-provider-directory/michael-steppie-associates-in-dermatology-altamonte-springs/"/>
    <s v="https://www.google.com/maps/search/?api=1&amp;query=106+Boston+%23+100+Ave+Seminole+FL"/>
    <m/>
    <x v="2"/>
    <x v="0"/>
    <x v="0"/>
    <x v="1"/>
  </r>
  <r>
    <n v="3"/>
    <x v="18"/>
    <x v="3"/>
    <s v="2022/11"/>
    <n v="460000"/>
    <n v="180.39215686274511"/>
    <n v="2550"/>
    <n v="2550"/>
    <s v="Healing Psychiatry of Florida"/>
    <s v="1983"/>
    <s v="1905"/>
    <m/>
    <s v="2129 11 525 0000 00C0"/>
    <x v="1"/>
    <s v="High"/>
    <s v="**Healing Psychiatry of Florida**"/>
    <s v="https://www.healingpsychiatryflorida.com/offices/altamonte-springs/"/>
    <s v="https://www.google.com/maps/search/?api=1&amp;query=108+Citrus+St+W+Seminole+FL"/>
    <m/>
    <x v="2"/>
    <x v="0"/>
    <x v="5"/>
    <x v="4"/>
  </r>
  <r>
    <n v="3"/>
    <x v="19"/>
    <x v="0"/>
    <s v="2023/10"/>
    <n v="475000"/>
    <n v="102.81385281385282"/>
    <n v="4620"/>
    <n v="4745"/>
    <s v="Dada Eyecare Holdings LLC"/>
    <s v="2024"/>
    <s v="1900"/>
    <s v="APKMUD"/>
    <s v="2128 09 0196 20 063"/>
    <x v="1"/>
    <s v="High"/>
    <s v="Essential Eye Care &amp; Optical"/>
    <s v="https://www.essentialeyecareoptical.com/hours-location/"/>
    <s v="https://www.google.com/maps/search/108+Park+Av+S,+FL"/>
    <m/>
    <x v="1"/>
    <x v="0"/>
    <x v="3"/>
    <x v="3"/>
  </r>
  <r>
    <n v="3"/>
    <x v="20"/>
    <x v="0"/>
    <s v="2021/11"/>
    <n v="1650000"/>
    <n v="230.06134969325154"/>
    <n v="7172"/>
    <n v="7435"/>
    <s v="AdventHealth Centra Care Ocoee"/>
    <s v="2022"/>
    <s v="1900"/>
    <s v="OCOC3"/>
    <s v="2228 19 0000 00 024"/>
    <x v="1"/>
    <s v="High"/>
    <s v="**AdventHealth Centra Care Ocoee**"/>
    <s v="https://biz.wochamber.com/list/member/adventhealth-centra-care-ocoee-30983"/>
    <s v="https://www.google.com/maps/search/11001+Colonial+Dr+W,+FL"/>
    <m/>
    <x v="1"/>
    <x v="0"/>
    <x v="0"/>
    <x v="2"/>
  </r>
  <r>
    <n v="3"/>
    <x v="21"/>
    <x v="3"/>
    <s v="2022/11"/>
    <n v="3735000"/>
    <n v="647.08939708939704"/>
    <n v="5772"/>
    <n v="5772"/>
    <s v="Golden Link Inv LLC"/>
    <s v="2004"/>
    <s v="19"/>
    <m/>
    <s v="2030 26 5AR 0B00 026C"/>
    <x v="2"/>
    <s v="High"/>
    <s v="Smile Design Dentistry"/>
    <s v="https://www.thesmiledesign.com/locations/winter-springs/"/>
    <s v="https://www.google.com/maps/search/?api=1&amp;query=1122+SR+434+E+Seminole+FL"/>
    <m/>
    <x v="0"/>
    <x v="1"/>
    <x v="5"/>
    <x v="3"/>
  </r>
  <r>
    <n v="3"/>
    <x v="22"/>
    <x v="0"/>
    <s v="2021/11"/>
    <n v="1150000"/>
    <n v="407.36804817569958"/>
    <n v="2823"/>
    <n v="3293"/>
    <s v="Evolve Aesthetics (Medical Spa)"/>
    <s v="1959"/>
    <s v="1700"/>
    <s v="ORLMU1"/>
    <s v="2229 23 2344 00 080"/>
    <x v="1"/>
    <s v="High"/>
    <s v="**Evolve Aesthetics (Medical Spa)**"/>
    <s v="https://www.evolveorl.com/contact-us/"/>
    <s v="https://www.google.com/maps/search/1127+Edgewater+Dr+Orange+FL"/>
    <m/>
    <x v="2"/>
    <x v="0"/>
    <x v="0"/>
    <x v="4"/>
  </r>
  <r>
    <n v="3"/>
    <x v="23"/>
    <x v="1"/>
    <s v="2022/07"/>
    <n v="390000"/>
    <n v="106.73234811165845"/>
    <n v="3654"/>
    <n v="4134"/>
    <s v="Schweiger Dermatology Group"/>
    <s v="1984"/>
    <s v="1900"/>
    <m/>
    <s v="1924 25 0001 000 13400"/>
    <x v="1"/>
    <s v="High"/>
    <s v="**Schweiger Dermatology Group**"/>
    <s v="https://www.schweigerderm.com/location/florida/leesburg/"/>
    <s v="https://www.google.com/maps?q=1132+North+Blvd+E+Lake,+FL"/>
    <m/>
    <x v="2"/>
    <x v="0"/>
    <x v="5"/>
    <x v="3"/>
  </r>
  <r>
    <n v="3"/>
    <x v="24"/>
    <x v="0"/>
    <s v="2025/06"/>
    <n v="3473802"/>
    <n v="915.12170706006327"/>
    <n v="3796"/>
    <n v="3922"/>
    <s v="Cl Westside Shoppes Fl LLC"/>
    <s v="2017"/>
    <s v="1900"/>
    <s v="ORGPD"/>
    <s v="2327 25 5839 02 000"/>
    <x v="1"/>
    <s v="High"/>
    <s v="Dental Care at Westside Shoppes"/>
    <s v="https://dentalcareatwestsideshoppes.com/"/>
    <s v="https://www.google.com/maps/search/11625+Lachlan+Ln,+FL"/>
    <m/>
    <x v="1"/>
    <x v="1"/>
    <x v="1"/>
    <x v="3"/>
  </r>
  <r>
    <n v="3"/>
    <x v="25"/>
    <x v="0"/>
    <s v="2021/11"/>
    <n v="243300"/>
    <n v="45.664414414414416"/>
    <n v="5328"/>
    <n v="5480"/>
    <s v="Murphy Holdings LLC"/>
    <s v="1971"/>
    <s v="1700"/>
    <s v="ORGC1"/>
    <s v="2229 03 1000 00 060"/>
    <x v="1"/>
    <s v="High"/>
    <s v="Medi-Weightloss Center Winter Park "/>
    <s v="https://mediweightloss.com/weight-loss-clinic/winterpark/"/>
    <s v="https://www.google.com/maps/search/1221+Fairbanks+Av+W,+FL"/>
    <m/>
    <x v="2"/>
    <x v="1"/>
    <x v="0"/>
    <x v="3"/>
  </r>
  <r>
    <n v="3"/>
    <x v="26"/>
    <x v="3"/>
    <s v="2020/08"/>
    <n v="1340000"/>
    <n v="623.25581395348843"/>
    <n v="2150"/>
    <n v="2150"/>
    <s v="Towne Center Animal Hospital (Condo)"/>
    <n v="2007"/>
    <s v="1905"/>
    <m/>
    <s v="1930 28 520 0000 0270"/>
    <x v="1"/>
    <s v="High"/>
    <s v="Towne Center Animal Hospital (Condo)"/>
    <s v="http://www.townecenteranimalhospital.com/"/>
    <s v="https://maps.google.com/?cid=12525815501440194295&amp;g_mp=Cidnb29nbGUubWFwcy5wbGFjZXMudjEuUGxhY2VzLlNlYXJjaFRleHQ"/>
    <m/>
    <x v="0"/>
    <x v="1"/>
    <x v="2"/>
    <x v="4"/>
  </r>
  <r>
    <n v="3"/>
    <x v="27"/>
    <x v="0"/>
    <s v="2021/01"/>
    <n v="1200000"/>
    <n v="309.03940252382176"/>
    <n v="3883"/>
    <n v="4079"/>
    <s v="HealthyMD (Primary Care/Wellness)"/>
    <s v="1968"/>
    <s v="1700"/>
    <s v="ORLMXD"/>
    <s v="2229 24 5440 01 140"/>
    <x v="1"/>
    <s v="High"/>
    <s v="**HealthyMD (Primary Care/Wellness)**"/>
    <s v="https://npin.cdc.gov/organization/healthymd-0"/>
    <s v="https://www.google.com/maps/search/130+Marks+St+E+Orange+FL"/>
    <m/>
    <x v="2"/>
    <x v="0"/>
    <x v="0"/>
    <x v="3"/>
  </r>
  <r>
    <n v="3"/>
    <x v="28"/>
    <x v="3"/>
    <s v="2025/05"/>
    <n v="1225000"/>
    <n v="360.29411764705884"/>
    <n v="3400"/>
    <n v="3400"/>
    <s v="Lime To Orange Obgyn LLC"/>
    <s v="2007"/>
    <s v="1905"/>
    <m/>
    <s v="2130 24 523 0100 0000"/>
    <x v="1"/>
    <s v="High"/>
    <s v="Optum-Tuskawilla (Family Medicine) "/>
    <s v="https://www.healthgrades.com/group-directory/fl-florida/winter-springs/optum-tuskawilla-x3xdcn"/>
    <s v="https://www.google.com/maps/search/?api=1&amp;query=1301+Sundial+Pt+Seminole+FL"/>
    <m/>
    <x v="0"/>
    <x v="0"/>
    <x v="1"/>
    <x v="3"/>
  </r>
  <r>
    <n v="2"/>
    <x v="29"/>
    <x v="3"/>
    <s v="2021/10"/>
    <n v="665000"/>
    <n v="295.8185053380783"/>
    <n v="2248"/>
    <n v="2248"/>
    <s v="Badlands Properties LLC"/>
    <n v="2005"/>
    <s v="1905"/>
    <m/>
    <s v="2029 13 513 0900 00P2"/>
    <x v="1"/>
    <s v="High"/>
    <s v="Heathrow Psychology"/>
    <s v="https://heathrowpsychology.com/"/>
    <s v="https://www.google.com/maps?q=1307+International+%232051+Pkw+Seminole,+FL"/>
    <m/>
    <x v="0"/>
    <x v="0"/>
    <x v="0"/>
    <x v="4"/>
  </r>
  <r>
    <n v="3"/>
    <x v="30"/>
    <x v="1"/>
    <s v="2021/09"/>
    <n v="545000"/>
    <n v="72.860962566844918"/>
    <n v="7480"/>
    <n v="7480"/>
    <s v="Family First Homecare (Pediatric)"/>
    <s v="2001"/>
    <s v="1900"/>
    <m/>
    <s v="1924 26 0003 000 01400"/>
    <x v="1"/>
    <s v="High"/>
    <s v="**Family First Homecare (Pediatric)**"/>
    <s v="https://myfamilyfirsthc.com/locations/"/>
    <s v="https://www.google.com/maps?q=1314+Sumter+St+Lake,+FL"/>
    <m/>
    <x v="0"/>
    <x v="1"/>
    <x v="0"/>
    <x v="2"/>
  </r>
  <r>
    <n v="3"/>
    <x v="31"/>
    <x v="0"/>
    <s v="2022/04"/>
    <n v="1200000"/>
    <n v="353.98230088495575"/>
    <n v="3390"/>
    <n v="3656"/>
    <s v="Mills Dental Group"/>
    <s v="1973"/>
    <s v="1900"/>
    <s v="ORLACN"/>
    <s v="2229 24 5828 00 140"/>
    <x v="1"/>
    <s v="High"/>
    <s v="**Mills Dental Group**"/>
    <s v="https://www.carecredit.com/doctor-locator/orlando-fl/mills-dental-group-935wkf/"/>
    <s v="https://www.google.com/maps/search/1318+Mills+Av+N+Orange+FL"/>
    <m/>
    <x v="2"/>
    <x v="0"/>
    <x v="5"/>
    <x v="3"/>
  </r>
  <r>
    <n v="3"/>
    <x v="32"/>
    <x v="2"/>
    <s v="2021/04"/>
    <n v="600000"/>
    <n v="227.27272727272728"/>
    <n v="2640"/>
    <n v="3390"/>
    <s v="Sutherland Wolf &amp; Boroaks Property Mangement LLC"/>
    <s v="1984"/>
    <s v="1911"/>
    <s v="KB3"/>
    <s v="2529 22 1360 000A 0020"/>
    <x v="1"/>
    <s v="High"/>
    <s v="**Wolf Chiropractic Kissimmee**"/>
    <s v="https://hurtaid.com/directory/medical-provider/wolf-chiropractic-kissimmee/"/>
    <s v="https://www.google.com/maps/search/1320+N+Main+St+Osceola+FL"/>
    <m/>
    <x v="2"/>
    <x v="0"/>
    <x v="0"/>
    <x v="4"/>
  </r>
  <r>
    <n v="3"/>
    <x v="33"/>
    <x v="3"/>
    <s v="2021/09"/>
    <n v="610000"/>
    <n v="271.35231316725981"/>
    <n v="2248"/>
    <n v="2248"/>
    <s v="Rhythmiq LLC"/>
    <n v="2005"/>
    <s v="1905"/>
    <m/>
    <s v="2029 13 513 0600 00P2"/>
    <x v="1"/>
    <s v="High"/>
    <s v="Orlando Cardiac &amp; Vascular Specialists (Optum)"/>
    <s v="https://orlandocardiacspecialists.com/contact-us/"/>
    <s v="https://www.google.com/maps?q=1325+International+%232241+Pkw+Seminole,+FL"/>
    <m/>
    <x v="0"/>
    <x v="0"/>
    <x v="0"/>
    <x v="4"/>
  </r>
  <r>
    <n v="3"/>
    <x v="34"/>
    <x v="1"/>
    <s v="2022/07"/>
    <n v="475000"/>
    <n v="193.08943089430895"/>
    <n v="2460"/>
    <n v="2915"/>
    <s v="Tesla Biohealing Inc"/>
    <s v="1974"/>
    <s v="1700"/>
    <m/>
    <s v="1924 23 0002 000 03708"/>
    <x v="1"/>
    <s v="High"/>
    <s v="Tesla BioHealing (MedTech Center)"/>
    <s v="https://www.teslabiohealing.com/collections/tesla-medbed-center-leesburg-fl?_gl=1*1xto5k9*_up*MQ..*_gs*MQ..&amp;gclid=Cj0KCQiA4eHLBhCzARIsAJ2NZoJRZHoXlV2PzH6wioAFL_veuWE690gULyIChXBzgXKXzzmRF0ucLcIaAtBOEALw_wcB&amp;gbraid=0AAAABA6AXXQfB9RTa1dJXefhwUNHr8n3u"/>
    <s v="https://www.google.com/maps?q=1325+Shelfer+St+Lake,+FL"/>
    <m/>
    <x v="2"/>
    <x v="0"/>
    <x v="5"/>
    <x v="4"/>
  </r>
  <r>
    <n v="3"/>
    <x v="35"/>
    <x v="3"/>
    <s v="2020/06"/>
    <n v="2900000"/>
    <n v="385.22848034006375"/>
    <n v="7528"/>
    <n v="7528"/>
    <s v="Complete Care Lake Mary (Injury/Rehab)"/>
    <n v="2005"/>
    <s v="1905"/>
    <m/>
    <s v="2029 13 513 0300 00A1"/>
    <x v="1"/>
    <s v="High"/>
    <s v="**Complete Care Lake Mary (Injury/Rehab)**"/>
    <s v="https://www.complete-care.com/locations/complete-care-lake-mary/"/>
    <s v="https://www.google.com/maps/search/?api=1&amp;query=1343+International+Pkwy+1351+Lake+Mary+FL"/>
    <m/>
    <x v="0"/>
    <x v="0"/>
    <x v="2"/>
    <x v="2"/>
  </r>
  <r>
    <n v="3"/>
    <x v="36"/>
    <x v="0"/>
    <s v="2020/12"/>
    <n v="5300000"/>
    <n v="903.81991814461117"/>
    <n v="5864"/>
    <n v="5864"/>
    <s v="SimonMed Imaging - Winter Park"/>
    <s v="2021"/>
    <s v="1900"/>
    <s v="WPC3"/>
    <s v="2229 12 0664 00 100"/>
    <x v="1"/>
    <s v="High"/>
    <s v="**SimonMed Imaging - Winter Park**"/>
    <s v="https://www.simonmed.com/locations/fl/winter-park-iii/"/>
    <s v="https://www.google.com/maps/search/1350+Fairbanks+Av+W+Orange+FL"/>
    <m/>
    <x v="1"/>
    <x v="1"/>
    <x v="2"/>
    <x v="3"/>
  </r>
  <r>
    <n v="3"/>
    <x v="37"/>
    <x v="3"/>
    <s v="2021/03"/>
    <n v="840000"/>
    <n v="252.32802643436469"/>
    <n v="3329"/>
    <n v="3329"/>
    <s v="Caya Health (Family Medicine/Counseling)"/>
    <n v="2005"/>
    <s v="1905"/>
    <m/>
    <s v="2029 13 513 0100 00B1"/>
    <x v="1"/>
    <s v="High"/>
    <s v="**Caya Health (Family Medicine/Counseling)**"/>
    <s v="https://www.cayahealth.com/"/>
    <s v="https://maps.google.com/?cid=4875051585993840576&amp;g_mp=Cidnb29nbGUubWFwcy5wbGFjZXMudjEuUGxhY2VzLlNlYXJjaFRleHQ"/>
    <m/>
    <x v="0"/>
    <x v="0"/>
    <x v="0"/>
    <x v="3"/>
  </r>
  <r>
    <n v="3"/>
    <x v="38"/>
    <x v="3"/>
    <s v="2024/07"/>
    <n v="330000"/>
    <n v="165"/>
    <n v="2000"/>
    <n v="2000"/>
    <s v="Central Florida Regional Hospital Inc"/>
    <n v="1983"/>
    <s v="1905"/>
    <m/>
    <s v="1930 26 508 0000 2480"/>
    <x v="1"/>
    <s v="High"/>
    <s v="Seminole Neurology Associates, P.A."/>
    <s v="https://www.healthgrades.com/group-directory/fl-florida/sanford/seminole-neurology-associates-pa-xbbyxw"/>
    <s v="https://www.google.com/maps?q=1403+Medical+Plaza+%23204+Dr+Seminole,+FL"/>
    <m/>
    <x v="2"/>
    <x v="0"/>
    <x v="4"/>
    <x v="4"/>
  </r>
  <r>
    <n v="3"/>
    <x v="39"/>
    <x v="3"/>
    <s v="2022/11"/>
    <n v="3735000"/>
    <n v="772.0132286068623"/>
    <n v="4838"/>
    <n v="4838"/>
    <s v="Smile Design Dentistry"/>
    <s v="2009"/>
    <s v="19"/>
    <m/>
    <s v="2131 14 516 0000 0020"/>
    <x v="1"/>
    <s v="High"/>
    <s v="Oviedo Premier Dental"/>
    <s v="https://www.dentalplans.com/dentists/florida/oviedo/32765/dr-michael-simpson-13713/"/>
    <s v="https://www.google.com/maps/search/?api=1&amp;query=1445+Mitchell+Hammock+Rd+E+Seminole+FL"/>
    <m/>
    <x v="0"/>
    <x v="1"/>
    <x v="5"/>
    <x v="3"/>
  </r>
  <r>
    <n v="3"/>
    <x v="40"/>
    <x v="3"/>
    <s v="2021/04"/>
    <n v="2305000"/>
    <n v="377.25040916530276"/>
    <n v="6110"/>
    <n v="6110"/>
    <s v="Page Dvm Inc"/>
    <s v="1999"/>
    <s v="1902"/>
    <m/>
    <s v="2131 14 511 0000 0010"/>
    <x v="1"/>
    <s v="High"/>
    <s v="Shaffer Animal Hospital"/>
    <s v="https://https://shafferah.com/.com/"/>
    <s v="https://www.google.com/maps/search/?api=1&amp;query=1475+Mitchell+Hammock+Rd+E+Seminole+FL"/>
    <m/>
    <x v="0"/>
    <x v="0"/>
    <x v="0"/>
    <x v="2"/>
  </r>
  <r>
    <n v="3"/>
    <x v="41"/>
    <x v="0"/>
    <s v="2021/05"/>
    <n v="344600"/>
    <n v="117.37057220708446"/>
    <n v="2936"/>
    <n v="3048"/>
    <s v="Wholistic Dental Care"/>
    <s v="2021"/>
    <s v="1900"/>
    <s v="WGC2"/>
    <s v="2227 22 7670 03 000"/>
    <x v="1"/>
    <s v="High"/>
    <s v="**Wholistic Dental Care**"/>
    <s v="https://search.sunbiz.org/Inquiry/corporationsearch/SearchResultDetail?inquirytype=EntityName&amp;directionType=Initial&amp;searchNameOrder=WHOLISTICDENTALCAREWINTERGARDE%20L210000916830"/>
    <s v="https://www.google.com/maps/search/14835+Colonial+Dr+W,+FL"/>
    <m/>
    <x v="1"/>
    <x v="0"/>
    <x v="0"/>
    <x v="4"/>
  </r>
  <r>
    <n v="3"/>
    <x v="42"/>
    <x v="0"/>
    <s v="2020/10"/>
    <n v="625000"/>
    <n v="138.39681133746677"/>
    <n v="4516"/>
    <n v="4724"/>
    <s v="1492 W Fairbanks LLC"/>
    <s v="2021"/>
    <s v="1900"/>
    <s v="WPC3"/>
    <s v="2229 12 5004 02 010"/>
    <x v="1"/>
    <s v="High"/>
    <s v="Dr. Kapil Saigal"/>
    <m/>
    <s v="https://www.google.com/maps/search/1492+Fairbanks+Av+W+Orange+FL"/>
    <m/>
    <x v="1"/>
    <x v="0"/>
    <x v="2"/>
    <x v="3"/>
  </r>
  <r>
    <n v="3"/>
    <x v="43"/>
    <x v="3"/>
    <s v="2021/07"/>
    <n v="621000"/>
    <n v="197.14285714285714"/>
    <n v="3150"/>
    <n v="3150"/>
    <s v="Oviedo Care LLC"/>
    <s v="2000"/>
    <s v="17"/>
    <m/>
    <s v="2131 14 511 0000 0030"/>
    <x v="1"/>
    <s v="High"/>
    <s v="CareSpot Urgent Care (Oviedo)"/>
    <s v="https://www.carespot.com/carespot-urgent-care/oviedo-fl/"/>
    <s v="https://www.google.com/maps/search/?api=1&amp;query=1495+Mitchell+Hammock+Rd+E+Seminole+FL"/>
    <m/>
    <x v="0"/>
    <x v="0"/>
    <x v="0"/>
    <x v="3"/>
  </r>
  <r>
    <n v="3"/>
    <x v="44"/>
    <x v="0"/>
    <s v="2023/05"/>
    <n v="1025000"/>
    <n v="229.97531972178595"/>
    <n v="4457"/>
    <n v="5942"/>
    <s v="Lyon Counseling"/>
    <s v="1959"/>
    <s v="1700"/>
    <s v="ORLO1/"/>
    <s v="2229 22 1784 02 010"/>
    <x v="1"/>
    <s v="High"/>
    <s v="**Lyon Counseling**"/>
    <s v="https://lyoncounseling.care/therapist/"/>
    <s v="https://www.google.com/maps/search/1501+Colonial+Dr+W+Orange+FL"/>
    <m/>
    <x v="2"/>
    <x v="0"/>
    <x v="3"/>
    <x v="3"/>
  </r>
  <r>
    <n v="3"/>
    <x v="45"/>
    <x v="2"/>
    <s v="2020/12"/>
    <n v="400000"/>
    <n v="93.327111525898275"/>
    <n v="4286"/>
    <n v="4581"/>
    <s v="Beaudry Animal Clinic LLC"/>
    <s v="1945"/>
    <s v="1911"/>
    <s v="KB3"/>
    <s v="2529 15 1350 00SL 0010"/>
    <x v="1"/>
    <s v="High"/>
    <s v="Beaudry Animal Hospital /Osceola Animal Clinic (Veterinary)"/>
    <s v="https://osceolaanimalclinic.com/"/>
    <s v="https://www.google.com/maps/search/1513+N+Main+St+Osceola+FL"/>
    <m/>
    <x v="2"/>
    <x v="1"/>
    <x v="2"/>
    <x v="3"/>
  </r>
  <r>
    <n v="3"/>
    <x v="46"/>
    <x v="0"/>
    <s v="2021/03"/>
    <n v="1725000"/>
    <n v="347.78225806451616"/>
    <n v="4960"/>
    <n v="5608"/>
    <s v="Harmony Dental Holdings LLC"/>
    <s v="2020"/>
    <s v="1900"/>
    <s v="WGC2"/>
    <s v="2227 28 0000 00 001"/>
    <x v="1"/>
    <s v="High"/>
    <s v="Harmony Dental Care / Oakland Pediatric Dentistry"/>
    <s v="https://www.carecredit.com/doctor-locator/winter-garden-fl/harmony-dental-care-633hqp/"/>
    <s v="https://www.google.com/maps/search/15650+Colonial+Dr+W,+FL"/>
    <m/>
    <x v="1"/>
    <x v="0"/>
    <x v="0"/>
    <x v="3"/>
  </r>
  <r>
    <n v="3"/>
    <x v="47"/>
    <x v="1"/>
    <s v="2023/04"/>
    <n v="350000"/>
    <n v="142.3342822285482"/>
    <n v="2459"/>
    <n v="2559"/>
    <s v="Leesburg 441 Animal Hospital L"/>
    <s v="1946"/>
    <s v="1900"/>
    <m/>
    <s v="1925 30 0002 000 02700"/>
    <x v="1"/>
    <s v="High"/>
    <s v="Leesburg 441 Animal Hospital (Veterinary)"/>
    <s v="https://www.myfloridalicense.com/LicenseDetail.asp?SID=&amp;id=846B397AAE6BE1ADC895273DC593ED1F"/>
    <s v="https://www.google.com/maps?q=1603+E+Main+St,+Leesburg,+FL"/>
    <m/>
    <x v="2"/>
    <x v="0"/>
    <x v="3"/>
    <x v="4"/>
  </r>
  <r>
    <n v="3"/>
    <x v="48"/>
    <x v="2"/>
    <s v="2023/11"/>
    <n v="1300000"/>
    <n v="363.73810856183547"/>
    <n v="3574"/>
    <n v="3916"/>
    <s v="Rec Strategies LLC"/>
    <s v="1968"/>
    <s v="1911"/>
    <s v="KB3"/>
    <s v="2529 15 1050 00RL 0015"/>
    <x v="1"/>
    <s v="High"/>
    <s v="Medical "/>
    <m/>
    <s v="https://maps.property-appraiser.org/?Pin=152529105000RL0015"/>
    <m/>
    <x v="2"/>
    <x v="0"/>
    <x v="3"/>
    <x v="3"/>
  </r>
  <r>
    <n v="3"/>
    <x v="49"/>
    <x v="3"/>
    <s v="2022/08"/>
    <n v="1200000"/>
    <n v="216.68472372697724"/>
    <n v="5538"/>
    <n v="5538"/>
    <s v="J H First Enterprises LLC"/>
    <n v="1996"/>
    <s v="1902"/>
    <m/>
    <s v="2029 35 501 0000 003C"/>
    <x v="1"/>
    <s v="High"/>
    <s v="Markham Woods Animal Hospital (Veterinary)"/>
    <s v="https://www.markhamwoodsanimalhospital.com/"/>
    <s v="https://www.google.com/maps?q=1645+Ee+Williamson+Rd+Seminole,+FL"/>
    <m/>
    <x v="2"/>
    <x v="0"/>
    <x v="5"/>
    <x v="3"/>
  </r>
  <r>
    <n v="3"/>
    <x v="50"/>
    <x v="3"/>
    <s v="2021/09"/>
    <n v="725000"/>
    <n v="170.34774436090225"/>
    <n v="4256"/>
    <n v="4256"/>
    <s v="Woke Wellness LLC"/>
    <s v="1977"/>
    <s v="19"/>
    <m/>
    <s v="2129 15 300 015E 0000"/>
    <x v="1"/>
    <s v="High"/>
    <s v="Tree of Life (Birth and Gyno)"/>
    <s v="https://www.tolbirth.com/"/>
    <s v="https://www.google.com/maps/search/?api=1&amp;query=165+Montgomery+Rd+Seminole+FL"/>
    <m/>
    <x v="2"/>
    <x v="0"/>
    <x v="0"/>
    <x v="3"/>
  </r>
  <r>
    <n v="3"/>
    <x v="51"/>
    <x v="3"/>
    <s v="2024/10"/>
    <n v="940000"/>
    <n v="109.98010998010999"/>
    <n v="8547"/>
    <n v="8547"/>
    <s v="1701 West First Street LLC"/>
    <n v="2005"/>
    <s v="19"/>
    <m/>
    <s v="1930 25 5AG 0320 0000"/>
    <x v="1"/>
    <s v="Medium"/>
    <s v="Vacant &quot;2nd Gen Medical&quot; for Lease (used to be DaVita Dialysis)"/>
    <s v="https://www.loopnet.com/Listing/1701-W-1st-St-Sanford-FL/28259426/"/>
    <s v="https://www.google.com/maps?q=1701+1st+St+W+Seminole,+FL"/>
    <m/>
    <x v="0"/>
    <x v="0"/>
    <x v="4"/>
    <x v="2"/>
  </r>
  <r>
    <n v="3"/>
    <x v="52"/>
    <x v="0"/>
    <s v="2021/12"/>
    <n v="2900000"/>
    <n v="402.16336153099434"/>
    <n v="7211"/>
    <n v="7645"/>
    <s v="Anafais Holdings LLC"/>
    <s v="1952"/>
    <s v="1700"/>
    <s v="WPC3"/>
    <s v="2229 12 5000 04 011"/>
    <x v="1"/>
    <s v="High"/>
    <s v="Flourish Clinical Research"/>
    <s v="https://flourishresearch.com/locations/orlando/"/>
    <s v="https://www.google.com/maps/search/1788+Fairbanks+Av+W+Orange+FL"/>
    <m/>
    <x v="2"/>
    <x v="0"/>
    <x v="0"/>
    <x v="2"/>
  </r>
  <r>
    <n v="3"/>
    <x v="53"/>
    <x v="0"/>
    <s v="2021/01"/>
    <n v="1575000"/>
    <n v="325.14450867052022"/>
    <n v="4844"/>
    <n v="4916"/>
    <s v="Knight Dermatology Institute"/>
    <s v="1980"/>
    <s v="1900"/>
    <s v="WPO1"/>
    <s v="2229 01 0060 04 120"/>
    <x v="1"/>
    <s v="High"/>
    <s v="**Knight Dermatology Institute**"/>
    <s v="https://knightdermatology.com/location/winter-park-fl/"/>
    <s v="https://www.google.com/maps/search/1901+Lee+Rd,+FL"/>
    <m/>
    <x v="2"/>
    <x v="0"/>
    <x v="0"/>
    <x v="3"/>
  </r>
  <r>
    <n v="3"/>
    <x v="54"/>
    <x v="1"/>
    <s v="2023/10"/>
    <n v="900000"/>
    <n v="214.28571428571428"/>
    <n v="4200"/>
    <n v="4435"/>
    <s v="Wmg Acquisitions LLC"/>
    <s v="2024"/>
    <s v="1900"/>
    <m/>
    <s v="2026 06 1000 000 00500"/>
    <x v="1"/>
    <s v="High"/>
    <m/>
    <m/>
    <s v="https://www.google.com/maps/search/1986+State+Road+19+Tavares+FL"/>
    <m/>
    <x v="1"/>
    <x v="0"/>
    <x v="3"/>
    <x v="3"/>
  </r>
  <r>
    <n v="3"/>
    <x v="55"/>
    <x v="0"/>
    <s v="2021/06"/>
    <n v="592000"/>
    <n v="169.14285714285714"/>
    <n v="3500"/>
    <n v="3850"/>
    <s v="Spark Office LLC"/>
    <s v="1996"/>
    <s v="1700"/>
    <s v="APKMUD"/>
    <s v="2128 09 1972 02 591"/>
    <x v="1"/>
    <s v="High"/>
    <s v="Medical Buildout (Tenant Unconfirmed)"/>
    <s v="https://www.loopnet.com/Listing/20-S-Park-Ave-Apopka-FL/16369407/"/>
    <s v="https://www.google.com/maps/search/20+Park+Av+S,+FL"/>
    <m/>
    <x v="0"/>
    <x v="0"/>
    <x v="0"/>
    <x v="3"/>
  </r>
  <r>
    <n v="3"/>
    <x v="56"/>
    <x v="0"/>
    <s v="2020/02"/>
    <n v="3325000"/>
    <n v="433.95980161837639"/>
    <n v="7662"/>
    <n v="8163"/>
    <s v="Whitestone Legacy LLC"/>
    <s v="1945"/>
    <s v="1700"/>
    <s v="ORLPD/"/>
    <s v="2229 25 9320 01 060"/>
    <x v="1"/>
    <s v="Medium"/>
    <s v="Vacant &quot;Office/Medical&quot; for Sale"/>
    <s v="https://www.crexi.com/properties/2285495/florida-8000-sf-office-for-sale-in-downtown-orlando"/>
    <s v="https://www.google.com/maps/search/205+Eola+Dr+S+Orange+FL"/>
    <m/>
    <x v="2"/>
    <x v="0"/>
    <x v="2"/>
    <x v="2"/>
  </r>
  <r>
    <n v="3"/>
    <x v="57"/>
    <x v="2"/>
    <s v="2025/10"/>
    <n v="1800000"/>
    <n v="300"/>
    <n v="6000"/>
    <n v="7257"/>
    <s v="Three Birds Investments LLC"/>
    <s v="1987"/>
    <s v="1911"/>
    <s v="OCR"/>
    <s v="2529 15 4673 0001 0020"/>
    <x v="1"/>
    <s v="High"/>
    <s v="AdventHealth - OBGYN"/>
    <s v="https://www.adventhealth.com/find-doctor/doctor/peter-joseph-casella-md-1245200278"/>
    <s v="https://www.google.com/maps/search/205+Park+Place+Blvd+Osceola+FL"/>
    <m/>
    <x v="2"/>
    <x v="0"/>
    <x v="1"/>
    <x v="2"/>
  </r>
  <r>
    <n v="3"/>
    <x v="58"/>
    <x v="3"/>
    <s v="2024/10"/>
    <n v="1991400"/>
    <n v="466.58856607310213"/>
    <n v="4268"/>
    <n v="3969"/>
    <s v="Mmof IV Mid Fl Portfolio LLC C/O Montecito Medical Real Estate"/>
    <n v="2004"/>
    <s v="19"/>
    <m/>
    <s v="1930 26 509 0000 0030"/>
    <x v="1"/>
    <s v="High"/>
    <s v="**Mid-Florida Cancer Centers (Oncology)**"/>
    <s v="https://midfloridacancercenters.com/locations/sanford/"/>
    <s v="https://www.google.com/maps?q=2100+1st+St+W+Seminole,+FL"/>
    <m/>
    <x v="0"/>
    <x v="0"/>
    <x v="4"/>
    <x v="3"/>
  </r>
  <r>
    <n v="3"/>
    <x v="59"/>
    <x v="0"/>
    <s v="2024/05"/>
    <n v="3500000"/>
    <n v="591.01654846335703"/>
    <n v="5922"/>
    <n v="6039"/>
    <s v="Sanitas MEDICAL CENTER"/>
    <s v="2023"/>
    <s v="1900"/>
    <s v="ORGC1"/>
    <s v="2128 06 0000 00 047"/>
    <x v="0"/>
    <s v="High"/>
    <s v="Sanitas Medical Center"/>
    <s v="https://www.mysanitas.com/en/fl/sanitas-apopka"/>
    <s v="https://www.google.com/maps/search/2115+Orange+Blossom+Tr+W,+FL"/>
    <m/>
    <x v="1"/>
    <x v="1"/>
    <x v="4"/>
    <x v="3"/>
  </r>
  <r>
    <n v="3"/>
    <x v="60"/>
    <x v="1"/>
    <s v="2021/09"/>
    <n v="417500"/>
    <n v="224.94612068965517"/>
    <n v="1856"/>
    <n v="2200"/>
    <s v="Cjz Property Holdings LLC"/>
    <s v="1986"/>
    <s v="1700"/>
    <m/>
    <s v="1824 20 0400 000 06101"/>
    <x v="1"/>
    <s v="High"/>
    <s v="Healing Touch Massage Therapy"/>
    <s v="https://healingtouch212.wixsite.com/healingtouchmassage"/>
    <s v="https://www.google.com/maps?q=212+County+Road+466+Lake,+FL"/>
    <m/>
    <x v="2"/>
    <x v="0"/>
    <x v="0"/>
    <x v="4"/>
  </r>
  <r>
    <n v="3"/>
    <x v="61"/>
    <x v="3"/>
    <s v="2025/05"/>
    <n v="500000"/>
    <n v="271.29679869777539"/>
    <n v="1843"/>
    <n v="2991"/>
    <s v="Longwood Vet Properties LLC"/>
    <s v="1922"/>
    <s v="1902"/>
    <m/>
    <s v="2130 05 300 003B 0000"/>
    <x v="1"/>
    <s v="High"/>
    <s v="Loving Hearts Pet Hospital"/>
    <s v="google.com/url?url=http%3A%2F%2Fwww.lovingheartspethospital.com%2F&amp;sa=t&amp;rct=j&amp;source=maps&amp;usg=AOvVaw3r9J4bidhLidNYXof3CC-y&amp;ved=1i%3A20%2Ct%3A3443%2Ce%3A14%2Cp%3ATFmFaceUN_XW5NoPjsbYuQ0%3A32"/>
    <s v="https://www.google.com/maps/search/?api=1&amp;query=212+SR+434+E+Seminole+FL"/>
    <m/>
    <x v="2"/>
    <x v="0"/>
    <x v="1"/>
    <x v="4"/>
  </r>
  <r>
    <n v="3"/>
    <x v="62"/>
    <x v="0"/>
    <s v="2022/05"/>
    <n v="1400000"/>
    <n v="408.87850467289718"/>
    <n v="3424"/>
    <n v="3468"/>
    <s v="Life Concepts / Quest, Inc. (Disability Care)"/>
    <s v="1960"/>
    <s v="1700"/>
    <s v="WPC3"/>
    <s v="2229 11 6180 02 010"/>
    <x v="1"/>
    <s v="High"/>
    <s v="**Life Concepts / Quest, Inc. (Disability Care)**"/>
    <s v="https://questinc.org/quest-kids-academy/"/>
    <s v="https://www.google.com/maps/search/2134+Kentucky+Av+Orange+FL"/>
    <m/>
    <x v="2"/>
    <x v="0"/>
    <x v="5"/>
    <x v="3"/>
  </r>
  <r>
    <n v="3"/>
    <x v="63"/>
    <x v="0"/>
    <s v="2020/04"/>
    <n v="1410000"/>
    <n v="206.29114850036575"/>
    <n v="6835"/>
    <n v="7058"/>
    <s v="Lifeskills Orlando (Outpatient Therapy)"/>
    <s v="1954"/>
    <s v="1900"/>
    <s v="ORLMXD"/>
    <s v="2229 24 8484 00 210"/>
    <x v="1"/>
    <s v="High"/>
    <s v="**Lifeskills Orlando (Outpatient Therapy)**"/>
    <s v="https://lifeskillsbehavioralhealth.com/location/orlando-outpatient/"/>
    <s v="https://www.google.com/maps/search/214+Marks+St+E+Orange+FL"/>
    <m/>
    <x v="2"/>
    <x v="0"/>
    <x v="2"/>
    <x v="2"/>
  </r>
  <r>
    <n v="3"/>
    <x v="64"/>
    <x v="0"/>
    <s v="2022/03"/>
    <n v="800000"/>
    <n v="322.58064516129031"/>
    <n v="2480"/>
    <n v="2673"/>
    <s v="Aarr Florida Investments LLC"/>
    <s v="1976"/>
    <s v="1900"/>
    <s v="WPO1"/>
    <s v="2229 02 8004 01 004"/>
    <x v="1"/>
    <s v="High"/>
    <s v="Vacant Medical Buildout (Former Dentist)"/>
    <s v="https://www.loopnet.com/Listing/2200-Lee-Rd-Winter-Park-FL/24836441/"/>
    <s v="https://www.google.com/maps/search/2200+Lee+Rd,+FL"/>
    <m/>
    <x v="2"/>
    <x v="0"/>
    <x v="5"/>
    <x v="4"/>
  </r>
  <r>
    <n v="3"/>
    <x v="65"/>
    <x v="0"/>
    <s v="2023/12"/>
    <n v="3000000"/>
    <n v="713.43638525564802"/>
    <n v="4205"/>
    <n v="5986"/>
    <s v="Fisher Eye Properties LLC"/>
    <s v="2007"/>
    <s v="1900"/>
    <s v="MTLDM"/>
    <s v="2129 25 6516 03 020"/>
    <x v="1"/>
    <s v="High"/>
    <s v="**Vision Source Maitland**"/>
    <s v="https://www.carecredit.com/doctor-locator/maitland-fl/vision-source-maitland-876tpt/"/>
    <s v="https://www.google.com/maps/search/238+Orlando+Av+S,+FL"/>
    <m/>
    <x v="0"/>
    <x v="1"/>
    <x v="3"/>
    <x v="3"/>
  </r>
  <r>
    <n v="3"/>
    <x v="66"/>
    <x v="1"/>
    <s v="2024/08"/>
    <n v="3300000"/>
    <n v="422.53521126760563"/>
    <n v="7810"/>
    <n v="8314"/>
    <s v="2400 Hooks Street LLC"/>
    <s v="2007"/>
    <s v="1900"/>
    <m/>
    <s v="2226 28 0100 000 00600"/>
    <x v="1"/>
    <s v="High"/>
    <m/>
    <m/>
    <s v="https://www.google.com/maps?q=2400+Hooks+St+Lake,+FL"/>
    <m/>
    <x v="0"/>
    <x v="0"/>
    <x v="4"/>
    <x v="2"/>
  </r>
  <r>
    <n v="3"/>
    <x v="67"/>
    <x v="3"/>
    <s v="2021/01"/>
    <n v="250100"/>
    <n v="116.32558139534883"/>
    <n v="2150"/>
    <n v="2150"/>
    <s v="Physical Therapy Now Sanford"/>
    <n v="2007"/>
    <s v="1905"/>
    <m/>
    <s v="1930 28 520 0000 0090"/>
    <x v="1"/>
    <s v="High"/>
    <s v="**Physical Therapy Now Sanford**"/>
    <s v="https://physicaltherapynow.com/locations/sanford-lake-mary/"/>
    <s v="https://maps.google.com/?cid=10484780260240310301&amp;g_mp=Cidnb29nbGUubWFwcy5wbGFjZXMudjEuUGxhY2VzLlNlYXJjaFRleHQ"/>
    <m/>
    <x v="0"/>
    <x v="0"/>
    <x v="0"/>
    <x v="4"/>
  </r>
  <r>
    <n v="3"/>
    <x v="68"/>
    <x v="3"/>
    <s v="2025/01"/>
    <n v="2000000"/>
    <n v="244.85798237022527"/>
    <n v="8168"/>
    <n v="8168"/>
    <s v="Stepping Stones Behavioral Support LLC"/>
    <s v="1999"/>
    <s v="17"/>
    <m/>
    <s v="2130 19 507 0H00 0000"/>
    <x v="1"/>
    <s v="High"/>
    <s v="Stepping Stones Behavioral Support_x000a_Applied Behavior Analysis Therapy)"/>
    <s v="https://www.abaorlando.com/"/>
    <s v="https://www.google.com/maps/search/?api=1&amp;query=241+Obrien+Rd+Seminole+FL"/>
    <m/>
    <x v="2"/>
    <x v="0"/>
    <x v="1"/>
    <x v="2"/>
  </r>
  <r>
    <n v="3"/>
    <x v="69"/>
    <x v="2"/>
    <s v="2020/10"/>
    <n v="1250000"/>
    <n v="207.95208783896192"/>
    <n v="6011"/>
    <n v="6707"/>
    <s v="World of Pediatrics (Dr. Rafay Khan)"/>
    <s v="2010"/>
    <s v="1911"/>
    <s v="OPUD"/>
    <s v="2628 14 5254 0001 0030"/>
    <x v="1"/>
    <s v="High"/>
    <s v="**World of Pediatrics (Dr. Rafay Khan)**"/>
    <s v="https://www.pocf.net/"/>
    <s v="https://www.google.com/maps/search/2497+Trafalgar+Blvd+Osceola+FL"/>
    <m/>
    <x v="1"/>
    <x v="0"/>
    <x v="2"/>
    <x v="2"/>
  </r>
  <r>
    <n v="3"/>
    <x v="70"/>
    <x v="3"/>
    <s v="2022/10"/>
    <n v="350000"/>
    <n v="171.82130584192439"/>
    <n v="2037"/>
    <n v="2037"/>
    <s v="My HealthMatrix (Hormone Therapy/Wellness)"/>
    <n v="1989"/>
    <s v="1905"/>
    <m/>
    <s v="2030 09 515 0000 2170"/>
    <x v="1"/>
    <s v="High"/>
    <s v="**My HealthMatrix (Hormone Therapy/Wellness)**"/>
    <s v="https://healthmatrix.com/location/orlando-lake-mary-florida/"/>
    <s v="https://www.google.com/maps?q=2500+Lake+Mary+%23217+Blvd+W+Seminole,+FL"/>
    <m/>
    <x v="2"/>
    <x v="0"/>
    <x v="5"/>
    <x v="4"/>
  </r>
  <r>
    <n v="3"/>
    <x v="71"/>
    <x v="3"/>
    <s v="2025/04"/>
    <n v="514200"/>
    <n v="205.68"/>
    <n v="2500"/>
    <n v="2500"/>
    <s v="Mindy A Hall Liv Trust &amp; Steven M Hall S Liv Trust C/O Dr Steven Hall"/>
    <s v="1993"/>
    <s v="19"/>
    <m/>
    <s v="2131 09 509 0000 0100"/>
    <x v="1"/>
    <s v="High"/>
    <s v="**Steven M. Hall, DMD (Oviedo Smiles)**"/>
    <s v="https://www.oviedosmiles.com/our-locations"/>
    <s v="https://www.google.com/maps/search/?api=1&amp;query=252+Plaza+Dr+Seminole+FL"/>
    <m/>
    <x v="2"/>
    <x v="0"/>
    <x v="1"/>
    <x v="4"/>
  </r>
  <r>
    <n v="3"/>
    <x v="72"/>
    <x v="0"/>
    <s v="2023/05"/>
    <n v="1140000"/>
    <n v="276.90065581734274"/>
    <n v="4117"/>
    <n v="5455"/>
    <s v="Elegantly Dental"/>
    <s v="2009"/>
    <s v="1900"/>
    <s v="OCOPUD"/>
    <s v="2228 06 2856 01 000"/>
    <x v="1"/>
    <s v="High"/>
    <s v="**Elegantly Dental**"/>
    <s v="https://www.elegantlydental.com/ocoee-fl/"/>
    <s v="https://www.google.com/maps/search/2605+Ocoee+Apopka+Rd,+FL"/>
    <m/>
    <x v="0"/>
    <x v="0"/>
    <x v="3"/>
    <x v="3"/>
  </r>
  <r>
    <n v="3"/>
    <x v="73"/>
    <x v="3"/>
    <s v="2021/04"/>
    <n v="600000"/>
    <n v="173.81228273464657"/>
    <n v="3452"/>
    <n v="3452"/>
    <s v="Wolf Chiropractic Kissimmee"/>
    <n v="1980"/>
    <s v="19"/>
    <m/>
    <s v="2030 12 300 012H 0000"/>
    <x v="1"/>
    <s v="Medium"/>
    <s v="Vacant Medical Office (For Sale)"/>
    <s v="https://www.realty.com/commercial-listings/361178951/261-E-Airport-Boulevard-Sanford-FL-32773"/>
    <s v="https://www.google.com/maps?q=261+Airport+Blvd+E+Seminole,+FL"/>
    <m/>
    <x v="2"/>
    <x v="0"/>
    <x v="0"/>
    <x v="3"/>
  </r>
  <r>
    <n v="3"/>
    <x v="74"/>
    <x v="0"/>
    <s v="2021/10"/>
    <n v="366400"/>
    <n v="127.39916550764951"/>
    <n v="2876"/>
    <n v="2936"/>
    <s v="Desai Dental (Winter Park Family Dentist)"/>
    <s v="2023"/>
    <s v="1900"/>
    <s v="WPO2"/>
    <s v="2229 02 4168 00 660"/>
    <x v="1"/>
    <s v="High"/>
    <s v="**Desai Dental (Winter Park Family Dentist)**"/>
    <s v="https://www.carecredit.com/doctor-locator/winter-park-fl/desai-dental-234dhr/"/>
    <s v="https://www.google.com/maps/search/2610+Audrey+Av,+FL"/>
    <m/>
    <x v="1"/>
    <x v="0"/>
    <x v="0"/>
    <x v="4"/>
  </r>
  <r>
    <n v="3"/>
    <x v="75"/>
    <x v="3"/>
    <s v="2024/07"/>
    <n v="800000"/>
    <n v="150.48908954100827"/>
    <n v="5316"/>
    <n v="6024"/>
    <s v="South Orlando Drive Land Holding LLC"/>
    <n v="1988"/>
    <s v="1902"/>
    <m/>
    <s v="2030 01 504 1800 0110"/>
    <x v="1"/>
    <s v="High"/>
    <s v="Sanford Animal Hospital (Veterinary)"/>
    <s v="https://www.loopnet.com/Listing/2670-2690-S-Orlando-Dr-Sanford-FL/35204476/"/>
    <s v="https://www.google.com/maps?q=2610+Orlando+Dr+Seminole,+FL"/>
    <m/>
    <x v="2"/>
    <x v="0"/>
    <x v="4"/>
    <x v="3"/>
  </r>
  <r>
    <n v="3"/>
    <x v="76"/>
    <x v="0"/>
    <s v="2021/11"/>
    <n v="1224900"/>
    <n v="236.14806246385194"/>
    <n v="5187"/>
    <n v="5571"/>
    <s v="Marcast Properties &amp; Management LLC"/>
    <s v="2003"/>
    <s v="1900"/>
    <s v="OCOI1"/>
    <s v="2228 29 9158 00 020"/>
    <x v="1"/>
    <s v="Medium"/>
    <s v="Vacant Medical/Office Space"/>
    <s v="https://www.loopnet.com/Listing/2702-Rew-Cir-Ocoee-FL/20805631/"/>
    <s v="https://www.google.com/maps/search/2702+Rew+Ci,+FL"/>
    <m/>
    <x v="0"/>
    <x v="0"/>
    <x v="0"/>
    <x v="3"/>
  </r>
  <r>
    <n v="3"/>
    <x v="77"/>
    <x v="3"/>
    <s v="2022/03"/>
    <n v="510000"/>
    <n v="202.06022187004754"/>
    <n v="2524"/>
    <n v="2524"/>
    <s v="Witt Dermatology (Dr. Amy Witt)"/>
    <s v="1966"/>
    <s v="19"/>
    <m/>
    <s v="2129 04 514 0C00 0050"/>
    <x v="1"/>
    <s v="High"/>
    <s v="**Witt Dermatology (Dr. Amy Witt)**"/>
    <s v="https://www.derrowdermatology.com/our-office/"/>
    <s v="https://www.google.com/maps/search/?api=1&amp;query=2721+SR+434+W+Seminole+FL"/>
    <m/>
    <x v="2"/>
    <x v="0"/>
    <x v="5"/>
    <x v="4"/>
  </r>
  <r>
    <n v="3"/>
    <x v="78"/>
    <x v="2"/>
    <s v="2024/05"/>
    <n v="2414000"/>
    <n v="134.11111111111111"/>
    <n v="18000"/>
    <n v="18720"/>
    <s v="Kind Ventures LLC"/>
    <s v="1983"/>
    <s v="1911"/>
    <s v="OCR"/>
    <s v="2529 10 0000 0160 0000"/>
    <x v="1"/>
    <s v="High"/>
    <s v="Mayfair Pet Hospital (Veterinary)"/>
    <s v="https://mayfairpetvets.com/"/>
    <s v="https://www.google.com/maps/search/2744+N+Orange+Blossom+Trl+Osceola+FL"/>
    <m/>
    <x v="2"/>
    <x v="0"/>
    <x v="4"/>
    <x v="0"/>
  </r>
  <r>
    <n v="3"/>
    <x v="79"/>
    <x v="0"/>
    <s v="2022/08"/>
    <n v="4900000"/>
    <n v="850.69444444444446"/>
    <n v="5760"/>
    <n v="7120"/>
    <s v="Adventist Health System/Sunbelt Inc Attn: Adventhealth Accounting Dept"/>
    <s v="1971"/>
    <s v="1900"/>
    <s v="ORLMU1"/>
    <s v="2229 13 2784 01 031"/>
    <x v="1"/>
    <s v="High"/>
    <s v="**AdventHealth (Hospital Support/Admin)**"/>
    <s v="https://npiregistry.cms.hhs.gov/provider-view/1841680733"/>
    <s v="https://www.google.com/maps/search/2905+Mcrae+Av+Orange+FL"/>
    <m/>
    <x v="2"/>
    <x v="1"/>
    <x v="5"/>
    <x v="3"/>
  </r>
  <r>
    <n v="3"/>
    <x v="80"/>
    <x v="0"/>
    <s v="2022/04"/>
    <n v="4030000"/>
    <n v="494.59990181639665"/>
    <n v="8148"/>
    <n v="8250"/>
    <s v="PremierMED Family Practice &amp; Sports Medicine"/>
    <s v="2018"/>
    <s v="1900"/>
    <s v="OCOPUD"/>
    <s v="2228 32 5475 00 040"/>
    <x v="1"/>
    <s v="High"/>
    <s v="**PremierMED Family Practice &amp; Sports Medicine**"/>
    <s v="https://www.premierfsm.com/contact/ocoee/"/>
    <s v="https://www.google.com/maps/search/2940+Maguire+Rd,+FL"/>
    <m/>
    <x v="1"/>
    <x v="0"/>
    <x v="5"/>
    <x v="2"/>
  </r>
  <r>
    <n v="3"/>
    <x v="81"/>
    <x v="0"/>
    <s v="2023/08"/>
    <n v="846000"/>
    <n v="328.0341217526173"/>
    <n v="2579"/>
    <n v="2609"/>
    <s v="The Dermatology Group PA"/>
    <s v="1984"/>
    <s v="1900"/>
    <s v="ORLO2/"/>
    <s v="2229 13 7108 01 070"/>
    <x v="1"/>
    <s v="High"/>
    <s v="**The Dermatology Group PA**"/>
    <s v="https://www.dermgroup.net/"/>
    <s v="https://www.google.com/maps/search/300+Hazel+St+E+Orange+FL"/>
    <m/>
    <x v="2"/>
    <x v="0"/>
    <x v="3"/>
    <x v="4"/>
  </r>
  <r>
    <n v="3"/>
    <x v="82"/>
    <x v="0"/>
    <s v="2020/09"/>
    <n v="1987500"/>
    <n v="311.08154640788854"/>
    <n v="6389"/>
    <n v="6421"/>
    <s v="Adventist Health System/Sunbelt Inc Attn: Adventhealth Accounting Dept"/>
    <s v="1994"/>
    <s v="1900"/>
    <s v="ORLMU1"/>
    <s v="2229 13 0540 01 011"/>
    <x v="1"/>
    <s v="High"/>
    <s v="AdventHealth Medical Group Pediatric Rheumatology at Orlando"/>
    <s v="https://www.adventhealth.com/practice/adventhealth-medical-group/find-a-location?page=68"/>
    <s v="https://www.google.com/maps/search/3000+Orange+Av+N+Orange+FL"/>
    <m/>
    <x v="2"/>
    <x v="0"/>
    <x v="2"/>
    <x v="2"/>
  </r>
  <r>
    <n v="3"/>
    <x v="83"/>
    <x v="2"/>
    <s v="2021/11"/>
    <n v="925000"/>
    <n v="155.46218487394958"/>
    <n v="5950"/>
    <n v="6440"/>
    <s v="Radiology and Imaging Specialists (RIS)"/>
    <s v="2022"/>
    <s v="1911"/>
    <s v="KMPU"/>
    <s v="2529 05 1882 0001 0060"/>
    <x v="1"/>
    <s v="High"/>
    <s v="**Radiology and Imaging Specialists (RIS)**"/>
    <s v="https://www.medicai.io/medical-imaging-providers/radiology-and-imaging-specialists-kissimmee-kissimmee-florida"/>
    <s v="https://www.google.com/maps/search/3016+Dyer+Blvd+Osceola+FL"/>
    <m/>
    <x v="1"/>
    <x v="0"/>
    <x v="0"/>
    <x v="3"/>
  </r>
  <r>
    <n v="3"/>
    <x v="84"/>
    <x v="1"/>
    <s v="2022/07"/>
    <n v="399000"/>
    <n v="199.5"/>
    <n v="2000"/>
    <n v="2355"/>
    <s v="Center for Ankle &amp; Foot Care (Podiatry)"/>
    <s v="2008"/>
    <s v="1900"/>
    <m/>
    <s v="1924 26 3900 056 00101"/>
    <x v="1"/>
    <s v="High"/>
    <s v="**Center for Ankle &amp; Foot Care (Podiatry)**"/>
    <s v="https://www.centeranklefootcare.com/"/>
    <s v="https://www.google.com/maps?q=305+Childs+St+S+Lake,+FL"/>
    <m/>
    <x v="0"/>
    <x v="0"/>
    <x v="5"/>
    <x v="4"/>
  </r>
  <r>
    <n v="3"/>
    <x v="85"/>
    <x v="1"/>
    <s v="2020/08"/>
    <n v="810000"/>
    <n v="322.96650717703352"/>
    <n v="2508"/>
    <n v="2603"/>
    <s v="307 Lagrande LLC"/>
    <s v="1988"/>
    <s v="1900"/>
    <m/>
    <s v="1824 07 0001 000 00105"/>
    <x v="1"/>
    <s v="High"/>
    <s v="Lady Lake Dentist - Universal Smiles Dentistry Villages"/>
    <s v="https://www.universalsmilesdentistry.com/The-Villages"/>
    <s v="https://www.google.com/maps?q=307+Lagrande+Blvd+Lake,+FL"/>
    <m/>
    <x v="2"/>
    <x v="0"/>
    <x v="2"/>
    <x v="4"/>
  </r>
  <r>
    <n v="3"/>
    <x v="86"/>
    <x v="0"/>
    <s v="2023/03"/>
    <n v="1100000"/>
    <n v="373.51443123938878"/>
    <n v="2945"/>
    <n v="3484"/>
    <s v="No longer Dr. Renee J. Mueller, MD (Colon and Rectal)"/>
    <s v="1980"/>
    <s v="1900"/>
    <s v="ORLO2/"/>
    <s v="2229 13 6652 00 050"/>
    <x v="1"/>
    <s v="High"/>
    <s v="No longer Dr. Renee J. Mueller, MD (Colon and Rectal)**"/>
    <s v="https://www.orlandohealth.com/physician-finder/renee-mueller-md"/>
    <s v="https://www.google.com/maps/search/308+Groveland+St+Orange+FL"/>
    <m/>
    <x v="2"/>
    <x v="0"/>
    <x v="3"/>
    <x v="4"/>
  </r>
  <r>
    <n v="3"/>
    <x v="87"/>
    <x v="1"/>
    <s v="2022/12"/>
    <n v="650000"/>
    <n v="135.41666666666666"/>
    <n v="4800"/>
    <n v="4832"/>
    <s v="Davis Family Hearing Inc"/>
    <s v="1996"/>
    <s v="1800"/>
    <m/>
    <s v="1824 21 0003 000 05000"/>
    <x v="1"/>
    <s v="High"/>
    <s v="Davis Family Hearing"/>
    <s v="https://davisfamilyhearing.com/"/>
    <s v="https://www.google.com/maps?q=309+Orange+St+Lake,+FL"/>
    <m/>
    <x v="2"/>
    <x v="0"/>
    <x v="5"/>
    <x v="3"/>
  </r>
  <r>
    <n v="3"/>
    <x v="88"/>
    <x v="1"/>
    <s v="2020/09"/>
    <n v="670000"/>
    <n v="135.40824575586095"/>
    <n v="4948"/>
    <n v="5250"/>
    <s v="Burleigh Getting Started LLC"/>
    <s v="1977"/>
    <s v="1900"/>
    <m/>
    <s v="1926 29 0700 000 00002"/>
    <x v="1"/>
    <s v="Medium"/>
    <s v="Vacant Dental Office (Built-out)"/>
    <s v="https://www.loopnet.com/Listing/320-W-Burleigh-Blvd-Tavares-FL/18724440/"/>
    <s v="https://www.google.com/maps/search/32032+Burleigh+Blvd+W+Tavares+FL"/>
    <m/>
    <x v="2"/>
    <x v="0"/>
    <x v="2"/>
    <x v="3"/>
  </r>
  <r>
    <n v="3"/>
    <x v="89"/>
    <x v="3"/>
    <s v="2021/12"/>
    <n v="486500"/>
    <n v="112.61574074074075"/>
    <n v="4320"/>
    <n v="4320"/>
    <s v="321 Maitland Avenue LLC &amp; Healthventures Etal"/>
    <s v="1976"/>
    <s v="19"/>
    <m/>
    <s v="2129 13 506 0E00 0050"/>
    <x v="1"/>
    <s v="High"/>
    <s v="Kidz and Family Care LLC"/>
    <s v="https://www.kidzandfamilykare.com/"/>
    <s v="https://www.google.com/maps/search/?api=1&amp;query=321+Maitland+%23+1000+Ave+Seminole+FL"/>
    <m/>
    <x v="2"/>
    <x v="0"/>
    <x v="0"/>
    <x v="3"/>
  </r>
  <r>
    <n v="3"/>
    <x v="90"/>
    <x v="1"/>
    <s v="2020/07"/>
    <n v="210000"/>
    <n v="108.63942058975685"/>
    <n v="1933"/>
    <n v="2665"/>
    <s v="Lake Square Chiropractic Pa"/>
    <s v="1955"/>
    <s v="1700"/>
    <m/>
    <s v="1925 23 0002 000 02200"/>
    <x v="1"/>
    <s v="High"/>
    <s v="Lake Square Chiropractic"/>
    <s v="https://lake-square-chiropractic-p-a.wheree.com/"/>
    <s v="https://maps.google.com/?cid=2331465531235136251&amp;g_mp=Cidnb29nbGUubWFwcy5wbGFjZXMudjEuUGxhY2VzLlNlYXJjaFRleHQ"/>
    <m/>
    <x v="2"/>
    <x v="0"/>
    <x v="2"/>
    <x v="4"/>
  </r>
  <r>
    <n v="3"/>
    <x v="91"/>
    <x v="3"/>
    <s v="2020/03"/>
    <n v="780000"/>
    <n v="87.84773060029282"/>
    <n v="8879"/>
    <n v="8879"/>
    <s v="Casselberry Vec LLC"/>
    <s v="2023"/>
    <s v="1902"/>
    <m/>
    <s v="2130 08 510 EA00 0200"/>
    <x v="1"/>
    <s v="High"/>
    <s v="Veterinary Emergency Clinic of Central Florida"/>
    <s v="https://veconline.com/locations/casselberry/"/>
    <s v="https://www.google.com/maps/search/?api=1&amp;query=3352+US+Hwy+17+92+S+Seminole+FL"/>
    <m/>
    <x v="1"/>
    <x v="1"/>
    <x v="2"/>
    <x v="2"/>
  </r>
  <r>
    <n v="3"/>
    <x v="92"/>
    <x v="0"/>
    <s v="2023/09"/>
    <n v="850000"/>
    <n v="332.68101761252444"/>
    <n v="2555"/>
    <n v="2555"/>
    <s v="Flossophy Commercial LLC"/>
    <s v="1965"/>
    <s v="1900"/>
    <s v="ORLO1/"/>
    <s v="2229 11 7620 00 130"/>
    <x v="1"/>
    <s v="High"/>
    <s v="Hillcrest Dental"/>
    <s v="https://www.carecredit.com/doctor-locator/orlando-fl/hillcrest-dental-222gct/"/>
    <s v="https://www.google.com/maps/search/3600+Formosa+Av+Orange+FL"/>
    <m/>
    <x v="2"/>
    <x v="0"/>
    <x v="3"/>
    <x v="4"/>
  </r>
  <r>
    <n v="3"/>
    <x v="93"/>
    <x v="1"/>
    <s v="2025/04"/>
    <n v="2050000"/>
    <n v="341.66666666666669"/>
    <n v="6000"/>
    <n v="7100"/>
    <s v="Deukmedjian Armen And Robin De"/>
    <s v="2007"/>
    <s v="1900"/>
    <m/>
    <s v="1926 26 0701 000 00600"/>
    <x v="1"/>
    <s v="High"/>
    <s v="**Deuk Spine Institute (Dr. Deukmedjian)**"/>
    <s v="https://physiciansimaging.com/locations/mount-dora/"/>
    <s v="https://www.google.com/maps?q=3615+Lake+Center+Dr+Lake,+FL"/>
    <m/>
    <x v="0"/>
    <x v="0"/>
    <x v="1"/>
    <x v="2"/>
  </r>
  <r>
    <n v="3"/>
    <x v="94"/>
    <x v="0"/>
    <s v="2023/12"/>
    <n v="800000"/>
    <n v="328.54209445585218"/>
    <n v="2435"/>
    <n v="2435"/>
    <s v="Florida Emergency Medicine Foundation"/>
    <s v="1945"/>
    <s v="1700"/>
    <s v="ORGPO"/>
    <s v="2229 02 4168 00 210"/>
    <x v="1"/>
    <s v="High"/>
    <s v="**Florida Emergency Medicine Foundation**"/>
    <s v="https://fcep.org/contact/"/>
    <s v="https://www.google.com/maps/search/400+Wymore+Rd+N,+FL"/>
    <m/>
    <x v="2"/>
    <x v="0"/>
    <x v="3"/>
    <x v="4"/>
  </r>
  <r>
    <n v="3"/>
    <x v="95"/>
    <x v="0"/>
    <s v="2025/08"/>
    <n v="830900"/>
    <n v="136.21311475409837"/>
    <n v="6100"/>
    <n v="6330"/>
    <s v="4020 Edgewater LLC"/>
    <s v="2024"/>
    <s v="1700"/>
    <s v="ORGRST"/>
    <s v="2229 10 8828 06 130"/>
    <x v="1"/>
    <s v="High"/>
    <s v="Vacant / New Construction (Office/Medical Shell)"/>
    <s v="https://www.crexi.com/properties/1749832/florida-4020-edgewater-dr-orlando-fl-32804"/>
    <s v="https://www.google.com/maps/search/4020+Edgewater+Dr+Orange+FL"/>
    <m/>
    <x v="1"/>
    <x v="1"/>
    <x v="1"/>
    <x v="2"/>
  </r>
  <r>
    <n v="3"/>
    <x v="96"/>
    <x v="0"/>
    <s v="2025/05"/>
    <n v="2000000"/>
    <n v="351.61744022503518"/>
    <n v="5688"/>
    <n v="5723"/>
    <s v="Galvan Victor M"/>
    <s v="1986"/>
    <s v="1700"/>
    <s v="APKMUD"/>
    <s v="2128 09 7544 02 030"/>
    <x v="1"/>
    <s v="Medium"/>
    <s v="South Apopka Medical Office (Vacant/Leasing)"/>
    <s v="https://www.loopnet.com/Listing/404-W-Orange-Blossom-Tr-Apopka-FL/28471952/"/>
    <s v="https://www.google.com/maps/search/404+Orange+Blossom+Tr+W,+FL"/>
    <m/>
    <x v="2"/>
    <x v="0"/>
    <x v="1"/>
    <x v="3"/>
  </r>
  <r>
    <n v="3"/>
    <x v="97"/>
    <x v="3"/>
    <s v="2024/08"/>
    <n v="725000"/>
    <n v="241.66666666666666"/>
    <n v="3000"/>
    <n v="3000"/>
    <s v="Metricsmed Pr LLC"/>
    <n v="1999"/>
    <s v="19"/>
    <m/>
    <s v="2030 17 507 0000 0140"/>
    <x v="1"/>
    <s v="High"/>
    <s v="Rejuve Health Clinics Inc"/>
    <s v="https://www.bbb.org/us/fl/lake-mary/profile/hormone-replacement-therapy/rejuve-health-clinics-inc-0733-90335543"/>
    <s v="https://www.google.com/maps?q=405+Waymont+Ct+Seminole,+FL"/>
    <m/>
    <x v="0"/>
    <x v="0"/>
    <x v="4"/>
    <x v="3"/>
  </r>
  <r>
    <n v="3"/>
    <x v="98"/>
    <x v="3"/>
    <s v="2022/03"/>
    <n v="625000"/>
    <n v="231.56724712856612"/>
    <n v="2699"/>
    <n v="2699"/>
    <s v="Health 2050 LLC"/>
    <n v="1989"/>
    <s v="1905"/>
    <m/>
    <s v="2030 07 509 0000 0010"/>
    <x v="1"/>
    <s v="High"/>
    <s v="HCA Florida Lake Mary Primary Care"/>
    <s v="https://www.hcafloridaphysicians.com/locations/lake-mary-primary-care/"/>
    <s v="https://www.google.com/maps?q=4106+Lake+Mary+%23100+Blvd+W+Seminole,+FL"/>
    <m/>
    <x v="2"/>
    <x v="0"/>
    <x v="5"/>
    <x v="4"/>
  </r>
  <r>
    <n v="3"/>
    <x v="99"/>
    <x v="3"/>
    <s v="2020/07"/>
    <n v="535200"/>
    <n v="227.06830717013153"/>
    <n v="2357"/>
    <n v="2357"/>
    <s v="Mdo Property LLC"/>
    <n v="1989"/>
    <s v="1905"/>
    <m/>
    <s v="2030 07 509 0000 2880"/>
    <x v="1"/>
    <s v="High"/>
    <s v="The Florida Society of Plastic Surgeons_x000a_Edgar Sosa, D.O."/>
    <s v="https://www.fsps.org/doctors/edgar-sosa-do/"/>
    <s v="https://www.google.com/maps?q=4106+Lake+Mary+%23212+Blvd+W+Seminole,+FL"/>
    <m/>
    <x v="2"/>
    <x v="0"/>
    <x v="2"/>
    <x v="4"/>
  </r>
  <r>
    <n v="3"/>
    <x v="100"/>
    <x v="3"/>
    <s v="2024/09"/>
    <n v="780000"/>
    <n v="296.01518026565464"/>
    <n v="2635"/>
    <n v="2635"/>
    <s v="Huoli Holdings LLC"/>
    <n v="1989"/>
    <s v="1905"/>
    <m/>
    <s v="2030 07 509 0000 3860"/>
    <x v="1"/>
    <s v="High"/>
    <s v="AdventHealth Surgery (Dr. Nathan Deangelis)"/>
    <s v="https://www.adventhealth.com/find-doctor/doctor/nathan-deangelis-do-1316139454"/>
    <s v="https://www.google.com/maps?q=4106+Lake+Mary+%23330+Blvd+W+Seminole,+FL"/>
    <m/>
    <x v="2"/>
    <x v="0"/>
    <x v="4"/>
    <x v="4"/>
  </r>
  <r>
    <n v="3"/>
    <x v="101"/>
    <x v="0"/>
    <s v="2024/05"/>
    <n v="585000"/>
    <n v="127.45098039215686"/>
    <n v="4590"/>
    <n v="5490"/>
    <s v="Collins Construction Consulting Hold"/>
    <s v="1966"/>
    <s v="1700"/>
    <s v="APKMUD"/>
    <s v="2128 10 0000 00 051"/>
    <x v="1"/>
    <s v="High"/>
    <s v="**Owner-Occupied Dental Office** / Beauty Salon"/>
    <s v="https://www.kwsouthshore.com/listings/listing/416-e-main-st-apopka-fl--O6171656/"/>
    <s v="https://www.google.com/maps/search/416+Main+St+E,+FL"/>
    <m/>
    <x v="2"/>
    <x v="0"/>
    <x v="4"/>
    <x v="3"/>
  </r>
  <r>
    <n v="3"/>
    <x v="102"/>
    <x v="1"/>
    <s v="2021/10"/>
    <n v="620000"/>
    <n v="238.55328972681801"/>
    <n v="2599"/>
    <n v="2599"/>
    <s v="Heritage Dental Real Estate Ho"/>
    <s v="1992"/>
    <s v="1900"/>
    <m/>
    <s v="1824 17 0001 000 06200"/>
    <x v="1"/>
    <s v="High"/>
    <s v="Heritage Dental (Dr. Kuhn)"/>
    <s v="https://www.heritagedentaloffice.com/"/>
    <s v="https://www.google.com/maps?q=422+Teague+Trl+Lake,+FL"/>
    <m/>
    <x v="2"/>
    <x v="0"/>
    <x v="0"/>
    <x v="4"/>
  </r>
  <r>
    <n v="3"/>
    <x v="103"/>
    <x v="3"/>
    <s v="2022/03"/>
    <n v="2269900"/>
    <n v="355.56077694235591"/>
    <n v="6384"/>
    <n v="6384"/>
    <s v="R &amp; M Oviedo Property LLC"/>
    <s v="2008"/>
    <s v="19"/>
    <m/>
    <s v="2131 22 511 0000 0070"/>
    <x v="1"/>
    <s v="High"/>
    <s v="Complete Care Oviedo"/>
    <s v="https://www.complete-care.com/locations/complete-care-oviedo/"/>
    <s v="https://www.google.com/maps/search/?api=1&amp;query=425+Alexandria+Blvd+Seminole+FL"/>
    <m/>
    <x v="0"/>
    <x v="0"/>
    <x v="5"/>
    <x v="2"/>
  </r>
  <r>
    <n v="3"/>
    <x v="104"/>
    <x v="1"/>
    <s v="2023/06"/>
    <n v="525000"/>
    <n v="243.05555555555554"/>
    <n v="2160"/>
    <n v="2300"/>
    <s v="Heritage Dental Real Estate Ho"/>
    <s v="1994"/>
    <s v="1700"/>
    <m/>
    <s v="1824 17 0001 000 07100"/>
    <x v="1"/>
    <s v="High"/>
    <s v="Heritage Dental (Expansion)"/>
    <s v="https://www.heritagedentaloffice.com/"/>
    <s v="https://www.google.com/maps?q=426+Teague+Trl+Lake,+FL"/>
    <m/>
    <x v="2"/>
    <x v="0"/>
    <x v="3"/>
    <x v="4"/>
  </r>
  <r>
    <n v="3"/>
    <x v="105"/>
    <x v="3"/>
    <s v="2024/12"/>
    <n v="850000"/>
    <n v="358.19637589549092"/>
    <n v="2373"/>
    <n v="2373"/>
    <s v="Lime To Orange Dental LLC"/>
    <s v="1986"/>
    <s v="19"/>
    <m/>
    <s v="2130 28 300 0310 0000"/>
    <x v="1"/>
    <s v="High"/>
    <s v="HOPE Dental Implant Center"/>
    <s v="https://hopedentalimplantcenter.com/location"/>
    <s v="https://www.google.com/maps/search/?api=1&amp;query=429+Lake+Howell+Rd+Seminole+FL"/>
    <m/>
    <x v="2"/>
    <x v="0"/>
    <x v="4"/>
    <x v="4"/>
  </r>
  <r>
    <n v="3"/>
    <x v="106"/>
    <x v="0"/>
    <s v="2021/10"/>
    <n v="428300"/>
    <n v="96.096028718869192"/>
    <n v="4457"/>
    <n v="6461"/>
    <s v="Newman Plastic Surgery"/>
    <s v="1967"/>
    <s v="1900"/>
    <s v="ORLO1/"/>
    <s v="2229 25 2508 01 091"/>
    <x v="1"/>
    <s v="High"/>
    <s v="**Newman Plastic Surgery**"/>
    <s v="https://newmanplasticsurgery.com/about-us/meet-dr-newman"/>
    <s v="https://www.google.com/maps/search/444+Mills+Av+N+Orange+FL"/>
    <m/>
    <x v="2"/>
    <x v="1"/>
    <x v="0"/>
    <x v="3"/>
  </r>
  <r>
    <n v="3"/>
    <x v="107"/>
    <x v="0"/>
    <s v="2024/09"/>
    <n v="448100"/>
    <n v="130.79392877991828"/>
    <n v="3426"/>
    <n v="3590"/>
    <s v="6Gamms LLC"/>
    <s v="1981"/>
    <s v="1900"/>
    <s v="APKCC"/>
    <s v="2128 05 0000 00 016"/>
    <x v="1"/>
    <s v="High"/>
    <s v="A Soft Touch in Family Dental Care"/>
    <s v="https://www.patientconnect365.com/Dentists/Florida/Apopka/32712/A_Soft_Touch_in_Family_Dental_Care__Dr_John_Gammichia_kvo8lh"/>
    <s v="https://www.google.com/maps/search/450+Errol+Pk,+FL"/>
    <m/>
    <x v="2"/>
    <x v="0"/>
    <x v="4"/>
    <x v="3"/>
  </r>
  <r>
    <n v="3"/>
    <x v="108"/>
    <x v="3"/>
    <s v="2020/10"/>
    <n v="400000"/>
    <n v="166.66666666666666"/>
    <n v="2400"/>
    <n v="2400"/>
    <s v="Kim Chiropractic Clinic"/>
    <s v="1995"/>
    <s v="19"/>
    <m/>
    <s v="2129 10 531 0000 0010"/>
    <x v="1"/>
    <s v="High"/>
    <s v="**Kim Chiropractic Clinic**"/>
    <s v="https://www.carecredit.com/doctor-locator/altamonte-springs-fl/kim-chiropractic-clinic-pa-378tsf/"/>
    <s v="https://www.google.com/maps/search/?api=1&amp;query=462+Central+%23+1000+Pkwy+W+Seminole+FL"/>
    <m/>
    <x v="0"/>
    <x v="0"/>
    <x v="2"/>
    <x v="4"/>
  </r>
  <r>
    <n v="3"/>
    <x v="109"/>
    <x v="3"/>
    <s v="2023/01"/>
    <n v="786000"/>
    <n v="123.39089481946625"/>
    <n v="6370"/>
    <n v="6370"/>
    <s v="Orlando Dermatology Center (Dr. Blatnoy)"/>
    <s v="2007"/>
    <s v="19"/>
    <m/>
    <s v="2130 17 506 0D00 0040"/>
    <x v="1"/>
    <s v="High"/>
    <s v="Orlando Dermatology Center (Dr. Blatnoy)**"/>
    <s v="https://www.orlandodermatologycenter.com/location/casselberry-fl"/>
    <s v="https://www.google.com/maps/search/?api=1&amp;query=4970+US+Hwy+17+92+S+Seminole+FL"/>
    <m/>
    <x v="0"/>
    <x v="0"/>
    <x v="3"/>
    <x v="2"/>
  </r>
  <r>
    <n v="3"/>
    <x v="110"/>
    <x v="3"/>
    <s v="2021/05"/>
    <n v="2853400"/>
    <n v="686.73886883273167"/>
    <n v="4155"/>
    <n v="4155"/>
    <s v="Terracina Dental Care"/>
    <n v="2020"/>
    <s v="19"/>
    <m/>
    <s v="1930 30 516 0000 0C10"/>
    <x v="1"/>
    <s v="High"/>
    <s v="**Terracina Dental Care**"/>
    <s v="https://terracinadentalcare.com/"/>
    <s v="https://maps.google.com/?cid=10149550922434441126&amp;g_mp=Cidnb29nbGUubWFwcy5wbGFjZXMudjEuUGxhY2VzLlNlYXJjaFRleHQ"/>
    <m/>
    <x v="1"/>
    <x v="1"/>
    <x v="0"/>
    <x v="3"/>
  </r>
  <r>
    <n v="3"/>
    <x v="111"/>
    <x v="0"/>
    <s v="2025/06"/>
    <n v="3200000"/>
    <n v="147.50622291877937"/>
    <n v="21694"/>
    <n v="22786"/>
    <s v="Tighten Down Investment Group Inc"/>
    <s v="1978"/>
    <s v="1900"/>
    <s v="ORGC2"/>
    <s v="2229 02 0000 00 062"/>
    <x v="1"/>
    <s v="High"/>
    <s v="**Central Florida Dreamplex (Disability Therapy)**"/>
    <s v="https://vgispublic.ocpafl.org/webmapjs/?pid=292202000000062"/>
    <s v="https://www.google.com/maps/search/5165+Adanson+St,+FL"/>
    <m/>
    <x v="2"/>
    <x v="1"/>
    <x v="1"/>
    <x v="1"/>
  </r>
  <r>
    <n v="3"/>
    <x v="112"/>
    <x v="3"/>
    <s v="2023/08"/>
    <n v="293000"/>
    <n v="127.66884531590414"/>
    <n v="2295"/>
    <n v="2295"/>
    <s v="Orlando Health General Surgery"/>
    <s v="1984"/>
    <s v="1905"/>
    <m/>
    <s v="2030 31 510 0100 06A0"/>
    <x v="1"/>
    <s v="High"/>
    <s v="**Orlando Health General Surgery**"/>
    <s v="https://www.orlandohealth.com/"/>
    <s v="https://www.google.com/maps/search/?api=1&amp;query=521+SR+434+%23+101+W+Seminole+FL"/>
    <m/>
    <x v="2"/>
    <x v="0"/>
    <x v="3"/>
    <x v="4"/>
  </r>
  <r>
    <n v="2"/>
    <x v="113"/>
    <x v="3"/>
    <s v="2024/07"/>
    <n v="420000"/>
    <n v="152.39477503628447"/>
    <n v="2756"/>
    <n v="2756"/>
    <s v="Orlando Health Inc"/>
    <s v="1984"/>
    <s v="1905"/>
    <m/>
    <s v="2030 31 510 0100 0030"/>
    <x v="1"/>
    <s v="High"/>
    <s v="**Orlando Health Urology**"/>
    <s v="https://www.orlandohealth.com/"/>
    <s v="https://www.google.com/maps/search/?api=1&amp;query=521+SR+434+%23+106+W+Seminole+FL"/>
    <m/>
    <x v="2"/>
    <x v="0"/>
    <x v="4"/>
    <x v="4"/>
  </r>
  <r>
    <n v="3"/>
    <x v="114"/>
    <x v="0"/>
    <s v="2025/03"/>
    <n v="3200000"/>
    <n v="893.85474860335194"/>
    <n v="3580"/>
    <n v="4021"/>
    <s v="Anton Rx LLC"/>
    <s v="1983"/>
    <s v="1900"/>
    <s v="WGC1"/>
    <s v="2227 23 2888 01 040"/>
    <x v="1"/>
    <s v="Medium"/>
    <s v="**Anton Rx (Pharmacy)**"/>
    <s v="https://search.sunbiz.org/Inquiry/corporationsearch/SearchResultDetail?inquirytype=EntityName&amp;directionType=Initial&amp;searchNameOrder=ANTONRX%20L210004523910"/>
    <s v="https://www.google.com/maps/search/54+Plant+St+E,+FL"/>
    <m/>
    <x v="2"/>
    <x v="1"/>
    <x v="1"/>
    <x v="3"/>
  </r>
  <r>
    <n v="3"/>
    <x v="115"/>
    <x v="0"/>
    <s v="2022/11"/>
    <n v="900000"/>
    <n v="253.52112676056339"/>
    <n v="3550"/>
    <n v="3733"/>
    <s v="Med Consult One Properties LLC"/>
    <s v="2024"/>
    <s v="1900"/>
    <s v="ORGPD"/>
    <s v="2327 20 2717 02 000"/>
    <x v="1"/>
    <s v="High"/>
    <s v="Horizons OBGYN &amp; Aesthetics"/>
    <s v="https://biz.wochamber.com/list/member/horizons-obgyn-30930"/>
    <s v="https://www.google.com/maps/search/5802+Citrus+Village+Bl,+FL"/>
    <m/>
    <x v="1"/>
    <x v="0"/>
    <x v="5"/>
    <x v="3"/>
  </r>
  <r>
    <n v="3"/>
    <x v="116"/>
    <x v="3"/>
    <s v="2021/12"/>
    <n v="537000"/>
    <n v="224.87437185929647"/>
    <n v="2388"/>
    <n v="2388"/>
    <s v="Plaza Dental (Dr. Efrain Plaza)"/>
    <s v="1979"/>
    <s v="19"/>
    <m/>
    <s v="2129 12 5BD 6900 001A"/>
    <x v="1"/>
    <s v="High"/>
    <s v="**Plaza Dental (Dr. Efrain Plaza)**"/>
    <s v="https://altamonte-dental-care.wheree.com/"/>
    <s v="https://www.google.com/maps/search/?api=1&amp;query=590+Palm+Springs+Dr+Seminole+FL"/>
    <m/>
    <x v="2"/>
    <x v="0"/>
    <x v="0"/>
    <x v="4"/>
  </r>
  <r>
    <n v="3"/>
    <x v="117"/>
    <x v="2"/>
    <s v="2020/12"/>
    <n v="1186500"/>
    <n v="263.37402885682576"/>
    <n v="4505"/>
    <n v="4857"/>
    <s v="Rhm Investments II LLC"/>
    <s v="1991"/>
    <s v="1911"/>
    <s v="KB5"/>
    <s v="2529 21 1809 0001 0070"/>
    <x v="1"/>
    <s v="High"/>
    <s v="HCA Florida Osceola Urology"/>
    <s v="https://www.hcafloridaphysicians.com/locations/osceola-urology/kissimmee"/>
    <s v="https://www.google.com/maps/search/591+Oak+Commons+Blvd+Osceola+FL"/>
    <m/>
    <x v="2"/>
    <x v="0"/>
    <x v="2"/>
    <x v="3"/>
  </r>
  <r>
    <n v="3"/>
    <x v="118"/>
    <x v="1"/>
    <s v="2021/08"/>
    <n v="275000"/>
    <n v="123.87387387387388"/>
    <n v="2220"/>
    <n v="2835"/>
    <s v="Living Angels LLC"/>
    <s v="1975"/>
    <s v="1900"/>
    <m/>
    <s v="1926 02 0100 00C 00400"/>
    <x v="1"/>
    <s v="High"/>
    <s v="Daisy's Physical Therapy _x000a_+Wellness Center"/>
    <s v="https://www.daisysphysicaltherapy.com/"/>
    <s v="https://www.google.com/maps?q=601+Grove+St+N+Lake,+FL"/>
    <m/>
    <x v="2"/>
    <x v="0"/>
    <x v="0"/>
    <x v="4"/>
  </r>
  <r>
    <n v="3"/>
    <x v="119"/>
    <x v="0"/>
    <s v="2020/06"/>
    <n v="1270100"/>
    <n v="257.41791649777059"/>
    <n v="4934"/>
    <n v="5107"/>
    <s v="Optum - Lake Ivanhoe (Primary Care)"/>
    <s v="1983"/>
    <s v="1900"/>
    <s v="ORLMU1"/>
    <s v="2229 24 4476 00 017"/>
    <x v="1"/>
    <s v="High"/>
    <s v="**Optum - Lake Ivanhoe (Primary Care)**"/>
    <s v="https://www.healthgrades.com/group-directory/fl-florida/orlando/optum-lake-ivanhoe-xqkhm9"/>
    <s v="https://www.google.com/maps/search/609+Virginia+Dr+Orange+FL"/>
    <m/>
    <x v="2"/>
    <x v="0"/>
    <x v="2"/>
    <x v="3"/>
  </r>
  <r>
    <n v="3"/>
    <x v="120"/>
    <x v="0"/>
    <s v="2023/05"/>
    <n v="965900"/>
    <n v="148.41733251382914"/>
    <n v="6508"/>
    <n v="6724"/>
    <s v="Maximized Living Health Center (Chiropractic)"/>
    <s v="2008"/>
    <s v="1800"/>
    <s v="ORGC3"/>
    <s v="2228 36 6416 03 010"/>
    <x v="1"/>
    <s v="High"/>
    <s v="**Maximized Living Health Center (Chiropractic)**"/>
    <s v="https://www.maxliving.com/clinic/maxliving-chiropractic-orlando"/>
    <s v="https://www.google.com/maps/search/6404+Old+Winter+Garden+Rd,+FL"/>
    <m/>
    <x v="0"/>
    <x v="0"/>
    <x v="3"/>
    <x v="2"/>
  </r>
  <r>
    <n v="3"/>
    <x v="121"/>
    <x v="3"/>
    <s v="2022/03"/>
    <n v="560000"/>
    <n v="240.13722126929673"/>
    <n v="2332"/>
    <n v="2332"/>
    <s v="AdventHealth Medical Group (Family Medicine)"/>
    <s v="2004"/>
    <s v="1905"/>
    <m/>
    <s v="2129 13 523 0000 1200"/>
    <x v="1"/>
    <s v="High"/>
    <s v="**AdventHealth Medical Group (Family Medicine)**"/>
    <s v="https://www.adventhealth.com/find-doctor/doctor/john-g-durham-dpm-1235103268"/>
    <s v="https://www.google.com/maps/search/?api=1&amp;query=661+Altamonte+%23+120+Dr+E+Seminole+FL"/>
    <m/>
    <x v="0"/>
    <x v="0"/>
    <x v="5"/>
    <x v="4"/>
  </r>
  <r>
    <n v="3"/>
    <x v="122"/>
    <x v="3"/>
    <s v="2024/01"/>
    <n v="1040000"/>
    <n v="238.91569032850907"/>
    <n v="4353"/>
    <n v="4353"/>
    <s v="Adventist Health System/Sunbelt Inc"/>
    <s v="1989"/>
    <s v="1905"/>
    <m/>
    <s v="2129 13 523 0000 2100"/>
    <x v="1"/>
    <s v="High"/>
    <s v="**AdventHealth Medical Group (Family Medicine)**"/>
    <s v="https://www.adventhealth.com/find-doctor/doctor/john-g-durham-dpm-1235103268"/>
    <s v="https://www.google.com/maps/search/?api=1&amp;query=661+Altamonte+%23+210+Dr+E+Seminole+FL"/>
    <m/>
    <x v="2"/>
    <x v="0"/>
    <x v="4"/>
    <x v="3"/>
  </r>
  <r>
    <n v="3"/>
    <x v="123"/>
    <x v="2"/>
    <s v="2020/10"/>
    <n v="2450000"/>
    <n v="714.70245040840143"/>
    <n v="3428"/>
    <n v="3649"/>
    <s v="State Housing &amp; Development Inc"/>
    <s v="1989"/>
    <s v="1911"/>
    <s v="KMPU"/>
    <s v="2529 22 1496 0001 0030"/>
    <x v="1"/>
    <s v="High"/>
    <s v="**Yes! Dental Associates**"/>
    <s v="https://www.carecredit.com/doctor-locator/kissimmee-fl/yes-dental-associates-of-florida-885jxq/"/>
    <s v="https://www.google.com/maps/search/701+E+Oak+St+Osceola+FL"/>
    <m/>
    <x v="2"/>
    <x v="1"/>
    <x v="2"/>
    <x v="3"/>
  </r>
  <r>
    <n v="3"/>
    <x v="124"/>
    <x v="1"/>
    <s v="2023/10"/>
    <n v="750000"/>
    <n v="157.72870662460568"/>
    <n v="4755"/>
    <n v="4952"/>
    <s v="Leesburg Regional Medical Cent"/>
    <s v="2002"/>
    <s v="1900"/>
    <m/>
    <s v="1924 25 1050 000 00200"/>
    <x v="1"/>
    <s v="High"/>
    <s v="Medical"/>
    <s v="https://ufhealth.org/locations/uf-health-surgical-specialists-leesburg-medical-plaza"/>
    <s v="https://www.google.com/maps?q=705+Doctors+Ct+Lake,+FL"/>
    <m/>
    <x v="0"/>
    <x v="0"/>
    <x v="3"/>
    <x v="3"/>
  </r>
  <r>
    <n v="3"/>
    <x v="125"/>
    <x v="0"/>
    <s v="2025/05"/>
    <n v="1550000"/>
    <n v="317.75317753177529"/>
    <n v="4878"/>
    <n v="10005"/>
    <s v="Aids Healthcare Foundation Inc"/>
    <s v="1960"/>
    <s v="1700"/>
    <s v="ORLMU1"/>
    <s v="2229 24 1524 00 140"/>
    <x v="1"/>
    <s v="High"/>
    <s v="**AIDS Healthcare Foundation (AHF) Pharmacy**"/>
    <s v="https://www.aidshealth.org/locations/fl-orlando-rx/"/>
    <s v="https://www.google.com/maps/search/707+Colonial+Dr+E+Orange+FL"/>
    <m/>
    <x v="2"/>
    <x v="0"/>
    <x v="1"/>
    <x v="3"/>
  </r>
  <r>
    <n v="3"/>
    <x v="126"/>
    <x v="2"/>
    <s v="2025/01"/>
    <n v="1300000"/>
    <n v="324.02791625124627"/>
    <n v="4012"/>
    <n v="4292"/>
    <s v="Bada Ventures LLC"/>
    <s v="1989"/>
    <s v="1911"/>
    <s v="KB5"/>
    <s v="2529 21 1809 0001 0110"/>
    <x v="1"/>
    <s v="High"/>
    <s v="**Advanced Kidney Care of Central Florida**"/>
    <s v="https://gastrohealth.com/locations/kissimmee"/>
    <s v="https://www.google.com/maps/search/710+Oak+Commons+Blvd+Osceola+FL"/>
    <m/>
    <x v="2"/>
    <x v="0"/>
    <x v="1"/>
    <x v="3"/>
  </r>
  <r>
    <n v="3"/>
    <x v="127"/>
    <x v="2"/>
    <s v="2021/06"/>
    <n v="1570000"/>
    <n v="332.69760542487813"/>
    <n v="4719"/>
    <n v="4975"/>
    <s v="Abl Capital LLC"/>
    <s v="1989"/>
    <s v="1911"/>
    <s v="KB5"/>
    <s v="2529 21 1809 0001 0120"/>
    <x v="1"/>
    <s v="High"/>
    <s v="Hannum Vascular Clinic &amp; Vein Treatment Center"/>
    <s v="https://www.hcafloridahealthcare.com/physicians/profile/Dr-Scott-R-Hannum-DO"/>
    <s v="https://www.google.com/maps/search/720+Oak+Commons+Blvd+Osceola+FL"/>
    <m/>
    <x v="2"/>
    <x v="0"/>
    <x v="0"/>
    <x v="3"/>
  </r>
  <r>
    <n v="3"/>
    <x v="128"/>
    <x v="2"/>
    <s v="2025/10"/>
    <n v="1745000"/>
    <n v="351.60185371750958"/>
    <n v="4963"/>
    <n v="5296"/>
    <s v="Dna Kissimmee LLC"/>
    <s v="1989"/>
    <s v="1911"/>
    <s v="KB5"/>
    <s v="2529 21 1809 0001 0010"/>
    <x v="1"/>
    <s v="High"/>
    <s v="**Kidney Care of Central Florida**"/>
    <s v="https://www.floridakidneycare.com/"/>
    <s v="https://www.google.com/maps/search/721+Oak+Commons+Blvd+Osceola+FL"/>
    <m/>
    <x v="2"/>
    <x v="0"/>
    <x v="1"/>
    <x v="3"/>
  </r>
  <r>
    <n v="3"/>
    <x v="129"/>
    <x v="0"/>
    <s v="2025/04"/>
    <n v="2097400"/>
    <n v="1048.7"/>
    <n v="2000"/>
    <n v="2080"/>
    <s v="Radiance Health Rx LLC"/>
    <s v="1973"/>
    <s v="1700"/>
    <s v="ORLMU1"/>
    <s v="2229 13 9429 02 310"/>
    <x v="1"/>
    <s v="High"/>
    <s v="**Radiance Health Rx (Pharmacy &amp; Wellness)**"/>
    <s v="https://www.wellrx.com/find-a-pharmacy-near-me/pharmacydetail/radiance%20health%20rx/5739771/"/>
    <s v="https://vgispublic.ocpafl.org/webmapjs/?pid=292213942902310"/>
    <m/>
    <x v="2"/>
    <x v="1"/>
    <x v="1"/>
    <x v="4"/>
  </r>
  <r>
    <n v="3"/>
    <x v="130"/>
    <x v="0"/>
    <s v="2022/05"/>
    <n v="649000"/>
    <n v="224.5674740484429"/>
    <n v="2890"/>
    <n v="2906"/>
    <s v="C &amp; Jc Electrical Services Inc"/>
    <s v="2003"/>
    <s v="1900"/>
    <s v="ORGPO"/>
    <s v="2228 24 6240 01 360"/>
    <x v="1"/>
    <s v="High"/>
    <s v="PIECAR COMMUNITY HEALTH CARE LLC"/>
    <s v="https://quality.healthfinder.fl.gov/Facility-Provider/Profile/?LID=517292"/>
    <s v="https://www.google.com/maps/search/724+Charles+St,+FL"/>
    <m/>
    <x v="0"/>
    <x v="0"/>
    <x v="5"/>
    <x v="4"/>
  </r>
  <r>
    <n v="3"/>
    <x v="131"/>
    <x v="1"/>
    <s v="2021/02"/>
    <n v="1100000"/>
    <n v="269.60784313725492"/>
    <n v="4080"/>
    <n v="4556"/>
    <s v="Martinez Cruz Medical Assoc Of"/>
    <s v="2009"/>
    <s v="1900"/>
    <m/>
    <s v="1824 18 0200 000 14000"/>
    <x v="1"/>
    <s v="High"/>
    <s v="Martinez Cruz Medical Associates"/>
    <s v="https://www.loopnet.com/Listing/741-CR-466-Lady-Lake-FL/30425850/"/>
    <s v="https://www.google.com/maps?q=741+County+Road+466+Lake,+FL"/>
    <m/>
    <x v="0"/>
    <x v="0"/>
    <x v="0"/>
    <x v="3"/>
  </r>
  <r>
    <n v="3"/>
    <x v="132"/>
    <x v="0"/>
    <s v="2021/03"/>
    <n v="900000"/>
    <n v="152.54237288135593"/>
    <n v="5900"/>
    <n v="6304"/>
    <s v="741 South Dillard LLC"/>
    <s v="1970"/>
    <s v="1900"/>
    <s v="WGC2"/>
    <s v="2227 23 6504 07 072"/>
    <x v="1"/>
    <s v="High"/>
    <s v="Ability Rehabilitation (Physical Therapy)"/>
    <s v="https://abilityrehabilitation.com/winter-garden-clinic/"/>
    <s v="https://www.google.com/maps/search/741+Dillard+St+S,+FL"/>
    <m/>
    <x v="2"/>
    <x v="0"/>
    <x v="0"/>
    <x v="3"/>
  </r>
  <r>
    <n v="3"/>
    <x v="133"/>
    <x v="3"/>
    <s v="2022/10"/>
    <n v="650000"/>
    <n v="253.11526479750779"/>
    <n v="2568"/>
    <n v="2568"/>
    <s v="Benevolent Street LLC C/O Vitaly Blatnoy"/>
    <s v="2008"/>
    <s v="1905"/>
    <m/>
    <s v="2131 20 506 0000 1014"/>
    <x v="1"/>
    <s v="High"/>
    <s v="Orlando Dermatology Center"/>
    <s v="https://www.orlandodermatologycenter.com/location/oviedo-fl"/>
    <s v="https://www.google.com/maps/search/?api=1&amp;query=7560+Red+Bug+Lake+%23+1014+Rd+Seminole+FL"/>
    <m/>
    <x v="0"/>
    <x v="0"/>
    <x v="5"/>
    <x v="4"/>
  </r>
  <r>
    <n v="3"/>
    <x v="134"/>
    <x v="3"/>
    <s v="2022/02"/>
    <n v="580000"/>
    <n v="239.27392739273927"/>
    <n v="2424"/>
    <n v="2424"/>
    <s v="HealthShare / Med-Surg Aesthetics"/>
    <s v="2008"/>
    <s v="1905"/>
    <m/>
    <s v="2131 20 506 0000 1080"/>
    <x v="1"/>
    <s v="High"/>
    <s v="**HealthShare / Med-Surg Aesthetics**"/>
    <s v="https://www.loopnet.com/Listing/7560-Red-Bug-Lake-Rd-Oviedo-FL/4491979/"/>
    <s v="https://www.google.com/maps/search/?api=1&amp;query=7560+Red+Bug+Lake+%23+1080+Rd+Seminole+FL"/>
    <m/>
    <x v="0"/>
    <x v="0"/>
    <x v="5"/>
    <x v="4"/>
  </r>
  <r>
    <n v="3"/>
    <x v="135"/>
    <x v="3"/>
    <s v="2022/09"/>
    <n v="1650000"/>
    <n v="402.046783625731"/>
    <n v="4104"/>
    <n v="4104"/>
    <s v="La Mantia Family 2001 Trust"/>
    <n v="2006"/>
    <s v="1905"/>
    <m/>
    <s v="2030 06 513 0000 0100"/>
    <x v="1"/>
    <s v="High"/>
    <s v="PRC Alliance Pain Relief Centers"/>
    <s v="https://prc-alliance.com/locations/"/>
    <s v="https://www.google.com/maps?q=761+Stirling+Center+Pl+Seminole,+FL"/>
    <m/>
    <x v="0"/>
    <x v="0"/>
    <x v="5"/>
    <x v="3"/>
  </r>
  <r>
    <n v="3"/>
    <x v="136"/>
    <x v="0"/>
    <s v="2023/06"/>
    <n v="1100000"/>
    <n v="250.62656641604011"/>
    <n v="4389"/>
    <n v="4697"/>
    <s v="Bk Realty Holding Company LLC"/>
    <s v="1956"/>
    <s v="1700"/>
    <s v="ORLO1/"/>
    <s v="2229 24 7060 03 010"/>
    <x v="1"/>
    <s v="Medium"/>
    <s v="Ferncreek Professional Center"/>
    <s v="https://www.tdscommercialre.com/properties"/>
    <s v="https://www.google.com/maps/search/800+Fern+Creek+Av+N+Orange+FL"/>
    <m/>
    <x v="2"/>
    <x v="0"/>
    <x v="3"/>
    <x v="3"/>
  </r>
  <r>
    <n v="3"/>
    <x v="137"/>
    <x v="2"/>
    <s v="2024/11"/>
    <n v="800000"/>
    <n v="157.82205563227461"/>
    <n v="5069"/>
    <n v="5754"/>
    <s v="Dial Party LLC"/>
    <s v="1969"/>
    <s v="1711"/>
    <s v="KB5"/>
    <s v="2529 21 1920 000Y 0010"/>
    <x v="1"/>
    <s v="High"/>
    <s v="**Astha Health Services (Hospitalist Group)**"/>
    <s v="https://asthahealth.com/contact-us/"/>
    <s v="https://www.google.com/maps/search/804+Emmett+St+Osceola+FL"/>
    <m/>
    <x v="2"/>
    <x v="0"/>
    <x v="4"/>
    <x v="3"/>
  </r>
  <r>
    <n v="3"/>
    <x v="138"/>
    <x v="3"/>
    <s v="2025/01"/>
    <n v="825000"/>
    <n v="320.5128205128205"/>
    <n v="2574"/>
    <n v="2574"/>
    <s v="Mombodmed Holdings LLC"/>
    <s v="2004"/>
    <s v="19"/>
    <m/>
    <s v="2131 16 513 0000 0110"/>
    <x v="1"/>
    <s v="High"/>
    <m/>
    <m/>
    <s v="https://www.google.com/maps/search/?api=1&amp;query=816+Executive+Dr+Seminole+FL"/>
    <m/>
    <x v="0"/>
    <x v="0"/>
    <x v="1"/>
    <x v="4"/>
  </r>
  <r>
    <n v="3"/>
    <x v="139"/>
    <x v="2"/>
    <s v="2020/10"/>
    <n v="2450000"/>
    <n v="418.9466484268126"/>
    <n v="5848"/>
    <n v="6266"/>
    <s v="Yes! Dental Associates"/>
    <s v="1995"/>
    <s v="1911"/>
    <s v="KMPU"/>
    <s v="2529 22 1505 0001 027A"/>
    <x v="1"/>
    <s v="High"/>
    <s v="**Akumin (Radiology &amp; Imaging)**"/>
    <s v="https://www.carecredit.com/doctor-locator/kissimmee-fl/akumin-kissimmee-334jkf/"/>
    <s v="https://www.google.com/maps/search/819+E+Oak+St+Osceola+FL"/>
    <m/>
    <x v="0"/>
    <x v="0"/>
    <x v="2"/>
    <x v="3"/>
  </r>
  <r>
    <n v="3"/>
    <x v="140"/>
    <x v="0"/>
    <s v="2023/02"/>
    <n v="2000000"/>
    <n v="301.7046311660884"/>
    <n v="6629"/>
    <n v="7252"/>
    <s v="J&amp;G Investment Group Vc I LLC"/>
    <s v="1992"/>
    <s v="1900"/>
    <s v="ORGPD"/>
    <s v="2428 34 3857 00 011"/>
    <x v="1"/>
    <s v="High"/>
    <s v="BUENA VISTA URGENT CARE"/>
    <s v="https://quality.healthfinder.fl.gov/Facility-Provider/Profile/?LID=374972"/>
    <s v="https://www.google.com/maps/search/8200+World+Center+Dr,+FL"/>
    <m/>
    <x v="2"/>
    <x v="0"/>
    <x v="3"/>
    <x v="2"/>
  </r>
  <r>
    <n v="3"/>
    <x v="141"/>
    <x v="2"/>
    <s v="2024/10"/>
    <n v="1550000"/>
    <n v="325.97266035751841"/>
    <n v="4755"/>
    <n v="5138"/>
    <s v="N &amp; A Holdings LLC"/>
    <s v="1993"/>
    <s v="1911"/>
    <s v="KMPU"/>
    <s v="2529 22 1488 0001 0240"/>
    <x v="1"/>
    <s v="High"/>
    <s v="ELITE MEDICAL ASSOCIATES, LLC"/>
    <s v="https://npiregistry.cms.hhs.gov/provider-view/1255527735"/>
    <s v="https://www.google.com/maps/search/829+E+Oak+St+Osceola+FL"/>
    <m/>
    <x v="2"/>
    <x v="0"/>
    <x v="4"/>
    <x v="3"/>
  </r>
  <r>
    <n v="3"/>
    <x v="142"/>
    <x v="2"/>
    <s v="2025/03"/>
    <n v="800000"/>
    <n v="327.46623004502663"/>
    <n v="2443"/>
    <n v="2508"/>
    <s v="Hand Oak LLC"/>
    <s v="1996"/>
    <s v="1911"/>
    <s v="KMPU"/>
    <s v="2529 22 1488 0001 0230"/>
    <x v="1"/>
    <s v="High"/>
    <s v="**Sanitas Medical Center (Urgent/Primary Care)**"/>
    <s v="https://mysanitas.com/en/fl/sanitas-kissimmee-oak"/>
    <s v="https://www.google.com/maps/search/833+E+Oak+St+Osceola+FL"/>
    <m/>
    <x v="2"/>
    <x v="0"/>
    <x v="1"/>
    <x v="4"/>
  </r>
  <r>
    <n v="3"/>
    <x v="143"/>
    <x v="3"/>
    <s v="2022/07"/>
    <n v="685000"/>
    <n v="152.22222222222223"/>
    <n v="4500"/>
    <n v="4094"/>
    <s v="Tooth Fairy Properties LLC"/>
    <n v="2023"/>
    <s v="19"/>
    <m/>
    <s v="2030 06 520 0000 0060"/>
    <x v="1"/>
    <s v="High"/>
    <s v="Dunwoody Dental (Dr. Amy Mosseri)"/>
    <s v="https://www.dunwoodydental.net/"/>
    <s v="https://www.google.com/maps?q=870+Rinehart+Rd+Seminole,+FL"/>
    <m/>
    <x v="1"/>
    <x v="0"/>
    <x v="5"/>
    <x v="3"/>
  </r>
  <r>
    <n v="3"/>
    <x v="144"/>
    <x v="3"/>
    <s v="2020/07"/>
    <n v="533000"/>
    <n v="221.16182572614107"/>
    <n v="2410"/>
    <n v="2410"/>
    <s v="Dadbod Med Holdings LLC"/>
    <s v="2001"/>
    <s v="19"/>
    <m/>
    <s v="2131 16 513 0000 0040"/>
    <x v="1"/>
    <s v="High"/>
    <s v="Family Tree Primary Care"/>
    <s v="https://www.familytreeprimarycare.com/"/>
    <s v="https://www.google.com/maps/search/?api=1&amp;query=872+Executive+Dr+Seminole+FL"/>
    <m/>
    <x v="0"/>
    <x v="0"/>
    <x v="2"/>
    <x v="4"/>
  </r>
  <r>
    <n v="3"/>
    <x v="145"/>
    <x v="2"/>
    <s v="2023/09"/>
    <n v="1800000"/>
    <n v="294.45444135449043"/>
    <n v="6113"/>
    <n v="6326"/>
    <s v="901 E Oak Land Trust Cfl Land Trustee LLC Tr"/>
    <s v="1992"/>
    <s v="1911"/>
    <s v="KMPU"/>
    <s v="2529 22 1496 0001 0140"/>
    <x v="1"/>
    <s v="High"/>
    <s v="Osceola Cardio Pulmonary Clinic"/>
    <s v="https://www.healthgrades.com/group-directory/fl-florida/kissimmee/osceola-cardio-pulmonary-clinic-u3ykvh2"/>
    <s v="https://www.google.com/maps/search/901+E+Oak+St+Osceola+FL"/>
    <m/>
    <x v="2"/>
    <x v="0"/>
    <x v="3"/>
    <x v="2"/>
  </r>
  <r>
    <n v="3"/>
    <x v="146"/>
    <x v="2"/>
    <s v="2024/11"/>
    <n v="840000"/>
    <n v="271.14267269205942"/>
    <n v="3098"/>
    <n v="3918"/>
    <s v="Mabbette Holdings LLC"/>
    <s v="1924"/>
    <s v="1911"/>
    <s v="KRB2"/>
    <s v="2529 21 1191 0001 0010"/>
    <x v="1"/>
    <s v="High"/>
    <s v="**Park Place Behavioral Health**"/>
    <s v="https://www.myfloridalegal.com/vicitm-services-providers/park-place-behavioral-health-care"/>
    <s v="https://www.google.com/maps/search/908+Mabbette+St+Osceola+FL"/>
    <m/>
    <x v="2"/>
    <x v="0"/>
    <x v="4"/>
    <x v="3"/>
  </r>
  <r>
    <n v="3"/>
    <x v="147"/>
    <x v="2"/>
    <s v="2021/12"/>
    <n v="530000"/>
    <n v="240.36281179138322"/>
    <n v="2205"/>
    <n v="2269"/>
    <s v="Live Implant Training (Dental Implant Center)"/>
    <s v="1983"/>
    <s v="1911"/>
    <s v="KB5"/>
    <s v="2529 21 1920 000Z 0010"/>
    <x v="1"/>
    <s v="High"/>
    <s v="**Live Implant Training (Dental Implant Center)**"/>
    <s v="https://liveimplanttraining.com/contact-live-implants/"/>
    <s v="https://www.google.com/maps/search/914+Emmett+St+Osceola+FL"/>
    <m/>
    <x v="2"/>
    <x v="0"/>
    <x v="0"/>
    <x v="4"/>
  </r>
  <r>
    <n v="3"/>
    <x v="148"/>
    <x v="2"/>
    <s v="2025/07"/>
    <n v="700000"/>
    <n v="326.34032634032633"/>
    <n v="2145"/>
    <n v="2533"/>
    <s v="Kids Therapy Tower LLC"/>
    <s v="1959"/>
    <s v="1711"/>
    <s v="KRB2"/>
    <s v="2529 21 1920 00EE 0020"/>
    <x v="1"/>
    <s v="High"/>
    <s v="**Kids Therapy Tower / Acorn Health (ABA Therapy)**"/>
    <s v="https://kidstherapytower.com/about-us/"/>
    <s v="https://www.google.com/maps/search/916+Bryan+St+Osceola+FL"/>
    <m/>
    <x v="2"/>
    <x v="0"/>
    <x v="1"/>
    <x v="4"/>
  </r>
  <r>
    <n v="3"/>
    <x v="149"/>
    <x v="3"/>
    <s v="2024/07"/>
    <n v="4225000"/>
    <n v="479.56867196367762"/>
    <n v="8810"/>
    <n v="8810"/>
    <s v="Akkr Investments LLC"/>
    <n v="2005"/>
    <s v="1905"/>
    <m/>
    <s v="2030 05 519 0000 2870"/>
    <x v="1"/>
    <s v="High"/>
    <s v="SimonMed Imaging (Lake Mary II)"/>
    <s v="https://www.simonmed.com/locations/fl/florida-lake-mary-ii/"/>
    <s v="https://www.google.com/maps?q=917+Rinehart+%231051+Rd+Seminole,+FL"/>
    <m/>
    <x v="0"/>
    <x v="1"/>
    <x v="4"/>
    <x v="2"/>
  </r>
  <r>
    <n v="3"/>
    <x v="150"/>
    <x v="3"/>
    <s v="2022/06"/>
    <n v="742000"/>
    <n v="285.38461538461536"/>
    <n v="2600"/>
    <n v="2600"/>
    <s v="Real Belle Holding LLC"/>
    <n v="2017"/>
    <s v="1905"/>
    <m/>
    <s v="2030 06 522 0000 0030"/>
    <x v="1"/>
    <s v="High"/>
    <s v="Nu Body Orlando (Med Spa)"/>
    <s v="https://nubodyorlando.com/"/>
    <s v="https://www.google.com/maps?q=922+Williston+Park+Pt+Seminole,+FL"/>
    <m/>
    <x v="1"/>
    <x v="0"/>
    <x v="5"/>
    <x v="4"/>
  </r>
  <r>
    <n v="3"/>
    <x v="151"/>
    <x v="1"/>
    <s v="2021/01"/>
    <n v="494000"/>
    <n v="166.21803499327052"/>
    <n v="2972"/>
    <n v="2988"/>
    <s v="Gc Smiles LLC"/>
    <s v="1977"/>
    <s v="1700"/>
    <m/>
    <s v="1924 26 1700 028 00900"/>
    <x v="1"/>
    <s v="High"/>
    <s v="Leesburg Signature Smiles"/>
    <s v="https://www.leesburgsignaturesmiles.com/"/>
    <s v="https://www.google.com/maps?q=923+Dixie+Ave+W+Lake,+FL"/>
    <m/>
    <x v="2"/>
    <x v="0"/>
    <x v="0"/>
    <x v="4"/>
  </r>
  <r>
    <n v="3"/>
    <x v="152"/>
    <x v="0"/>
    <s v="2023/06"/>
    <n v="720000"/>
    <n v="364.37246963562751"/>
    <n v="1976"/>
    <n v="2087"/>
    <s v="Dream Dental Properties LLC"/>
    <s v="1957"/>
    <s v="1900"/>
    <s v="MTLMX"/>
    <s v="2129 25 0000 00 021"/>
    <x v="1"/>
    <s v="High"/>
    <s v="Vacant &quot;Turnkey&quot; Medical Buildout"/>
    <s v="https://www.ronsellsthebeach.com/property-search/detail/240/O6341577/926-n-maitland-ave-maitland-fl-32751/"/>
    <s v="https://www.google.com/maps/search/926+Maitland+Av+N,+FL"/>
    <m/>
    <x v="2"/>
    <x v="0"/>
    <x v="3"/>
    <x v="4"/>
  </r>
  <r>
    <n v="3"/>
    <x v="153"/>
    <x v="3"/>
    <s v="2022/08"/>
    <n v="1200000"/>
    <n v="266.96329254727476"/>
    <n v="4495"/>
    <n v="4495"/>
    <s v="Markham Woods Animal Hospital (Veterinary)"/>
    <n v="2003"/>
    <s v="1905"/>
    <m/>
    <s v="2030 06 510 0200 00D0"/>
    <x v="1"/>
    <s v="High"/>
    <s v="Arise Autism Center"/>
    <s v="https://ariseautismcenter.com/"/>
    <s v="https://www.google.com/maps?q=930+Williston+Park+Pt+Seminole,+FL"/>
    <m/>
    <x v="0"/>
    <x v="0"/>
    <x v="5"/>
    <x v="3"/>
  </r>
  <r>
    <n v="3"/>
    <x v="154"/>
    <x v="3"/>
    <s v="2020/11"/>
    <n v="1150000"/>
    <n v="275.64717162032599"/>
    <n v="4172"/>
    <n v="4172"/>
    <s v="Lake Mary Surgical Suite LLC"/>
    <n v="2017"/>
    <s v="19"/>
    <m/>
    <s v="2030 06 300 007X 0000"/>
    <x v="1"/>
    <s v="High"/>
    <s v="Heathrow Surgery Center (Eye Specialists)"/>
    <s v="https://www.heathrowsc.com/"/>
    <s v="https://www.google.com/maps?q=942+International+Pkwy+Seminole,+FL"/>
    <m/>
    <x v="1"/>
    <x v="0"/>
    <x v="2"/>
    <x v="3"/>
  </r>
  <r>
    <n v="3"/>
    <x v="155"/>
    <x v="0"/>
    <s v="2021/10"/>
    <n v="1365500"/>
    <n v="410.30649038461536"/>
    <n v="3328"/>
    <n v="4909"/>
    <s v="950 Dillard LLC"/>
    <s v="1998"/>
    <s v="1700"/>
    <s v="WGC2"/>
    <s v="2227 23 7824 00 260"/>
    <x v="1"/>
    <s v="High"/>
    <s v="Gentiva Hospice"/>
    <s v="https://allianceforcareathome.org/nahc_provider/gentiva-hospice-winter-garden/"/>
    <s v="https://www.google.com/maps/search/950+Dillard+St+S,+FL"/>
    <m/>
    <x v="0"/>
    <x v="0"/>
    <x v="0"/>
    <x v="3"/>
  </r>
  <r>
    <n v="3"/>
    <x v="156"/>
    <x v="3"/>
    <s v="2021/12"/>
    <n v="1200000"/>
    <n v="342.95513003715348"/>
    <n v="3499"/>
    <n v="3499"/>
    <s v="Sunbird Endodontic Associates Pllc"/>
    <s v="2000"/>
    <s v="19"/>
    <m/>
    <s v="2131 16 514 0A02 0000"/>
    <x v="1"/>
    <s v="High"/>
    <s v="Oviedo Endodontics"/>
    <s v="https://www.oviedoendo.com/contact-us/"/>
    <s v="https://www.google.com/maps/search/?api=1&amp;query=997+Broadway+St+W+Seminole+FL"/>
    <m/>
    <x v="0"/>
    <x v="0"/>
    <x v="0"/>
    <x v="3"/>
  </r>
  <r>
    <n v="3"/>
    <x v="157"/>
    <x v="0"/>
    <s v="2021/12"/>
    <n v="7750000"/>
    <n v="179.94798922633973"/>
    <n v="43068"/>
    <n v="44902"/>
    <s v="Nemours Children's Health"/>
    <s v="1982"/>
    <s v="1800"/>
    <s v="MTLMX"/>
    <s v="2129 25 0000 00 035"/>
    <x v="2"/>
    <s v="High"/>
    <s v="**Nemours Children's Health**"/>
    <s v="https://www.nemours.org/locations/florida-primary-care-pediatrician-maitland.html"/>
    <s v="https://www.google.com/maps/search/100+Sybelia+Av+E,+FL"/>
    <m/>
    <x v="2"/>
    <x v="0"/>
    <x v="0"/>
    <x v="1"/>
  </r>
  <r>
    <n v="3"/>
    <x v="158"/>
    <x v="3"/>
    <s v="2024/12"/>
    <n v="3425000"/>
    <n v="267.8292148889584"/>
    <n v="12788"/>
    <n v="12788"/>
    <s v="1000 Executive Dr LLC"/>
    <s v="1989"/>
    <s v="19"/>
    <m/>
    <s v="2131 16 513 0000 0010"/>
    <x v="2"/>
    <s v="High"/>
    <s v="**Modern Foot &amp; Ankle**"/>
    <s v="https://modern-foot-and-ankle-3.wheree.com/"/>
    <s v="https://www.google.com/maps/search/?api=1&amp;query=1000+Executive+Dr+Seminole+FL"/>
    <m/>
    <x v="2"/>
    <x v="0"/>
    <x v="4"/>
    <x v="0"/>
  </r>
  <r>
    <n v="3"/>
    <x v="159"/>
    <x v="0"/>
    <s v="2021/08"/>
    <n v="4918100"/>
    <n v="281.5813580671018"/>
    <n v="17466"/>
    <n v="22828"/>
    <s v="West Orange Professional Center"/>
    <s v="2001"/>
    <s v="1900"/>
    <s v="OCOC2"/>
    <s v="2228 20 0000 00 051"/>
    <x v="2"/>
    <s v="High"/>
    <s v="**West Orange Professional Center**"/>
    <m/>
    <s v="https://www.google.com/maps/search/10131+Colonial+Dr+W,+FL"/>
    <m/>
    <x v="0"/>
    <x v="0"/>
    <x v="0"/>
    <x v="0"/>
  </r>
  <r>
    <n v="3"/>
    <x v="160"/>
    <x v="3"/>
    <s v="2021/07"/>
    <n v="2285000"/>
    <n v="223.58121330724072"/>
    <n v="10220"/>
    <n v="10220"/>
    <s v="Winter Springs Endodontics"/>
    <s v="2004"/>
    <s v="19"/>
    <m/>
    <s v="2130 24 508 0000 0060"/>
    <x v="2"/>
    <s v="High"/>
    <s v="**Winter Springs Endodontics**"/>
    <s v="https://www.loopnet.com/Listing/1049-Willa-Springs-Dr-Winter-Springs-FL/28712543/"/>
    <s v="https://www.google.com/maps/search/?api=1&amp;query=1049+Willa+Springs+Dr+Seminole+FL"/>
    <s v="Mixed use; figure out which unit if possible"/>
    <x v="0"/>
    <x v="0"/>
    <x v="0"/>
    <x v="0"/>
  </r>
  <r>
    <m/>
    <x v="161"/>
    <x v="3"/>
    <s v="2022/05"/>
    <n v="4500000"/>
    <n v="247.25274725274724"/>
    <n v="18200"/>
    <n v="18200"/>
    <s v="Regal Pointe (Urology Wellness / Magruder Laser)"/>
    <n v="2006"/>
    <s v="1905"/>
    <m/>
    <s v="2030 18 520 0700 0000"/>
    <x v="2"/>
    <s v="High"/>
    <s v="**Regal Pointe (Urology Wellness / Magruder Laser)**"/>
    <m/>
    <s v="https://www.google.com/maps?q=1071+Sun+Dr+S+Seminole,+FL"/>
    <m/>
    <x v="0"/>
    <x v="0"/>
    <x v="5"/>
    <x v="0"/>
  </r>
  <r>
    <n v="3"/>
    <x v="162"/>
    <x v="0"/>
    <s v="2022/08"/>
    <n v="1600000"/>
    <n v="241.87452758881329"/>
    <n v="6615"/>
    <n v="7443"/>
    <s v="Maitland Surgery Center LLC"/>
    <s v="1997"/>
    <s v="1900"/>
    <s v="MTLPD"/>
    <s v="2129 25 0000 00 005"/>
    <x v="2"/>
    <s v="High"/>
    <s v="Eastham Medical Center"/>
    <m/>
    <s v="https://www.google.com/maps/search/1101+Maitland+Av+N,+FL"/>
    <m/>
    <x v="0"/>
    <x v="0"/>
    <x v="5"/>
    <x v="2"/>
  </r>
  <r>
    <n v="3"/>
    <x v="163"/>
    <x v="0"/>
    <s v="2023/02"/>
    <n v="1800000"/>
    <n v="179.24716191993627"/>
    <n v="10042"/>
    <n v="10618"/>
    <s v="Medical Office Development (Planned)"/>
    <s v="2024"/>
    <s v="1900"/>
    <s v="WGC2"/>
    <s v="2227 12 6496 28 002"/>
    <x v="2"/>
    <s v="High"/>
    <s v="**Medical Office Development (Planned)**"/>
    <s v="https://www.crexi.com/property-records/1207-DANIELS-WINTER-GARDEN-FL-34787/7098de1c88aa1c1be75e9a881083c5bb742ec848"/>
    <s v="https://www.google.com/maps/search/1207+Daniels+Rd,+FL"/>
    <m/>
    <x v="1"/>
    <x v="0"/>
    <x v="3"/>
    <x v="0"/>
  </r>
  <r>
    <n v="3"/>
    <x v="164"/>
    <x v="0"/>
    <s v="2021/11"/>
    <n v="7600000"/>
    <n v="246.90555862382638"/>
    <n v="30781"/>
    <n v="32341"/>
    <s v="12200 Colonial LLC"/>
    <s v="2000"/>
    <s v="1800"/>
    <s v="WGC2"/>
    <s v="2227 25 0000 00 035"/>
    <x v="2"/>
    <s v="High"/>
    <s v="Oral Surgery Center Of West Orlando"/>
    <s v="https://www.carecredit.com/doctor-locator/winter-garden-fl/oral-surgery-center-of-west-orlando-pqr222/"/>
    <s v="https://www.google.com/maps/search/12200+Colonial+Dr+W,+FL"/>
    <m/>
    <x v="0"/>
    <x v="0"/>
    <x v="0"/>
    <x v="1"/>
  </r>
  <r>
    <n v="3"/>
    <x v="165"/>
    <x v="0"/>
    <s v="2021/02"/>
    <n v="1900000"/>
    <n v="82.691387039213126"/>
    <n v="22977"/>
    <n v="25035"/>
    <s v="Verax Wg LLC"/>
    <s v="2022"/>
    <s v="1900"/>
    <s v="WGPCD"/>
    <s v="2227 24 6747 04 000"/>
    <x v="2"/>
    <s v="High"/>
    <s v="Winter Garden ObGyn / ENT &amp; Plastic Surgery"/>
    <s v="https://wgobgyn.com/"/>
    <s v="https://www.google.com/maps/search/12323+Colonial+Dr+W,+FL"/>
    <m/>
    <x v="1"/>
    <x v="1"/>
    <x v="0"/>
    <x v="1"/>
  </r>
  <r>
    <m/>
    <x v="166"/>
    <x v="0"/>
    <s v="2024/02"/>
    <n v="3200000"/>
    <n v="119.69776314805117"/>
    <n v="26734"/>
    <n v="30090"/>
    <s v="126 E Colonial LLC"/>
    <s v="1958"/>
    <s v="1800"/>
    <s v="ORLO3/"/>
    <s v="2229 25 5064 00 240"/>
    <x v="2"/>
    <s v="High"/>
    <s v="**Colonial Marketplace (Lifetime Eyecare)**"/>
    <m/>
    <s v="https://www.google.com/maps/search/126+Colonial+Dr+E+Orange+FL"/>
    <m/>
    <x v="2"/>
    <x v="1"/>
    <x v="4"/>
    <x v="1"/>
  </r>
  <r>
    <n v="3"/>
    <x v="167"/>
    <x v="0"/>
    <s v="2022/10"/>
    <n v="3518200"/>
    <n v="396.6403607666291"/>
    <n v="8870"/>
    <n v="9018"/>
    <s v="CAN Community Health / Miracle of Love"/>
    <s v="2005"/>
    <s v="1800"/>
    <s v="ORLO1/"/>
    <s v="2229 22 8252 06 010"/>
    <x v="2"/>
    <s v="High"/>
    <s v="**CAN Community Health / Miracle of Love**"/>
    <s v="https://www.cancommunityhealth.org/orlando/"/>
    <s v="https://www.google.com/maps/search/1301+Colonial+Dr+W+Orange+FL"/>
    <m/>
    <x v="0"/>
    <x v="0"/>
    <x v="5"/>
    <x v="2"/>
  </r>
  <r>
    <m/>
    <x v="168"/>
    <x v="0"/>
    <s v="2023/06"/>
    <n v="3900000"/>
    <n v="185.51110688293772"/>
    <n v="21023"/>
    <n v="21903"/>
    <s v="1400 Winter Park LLC"/>
    <s v="1970"/>
    <s v="1800"/>
    <s v="WPO1"/>
    <s v="2229 12 2932 03 120"/>
    <x v="2"/>
    <s v="High"/>
    <s v="Winter Park Medical Building "/>
    <m/>
    <s v="https://www.google.com/maps/search/1400+Orlando+Av+S+Orange+FL"/>
    <m/>
    <x v="2"/>
    <x v="0"/>
    <x v="3"/>
    <x v="1"/>
  </r>
  <r>
    <n v="3"/>
    <x v="169"/>
    <x v="0"/>
    <s v="2022/04"/>
    <n v="7125000"/>
    <n v="184.85846976104611"/>
    <n v="38543"/>
    <n v="40718"/>
    <s v="Salud Integral En La Montana (Medical Clinic)"/>
    <s v="1960"/>
    <s v="1800"/>
    <s v="ORLPD/"/>
    <s v="2229 24 7060 01 030"/>
    <x v="2"/>
    <s v="High"/>
    <s v="**Salud Integral En La Montana (Medical Clinic)**"/>
    <s v="https://www.myfloridalicense.com/LicenseDetail.asp?SID=&amp;id=1278E296699828CDB1BCDAEB825BA730"/>
    <s v="https://vgispublic.ocpafl.org/webmapjs/?pid=292224706001030"/>
    <m/>
    <x v="2"/>
    <x v="0"/>
    <x v="5"/>
    <x v="1"/>
  </r>
  <r>
    <n v="3"/>
    <x v="170"/>
    <x v="0"/>
    <s v="2022/04"/>
    <n v="4411500"/>
    <n v="83.654119654878158"/>
    <n v="52735"/>
    <n v="53328"/>
    <s v="AJH Complete Care (Primary Care)"/>
    <s v="1960"/>
    <s v="1800"/>
    <s v="ORLMU2"/>
    <s v="2229 25 1536 01 030"/>
    <x v="2"/>
    <s v="High"/>
    <s v="**AJH Complete Care (Primary Care)**"/>
    <s v="https://www.ajhcompletecarellc.org/contact-5"/>
    <s v="https://www.google.com/maps/search/1510+Colonial+Dr+E+Orange+FL"/>
    <m/>
    <x v="2"/>
    <x v="1"/>
    <x v="5"/>
    <x v="1"/>
  </r>
  <r>
    <m/>
    <x v="171"/>
    <x v="3"/>
    <s v="2021/05"/>
    <n v="7000000"/>
    <n v="176.76767676767676"/>
    <n v="39600"/>
    <n v="39600"/>
    <s v="Sovereign Capital LLC"/>
    <s v="2007"/>
    <s v="1803"/>
    <m/>
    <s v="2031 31 5BB 0000 019F"/>
    <x v="2"/>
    <s v="High"/>
    <s v="Vistawilla Office Center"/>
    <s v="https://www.loopnet.com/Listing/1511-E-State-Road-434-Winter-Springs-FL/35618226/"/>
    <s v="https://www.google.com/maps/search/?api=1&amp;query=1511+SR+434+%23+1001+E+Seminole+FL"/>
    <m/>
    <x v="0"/>
    <x v="0"/>
    <x v="0"/>
    <x v="1"/>
  </r>
  <r>
    <n v="3"/>
    <x v="172"/>
    <x v="0"/>
    <s v="2020/01"/>
    <n v="5600000"/>
    <n v="171.09162567596468"/>
    <n v="32731"/>
    <n v="33652"/>
    <s v="Sienna Gardens LLC"/>
    <s v="2000"/>
    <s v="1800"/>
    <s v="ORLO2"/>
    <s v="2228 36 5621 00 020"/>
    <x v="2"/>
    <s v="High"/>
    <s v="Sienna Gardens Park Center at Metro West (Medical &amp; Office)"/>
    <m/>
    <s v="https://www.google.com/maps/search/1701+Park+Center+Dr,+FL"/>
    <m/>
    <x v="0"/>
    <x v="0"/>
    <x v="2"/>
    <x v="1"/>
  </r>
  <r>
    <n v="3"/>
    <x v="173"/>
    <x v="0"/>
    <s v="2023/07"/>
    <n v="13200000"/>
    <n v="470.42052744119741"/>
    <n v="28060"/>
    <n v="30229"/>
    <s v="Central Florida Cardiology Group MEDICAL CENTER"/>
    <s v="2006"/>
    <s v="1900"/>
    <s v="ORLMU1"/>
    <s v="2229 24 5975 00 010"/>
    <x v="0"/>
    <s v="High"/>
    <s v="Central Florida Cardiology Group MEDICAL CENTER"/>
    <s v="https://www.cfcg.com/contact-us/"/>
    <s v="https://www.google.com/maps/search/1745+Mills+Av+N+Orange+FL"/>
    <m/>
    <x v="0"/>
    <x v="0"/>
    <x v="3"/>
    <x v="1"/>
  </r>
  <r>
    <n v="3"/>
    <x v="174"/>
    <x v="0"/>
    <s v="2023/04"/>
    <n v="2650000"/>
    <n v="201.67427701674276"/>
    <n v="13140"/>
    <n v="14276"/>
    <s v="Jareag 175 LLC"/>
    <s v="2006"/>
    <s v="1800"/>
    <s v="APKMUD"/>
    <s v="2128 10 8643 00 030"/>
    <x v="2"/>
    <s v="High"/>
    <s v="Gentry Building"/>
    <s v="https://www.loopnet.com/Listing/175-E-Main-St-Apopka-FL/31346793/"/>
    <s v="https://www.google.com/maps/search/175+Main+St+E,+FL"/>
    <m/>
    <x v="0"/>
    <x v="0"/>
    <x v="3"/>
    <x v="0"/>
  </r>
  <r>
    <n v="3"/>
    <x v="175"/>
    <x v="0"/>
    <s v="2023/03"/>
    <n v="5913600"/>
    <n v="238.42277143893884"/>
    <n v="24803"/>
    <n v="25208"/>
    <s v="Vpu Metrowest LLC"/>
    <s v="1997"/>
    <s v="1900"/>
    <s v="ORLO2"/>
    <s v="2328 01 5612 00 010"/>
    <x v="2"/>
    <s v="High"/>
    <s v="Metrowest Medical Center"/>
    <m/>
    <s v="https://www.google.com/maps/search/1781+Park+Center+Dr,+FL"/>
    <m/>
    <x v="2"/>
    <x v="0"/>
    <x v="3"/>
    <x v="1"/>
  </r>
  <r>
    <n v="3"/>
    <x v="176"/>
    <x v="0"/>
    <s v="2023/07"/>
    <n v="4875000"/>
    <n v="221.49023171285779"/>
    <n v="22010"/>
    <n v="22046"/>
    <s v="Apoli &amp; Javi Realty LLC"/>
    <s v="1990"/>
    <s v="1800"/>
    <s v="ORLAC2"/>
    <s v="2328 01 6519 00 020"/>
    <x v="2"/>
    <s v="High"/>
    <s v="SaludVIP Orlando"/>
    <s v="https://getvipcare.com/our-locations/orlando-metro-west"/>
    <s v="https://www.google.com/maps/search/1803+Park+Center+Dr,+FL"/>
    <m/>
    <x v="2"/>
    <x v="0"/>
    <x v="3"/>
    <x v="1"/>
  </r>
  <r>
    <n v="3"/>
    <x v="177"/>
    <x v="0"/>
    <s v="2022/12"/>
    <n v="4216800"/>
    <n v="200.81912563101247"/>
    <n v="20998"/>
    <n v="21805"/>
    <s v="Conquest Research (Medical Research Institute)"/>
    <s v="1971"/>
    <s v="1800"/>
    <s v="WPO1"/>
    <s v="2229 01 9180 00 050"/>
    <x v="2"/>
    <s v="High"/>
    <s v="**Conquest Research (Medical Research Institute)**"/>
    <s v="https://www.clinicalconnection.com/research-center-profile/view-profile/476547/conquest-research"/>
    <s v="https://www.google.com/maps/search/2233+Lee+Rd,+FL"/>
    <m/>
    <x v="2"/>
    <x v="0"/>
    <x v="5"/>
    <x v="1"/>
  </r>
  <r>
    <m/>
    <x v="178"/>
    <x v="0"/>
    <s v="2022/07"/>
    <n v="7000000"/>
    <n v="152.4589449841007"/>
    <n v="45914"/>
    <n v="54386"/>
    <s v="Pango Maitland LLC"/>
    <s v="1983"/>
    <s v="1800"/>
    <s v="MTLMX"/>
    <s v="2129 25 7216 00 401"/>
    <x v="2"/>
    <s v="High"/>
    <s v="341 N. Maitland Medical Center"/>
    <m/>
    <s v="https://www.google.com/maps/search/341+Maitland+Av+N,+FL"/>
    <m/>
    <x v="2"/>
    <x v="0"/>
    <x v="5"/>
    <x v="1"/>
  </r>
  <r>
    <n v="3"/>
    <x v="179"/>
    <x v="0"/>
    <s v="2023/07"/>
    <n v="3080000"/>
    <n v="283.03620657967286"/>
    <n v="10882"/>
    <n v="11431"/>
    <s v="Premier Cardiology &amp; Vascular Associates"/>
    <s v="1977"/>
    <s v="1700"/>
    <s v="MTLDM"/>
    <s v="2129 25 6516 05 030"/>
    <x v="2"/>
    <s v="High"/>
    <s v="**Premier Cardiology &amp; Vascular Associates**"/>
    <s v="https://www.premiercardiology.net/"/>
    <s v="https://www.google.com/maps/search/541+Horatio+Av+E,+FL"/>
    <m/>
    <x v="2"/>
    <x v="0"/>
    <x v="3"/>
    <x v="0"/>
  </r>
  <r>
    <n v="3"/>
    <x v="180"/>
    <x v="0"/>
    <s v="2025/03"/>
    <n v="6850000"/>
    <n v="155.79158043166777"/>
    <n v="43969"/>
    <n v="47089"/>
    <s v="Clarcona Land Development LLC"/>
    <s v="2008"/>
    <s v="1800"/>
    <s v="ORLAC1"/>
    <s v="2228 36 4949 01 000"/>
    <x v="2"/>
    <s v="High"/>
    <s v="Vacant Medical/Wellness Buildout"/>
    <s v="https://www.bosshardtrealty.com/listing/O6296860/5749-westgate-drive-orlando-fl-32835/"/>
    <s v="https://www.google.com/maps/search/5749+Westgate+Dr,+FL"/>
    <m/>
    <x v="0"/>
    <x v="1"/>
    <x v="1"/>
    <x v="1"/>
  </r>
  <r>
    <n v="3"/>
    <x v="181"/>
    <x v="1"/>
    <s v="2021/11"/>
    <n v="5272900"/>
    <n v="263.64499999999998"/>
    <n v="20000"/>
    <n v="20866"/>
    <s v="600 Leesburg Stolley LLC"/>
    <s v="1979"/>
    <s v="1900"/>
    <m/>
    <s v="1924 23 1100 000 00506"/>
    <x v="2"/>
    <s v="High"/>
    <s v="Medical "/>
    <s v="https://northcampusrehab.com/"/>
    <s v="https://www.google.com/maps/@28.8176464,-81.8774908,3a,16.9y,174.93h,85.93t/data=!3m7!1e1!3m5!1sD1bpb9_7mud9RolGKF6C9w!2e0!6shttps:%2F%2Fstreetviewpixels-pa.googleapis.com%2Fv1%2Fthumbnail%3Fcb_client%3Dmaps_sv.tactile%26w%3D900%26h%3D600%26pitch%3D4.066419333309582%26panoid%3DD1bpb9_7mud9RolGKF6C9w%26yaw%3D174.92757615331712!7i16384!8i8192?entry=ttu&amp;g_ep=EgoyMDI2MDIwMS4wIKXMDSoASAFQAw%3D%3D"/>
    <m/>
    <x v="2"/>
    <x v="0"/>
    <x v="0"/>
    <x v="1"/>
  </r>
  <r>
    <n v="3"/>
    <x v="182"/>
    <x v="0"/>
    <s v="2021/07"/>
    <n v="3000000"/>
    <n v="62.138818119679364"/>
    <n v="48279"/>
    <n v="55177"/>
    <s v="Multi-Tenant (Endocrinology / Dialysis)"/>
    <n v="2008"/>
    <s v="1900"/>
    <s v="ORGPD"/>
    <s v="2027 05 3095 01 000"/>
    <x v="2"/>
    <s v="High"/>
    <s v="**Multi-Tenant (Endocrinology / Dialysis)**"/>
    <s v="https://www.cityfeet.com/cont/listing/6909-old-highway-441-mount-dora-fl-32757/cs23886257"/>
    <s v="https://www.google.com/maps/search/6909+Old+Hwy+441,+FL"/>
    <m/>
    <x v="0"/>
    <x v="1"/>
    <x v="0"/>
    <x v="1"/>
  </r>
  <r>
    <n v="3"/>
    <x v="183"/>
    <x v="0"/>
    <s v="2025/07"/>
    <n v="15000000"/>
    <n v="634.16902718471226"/>
    <n v="23653"/>
    <n v="23834"/>
    <s v="Adventist Health System/Sunbelt Inc Attn Adventhealth Accounting Dept"/>
    <s v="2005"/>
    <s v="1800"/>
    <s v="ORGPO"/>
    <s v="2328 26 0000 00 040"/>
    <x v="2"/>
    <s v="High"/>
    <s v="Belmart LLC Dr Phillips"/>
    <s v="https://www.carecredit.com/doctor-locator/orlando-fl/belmart-llc-dr-phillips-265cdx/"/>
    <s v="https://www.google.com/maps/search/7009+Dr+Phillips+Bl,+FL"/>
    <m/>
    <x v="0"/>
    <x v="0"/>
    <x v="1"/>
    <x v="1"/>
  </r>
  <r>
    <m/>
    <x v="184"/>
    <x v="0"/>
    <s v="2021/12"/>
    <n v="15500000"/>
    <n v="386.99690402476779"/>
    <n v="40052"/>
    <n v="43362"/>
    <s v="Rockton Riverview LLC"/>
    <s v="1988"/>
    <s v="1800"/>
    <s v="ORGC1"/>
    <s v="2328 35 0000 00 010"/>
    <x v="2"/>
    <s v="High"/>
    <s v="7208 Sand Lake - Office Complex"/>
    <m/>
    <s v="https://www.google.com/maps/search/7208+Sand+Lake+Rd+W,+FL"/>
    <m/>
    <x v="2"/>
    <x v="0"/>
    <x v="0"/>
    <x v="1"/>
  </r>
  <r>
    <n v="3"/>
    <x v="185"/>
    <x v="0"/>
    <s v="2025/07"/>
    <n v="7500000"/>
    <n v="441.82621502209133"/>
    <n v="16975"/>
    <n v="17657"/>
    <s v="Andres Health Holdings LLC"/>
    <s v="1983"/>
    <s v="1800"/>
    <s v="ORGC1"/>
    <s v="2328 35 0000 00 016"/>
    <x v="2"/>
    <s v="Medium"/>
    <s v="**Andres Health Holdings** (Tenant Unconfirmed)"/>
    <s v="https://www.loopnet.com/Listing/7232-Sand-Lake-Rd-Orlando-FL/31873125/"/>
    <s v="https://www.google.com/maps/search/7232+Sand+Lake+Rd+W,+FL"/>
    <m/>
    <x v="2"/>
    <x v="0"/>
    <x v="1"/>
    <x v="0"/>
  </r>
  <r>
    <m/>
    <x v="186"/>
    <x v="0"/>
    <s v="2020/12"/>
    <n v="3570000"/>
    <n v="399.41821436562992"/>
    <n v="8938"/>
    <n v="9328"/>
    <s v="Flagship Concourse Maitland LLC Attn: Asset Manager"/>
    <s v="2010"/>
    <s v="1900"/>
    <s v="MTLPD"/>
    <s v="2129 25 5489 00 070"/>
    <x v="2"/>
    <s v="High"/>
    <s v="Maitland Medical Center"/>
    <m/>
    <s v="https://www.google.com/maps/search/750+Concourse+Pk,+FL"/>
    <m/>
    <x v="1"/>
    <x v="0"/>
    <x v="2"/>
    <x v="2"/>
  </r>
  <r>
    <m/>
    <x v="187"/>
    <x v="0"/>
    <s v="2020/12"/>
    <n v="5610000"/>
    <n v="395.90684544812984"/>
    <n v="14170"/>
    <n v="14330"/>
    <s v="Flagship Concourse Maitland LLC Attn: Asset Manager"/>
    <s v="2010"/>
    <s v="1900"/>
    <s v="MTLPD"/>
    <s v="2129 25 5489 00 060"/>
    <x v="2"/>
    <s v="High"/>
    <s v="Maitland Medical Center"/>
    <m/>
    <s v="https://www.google.com/maps/search/770+Concourse+Pk,+FL"/>
    <m/>
    <x v="1"/>
    <x v="0"/>
    <x v="2"/>
    <x v="0"/>
  </r>
  <r>
    <m/>
    <x v="188"/>
    <x v="0"/>
    <s v="2020/12"/>
    <n v="5100000"/>
    <n v="389.31297709923666"/>
    <n v="13100"/>
    <n v="13268"/>
    <s v="Flagship Concourse Maitland LLC Attn: Asset Manager"/>
    <s v="2010"/>
    <s v="1900"/>
    <s v="MTLPD"/>
    <s v="2129 25 5489 00 050"/>
    <x v="2"/>
    <s v="High"/>
    <s v="Maitland Medical Center"/>
    <m/>
    <s v="https://www.google.com/maps/search/780+Concourse+Pk,+FL"/>
    <m/>
    <x v="1"/>
    <x v="0"/>
    <x v="2"/>
    <x v="0"/>
  </r>
  <r>
    <n v="3"/>
    <x v="189"/>
    <x v="0"/>
    <s v="2021/01"/>
    <n v="3499900"/>
    <n v="251.91823220326782"/>
    <n v="13893"/>
    <n v="16012"/>
    <s v="Greater Vision Investment Group LLC"/>
    <s v="2011"/>
    <s v="1800"/>
    <s v="OCOPUD"/>
    <s v="2228 20 6148 05 000"/>
    <x v="2"/>
    <s v="Medium"/>
    <s v="GREATER VISION HEALTHCARE SERVICES LLC"/>
    <s v="https://quality.healthfinder.fl.gov/Facility-Provider/Profile/?LID=411051"/>
    <s v="https://www.google.com/maps/search/788+Montgomery+Av,+FL"/>
    <m/>
    <x v="1"/>
    <x v="0"/>
    <x v="0"/>
    <x v="0"/>
  </r>
  <r>
    <n v="3"/>
    <x v="190"/>
    <x v="0"/>
    <s v="2020/12"/>
    <n v="2720000"/>
    <n v="408.89957907396274"/>
    <n v="6652"/>
    <n v="7054"/>
    <s v="Flagship Concourse Maitland LLC Attn: Asset Manager"/>
    <s v="2010"/>
    <s v="1900"/>
    <s v="MTLPD"/>
    <s v="2129 25 5489 00 040"/>
    <x v="2"/>
    <s v="High"/>
    <s v="Maitland Medical Center"/>
    <m/>
    <s v="https://www.google.com/maps/search/790+Concourse+Pk,+FL"/>
    <m/>
    <x v="1"/>
    <x v="0"/>
    <x v="2"/>
    <x v="2"/>
  </r>
  <r>
    <n v="3"/>
    <x v="191"/>
    <x v="3"/>
    <s v="2020/12"/>
    <n v="2375000"/>
    <n v="220.33583820391502"/>
    <n v="10779"/>
    <n v="10779"/>
    <s v="Medwins Realty LLC"/>
    <n v="2007"/>
    <s v="1905"/>
    <m/>
    <s v="2030 07 522 0600 0000"/>
    <x v="2"/>
    <s v="Medium"/>
    <m/>
    <s v="https://www.loopnet.com/Listing/795-Primera-Blvd-Lake-Mary-FL/15799815/"/>
    <s v="https://www.google.com/maps?q=795+Primera+Blvd+Seminole,+FL"/>
    <m/>
    <x v="0"/>
    <x v="0"/>
    <x v="2"/>
    <x v="0"/>
  </r>
  <r>
    <n v="3"/>
    <x v="192"/>
    <x v="0"/>
    <s v="2022/12"/>
    <n v="6349400"/>
    <n v="424"/>
    <n v="14975"/>
    <n v="16422"/>
    <s v="Flagship Healthcare Properties (Medical REIT)"/>
    <s v="1974"/>
    <s v="1900"/>
    <s v="WPC3"/>
    <s v="2229 12 6600 00 730"/>
    <x v="2"/>
    <s v="High"/>
    <s v="**Flagship Healthcare Properties (Medical REIT)**"/>
    <s v="https://www.loopnet.com/Listing/954-S-Orlando-Ave-Winter-Park-FL/22329340/"/>
    <s v="https://www.google.com/maps/search/954+Orlando+Av+S+Orange+FL"/>
    <m/>
    <x v="2"/>
    <x v="0"/>
    <x v="5"/>
    <x v="0"/>
  </r>
  <r>
    <n v="3"/>
    <x v="193"/>
    <x v="0"/>
    <s v="2024/12"/>
    <n v="3400000"/>
    <n v="356.24476110645429"/>
    <n v="9544"/>
    <n v="10056"/>
    <s v="Optima Imaging Centers Of Florida Ll"/>
    <s v="2007"/>
    <s v="1900"/>
    <s v="OCOPS"/>
    <s v="2228 21 6328 00 020"/>
    <x v="2"/>
    <s v="High"/>
    <s v="**Optima Diagnostic Imaging**"/>
    <s v="https://search.sunbiz.org/Inquiry/CorporationSearch/SearchResults?InquiryType=EntityName&amp;InquiryDirectionType=ForwardRecord&amp;SearchTerm=OPTIMA%20HOME%20INSPECTIONS%2C%20LLC&amp;SearchNameOrder=OPTIMAILLABORATORIES%20G821190&amp;ListNameOrder=OPTIMAHOMESERVICES%20P990000974750&amp;Detail=FL.DOS.Corporations.Shared.Contracts.FilingRecord"/>
    <s v="https://www.google.com/maps/search/9582+Colonial+Dr+W,+FL"/>
    <m/>
    <x v="0"/>
    <x v="0"/>
    <x v="4"/>
    <x v="2"/>
  </r>
  <r>
    <n v="3"/>
    <x v="194"/>
    <x v="0"/>
    <s v="2021/10"/>
    <n v="15500000"/>
    <n v="1500.33878617752"/>
    <n v="10331"/>
    <n v="12626"/>
    <s v="Oviedo Medical Center LLC"/>
    <n v="2024"/>
    <n v="1900"/>
    <s v="MTLPD"/>
    <s v="2129 28 5499 03 000"/>
    <x v="0"/>
    <s v="High"/>
    <s v="HCA Florida Maitland Emergency (Freestanding ER) MEDICAL CENTER"/>
    <s v="https://www.hcafloridahealthcare.com/locations/maitland-emergency"/>
    <s v="https://www.google.com/maps/search/9401+Summit+Centre+Wa,+FL"/>
    <m/>
    <x v="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E3AB90-075B-B247-87F6-104005E24B1B}" name="PivotKPI"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X27:AF28" firstHeaderRow="0" firstDataRow="1" firstDataCol="0" rowPageCount="6" colPageCount="1"/>
  <pivotFields count="23">
    <pivotField showAll="0"/>
    <pivotField dataField="1" showAll="0"/>
    <pivotField axis="axisPage" showAll="0">
      <items count="5">
        <item x="1"/>
        <item x="0"/>
        <item x="2"/>
        <item x="3"/>
        <item t="default"/>
      </items>
    </pivotField>
    <pivotField showAll="0"/>
    <pivotField dataField="1" numFmtId="166" showAll="0"/>
    <pivotField dataField="1" showAll="0"/>
    <pivotField dataField="1" numFmtId="165" showAll="0"/>
    <pivotField numFmtId="165"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x="1"/>
        <item t="default"/>
      </items>
    </pivotField>
    <pivotField axis="axisPage" numFmtId="49" showAll="0">
      <items count="7">
        <item x="2"/>
        <item x="0"/>
        <item x="5"/>
        <item x="3"/>
        <item x="4"/>
        <item x="1"/>
        <item t="default"/>
      </items>
    </pivotField>
    <pivotField axis="axisPage" showAll="0">
      <items count="6">
        <item x="4"/>
        <item x="3"/>
        <item x="2"/>
        <item x="0"/>
        <item x="1"/>
        <item t="default"/>
      </items>
    </pivotField>
  </pivotFields>
  <rowItems count="1">
    <i/>
  </rowItems>
  <colFields count="1">
    <field x="-2"/>
  </colFields>
  <colItems count="9">
    <i>
      <x/>
    </i>
    <i i="1">
      <x v="1"/>
    </i>
    <i i="2">
      <x v="2"/>
    </i>
    <i i="3">
      <x v="3"/>
    </i>
    <i i="4">
      <x v="4"/>
    </i>
    <i i="5">
      <x v="5"/>
    </i>
    <i i="6">
      <x v="6"/>
    </i>
    <i i="7">
      <x v="7"/>
    </i>
    <i i="8">
      <x v="8"/>
    </i>
  </colItems>
  <pageFields count="6">
    <pageField fld="21" hier="-1"/>
    <pageField fld="13" hier="-1"/>
    <pageField fld="2" hier="-1"/>
    <pageField fld="22" hier="-1"/>
    <pageField fld="19" hier="-1"/>
    <pageField fld="20" hier="-1"/>
  </pageFields>
  <dataFields count="9">
    <dataField name="Total Volume" fld="4" baseField="0" baseItem="0" numFmtId="166"/>
    <dataField name="Avg $/SF" fld="5" subtotal="average" baseField="0" baseItem="0"/>
    <dataField name="Avg Price" fld="4" subtotal="average" baseField="0" baseItem="0" numFmtId="166"/>
    <dataField name="Min Price" fld="4" subtotal="min" baseField="0" baseItem="0" numFmtId="166"/>
    <dataField name="Max Price" fld="4" subtotal="max" baseField="0" baseItem="0" numFmtId="166"/>
    <dataField name="Min $/SF" fld="5" subtotal="min" baseField="0" baseItem="0"/>
    <dataField name="Max $/SF" fld="5" subtotal="max" baseField="0" baseItem="0"/>
    <dataField name="Avg Size" fld="6" subtotal="average" baseField="0" baseItem="0" numFmtId="165"/>
    <dataField name="Total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990296-5F14-4343-A7F2-F3015E6C4C1C}" name="PivotCounty"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X8:Z12" firstHeaderRow="0" firstDataRow="1" firstDataCol="1" rowPageCount="5" colPageCount="1"/>
  <pivotFields count="23">
    <pivotField showAll="0"/>
    <pivotField dataField="1" showAll="0"/>
    <pivotField axis="axisRow" showAll="0">
      <items count="5">
        <item x="1"/>
        <item x="0"/>
        <item x="2"/>
        <item x="3"/>
        <item t="default"/>
      </items>
    </pivotField>
    <pivotField showAll="0"/>
    <pivotField numFmtId="166" showAll="0"/>
    <pivotField dataField="1" showAll="0"/>
    <pivotField numFmtId="165" showAll="0"/>
    <pivotField numFmtId="165"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h="1" x="1"/>
        <item t="default"/>
      </items>
    </pivotField>
    <pivotField axis="axisPage" numFmtId="49" showAll="0">
      <items count="7">
        <item x="2"/>
        <item x="0"/>
        <item x="5"/>
        <item x="3"/>
        <item x="4"/>
        <item x="1"/>
        <item t="default"/>
      </items>
    </pivotField>
    <pivotField axis="axisPage" showAll="0">
      <items count="6">
        <item x="4"/>
        <item x="3"/>
        <item x="2"/>
        <item x="0"/>
        <item x="1"/>
        <item t="default"/>
      </items>
    </pivotField>
  </pivotFields>
  <rowFields count="1">
    <field x="2"/>
  </rowFields>
  <rowItems count="4">
    <i>
      <x/>
    </i>
    <i>
      <x v="1"/>
    </i>
    <i>
      <x v="2"/>
    </i>
    <i>
      <x v="3"/>
    </i>
  </rowItems>
  <colFields count="1">
    <field x="-2"/>
  </colFields>
  <colItems count="2">
    <i>
      <x/>
    </i>
    <i i="1">
      <x v="1"/>
    </i>
  </colItems>
  <pageFields count="5">
    <pageField fld="21" hier="-1"/>
    <pageField fld="13" hier="-1"/>
    <pageField fld="22" hier="-1"/>
    <pageField fld="19" hier="-1"/>
    <pageField fld="20" hier="-1"/>
  </pageFields>
  <dataFields count="2">
    <dataField name="Avg $/SF" fld="5" subtotal="average" baseField="0" baseItem="0"/>
    <dataField name="#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5DA6B7-042C-F34B-B6C4-25A1E659E7C9}" name="PivotCategoryHelper"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X7:BC10" firstHeaderRow="0" firstDataRow="1" firstDataCol="1" rowPageCount="5" colPageCount="1"/>
  <pivotFields count="23">
    <pivotField compact="0" outline="0" showAll="0"/>
    <pivotField compact="0" outline="0" showAll="0"/>
    <pivotField axis="axisPage" compact="0" outline="0" showAll="0">
      <items count="5">
        <item x="1"/>
        <item x="0"/>
        <item x="2"/>
        <item x="3"/>
        <item t="default"/>
      </items>
    </pivotField>
    <pivotField compact="0" outline="0" showAll="0"/>
    <pivotField dataField="1" compact="0" numFmtId="166" outline="0" showAll="0"/>
    <pivotField dataField="1" compact="0"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4">
        <item x="1"/>
        <item x="0"/>
        <item x="2"/>
        <item t="default"/>
      </items>
    </pivotField>
    <pivotField axis="axisPage" compact="0" outline="0" showAll="0">
      <items count="3">
        <item x="0"/>
        <item h="1" x="1"/>
        <item t="default"/>
      </items>
    </pivotField>
    <pivotField axis="axisPage" compact="0" numFmtId="49" outline="0" showAll="0">
      <items count="7">
        <item x="2"/>
        <item x="0"/>
        <item x="5"/>
        <item x="3"/>
        <item x="4"/>
        <item x="1"/>
        <item t="default"/>
      </items>
    </pivotField>
    <pivotField axis="axisPage" compact="0" outline="0" showAll="0">
      <items count="6">
        <item x="4"/>
        <item x="3"/>
        <item x="2"/>
        <item x="0"/>
        <item x="1"/>
        <item t="default"/>
      </items>
    </pivotField>
  </pivotFields>
  <rowFields count="1">
    <field x="13"/>
  </rowFields>
  <rowItems count="3">
    <i>
      <x/>
    </i>
    <i>
      <x v="1"/>
    </i>
    <i>
      <x v="2"/>
    </i>
  </rowItems>
  <colFields count="1">
    <field x="-2"/>
  </colFields>
  <colItems count="5">
    <i>
      <x/>
    </i>
    <i i="1">
      <x v="1"/>
    </i>
    <i i="2">
      <x v="2"/>
    </i>
    <i i="3">
      <x v="3"/>
    </i>
    <i i="4">
      <x v="4"/>
    </i>
  </colItems>
  <pageFields count="5">
    <pageField fld="21" hier="-1"/>
    <pageField fld="2" hier="-1"/>
    <pageField fld="22" hier="-1"/>
    <pageField fld="19" hier="-1"/>
    <pageField fld="20" hier="-1"/>
  </pageFields>
  <dataFields count="5">
    <dataField name="Min Price" fld="4" subtotal="min" baseField="0" baseItem="0" numFmtId="166"/>
    <dataField name="Max Price" fld="4" subtotal="max" baseField="0" baseItem="0" numFmtId="166"/>
    <dataField name="Avg Size" fld="6" subtotal="average" baseField="0" baseItem="0" numFmtId="165"/>
    <dataField name="Total Volume" fld="4" baseField="0" baseItem="0" numFmtId="166"/>
    <dataField name="Avg $/SF"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2AA527-3FFF-6441-A043-9F3DD1C08B5E}" name="PivotCountyHelper"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R7:AV11" firstHeaderRow="0" firstDataRow="1" firstDataCol="1" rowPageCount="5" colPageCount="1"/>
  <pivotFields count="23">
    <pivotField compact="0" outline="0" showAll="0"/>
    <pivotField compact="0" outline="0" showAll="0"/>
    <pivotField axis="axisRow" compact="0" outline="0" showAll="0">
      <items count="5">
        <item x="1"/>
        <item x="0"/>
        <item x="2"/>
        <item x="3"/>
        <item t="default"/>
      </items>
    </pivotField>
    <pivotField compact="0" outline="0" showAll="0"/>
    <pivotField dataField="1" compact="0" numFmtId="166" outline="0" showAll="0"/>
    <pivotField compact="0"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4">
        <item x="1"/>
        <item x="0"/>
        <item x="2"/>
        <item t="default"/>
      </items>
    </pivotField>
    <pivotField axis="axisPage" compact="0" outline="0" showAll="0">
      <items count="3">
        <item x="0"/>
        <item h="1" x="1"/>
        <item t="default"/>
      </items>
    </pivotField>
    <pivotField axis="axisPage" compact="0" numFmtId="49" outline="0" showAll="0">
      <items count="7">
        <item x="2"/>
        <item x="0"/>
        <item x="5"/>
        <item x="3"/>
        <item x="4"/>
        <item x="1"/>
        <item t="default"/>
      </items>
    </pivotField>
    <pivotField axis="axisPage" compact="0" outline="0" showAll="0">
      <items count="6">
        <item x="4"/>
        <item x="3"/>
        <item x="2"/>
        <item x="0"/>
        <item x="1"/>
        <item t="default"/>
      </items>
    </pivotField>
  </pivotFields>
  <rowFields count="1">
    <field x="2"/>
  </rowFields>
  <rowItems count="4">
    <i>
      <x/>
    </i>
    <i>
      <x v="1"/>
    </i>
    <i>
      <x v="2"/>
    </i>
    <i>
      <x v="3"/>
    </i>
  </rowItems>
  <colFields count="1">
    <field x="-2"/>
  </colFields>
  <colItems count="4">
    <i>
      <x/>
    </i>
    <i i="1">
      <x v="1"/>
    </i>
    <i i="2">
      <x v="2"/>
    </i>
    <i i="3">
      <x v="3"/>
    </i>
  </colItems>
  <pageFields count="5">
    <pageField fld="21" hier="-1"/>
    <pageField fld="13" hier="-1"/>
    <pageField fld="22" hier="-1"/>
    <pageField fld="19" hier="-1"/>
    <pageField fld="20" hier="-1"/>
  </pageFields>
  <dataFields count="4">
    <dataField name="Min Price" fld="4" subtotal="min" baseField="0" baseItem="0" numFmtId="166"/>
    <dataField name="Max Price" fld="4" subtotal="max" baseField="0" baseItem="0" numFmtId="166"/>
    <dataField name="Avg Size" fld="6" subtotal="average" baseField="0" baseItem="0" numFmtId="165"/>
    <dataField name="Total Volume" fld="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53F6D8-8295-744D-A6E3-063D7689D55D}" name="PivotTopSale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N8:AQ173" firstHeaderRow="0" firstDataRow="1" firstDataCol="1" rowPageCount="6" colPageCount="1"/>
  <pivotFields count="23">
    <pivotField compact="0" outline="0" showAll="0"/>
    <pivotField axis="axisRow" compact="0" outline="0" showAll="0" sortType="descending">
      <items count="196">
        <item x="157"/>
        <item x="10"/>
        <item x="11"/>
        <item x="158"/>
        <item x="12"/>
        <item x="13"/>
        <item x="14"/>
        <item x="15"/>
        <item x="159"/>
        <item x="16"/>
        <item x="160"/>
        <item x="17"/>
        <item x="161"/>
        <item x="18"/>
        <item x="19"/>
        <item x="20"/>
        <item x="162"/>
        <item x="21"/>
        <item x="22"/>
        <item x="23"/>
        <item x="24"/>
        <item x="163"/>
        <item x="164"/>
        <item x="25"/>
        <item x="165"/>
        <item x="166"/>
        <item x="26"/>
        <item x="27"/>
        <item x="167"/>
        <item x="28"/>
        <item x="29"/>
        <item x="30"/>
        <item x="31"/>
        <item x="32"/>
        <item x="33"/>
        <item x="34"/>
        <item x="35"/>
        <item x="36"/>
        <item x="37"/>
        <item x="168"/>
        <item x="38"/>
        <item x="39"/>
        <item x="40"/>
        <item x="41"/>
        <item x="42"/>
        <item x="43"/>
        <item x="44"/>
        <item x="169"/>
        <item x="170"/>
        <item x="171"/>
        <item x="45"/>
        <item x="46"/>
        <item x="47"/>
        <item x="0"/>
        <item x="48"/>
        <item x="49"/>
        <item x="50"/>
        <item x="1"/>
        <item x="51"/>
        <item x="172"/>
        <item x="2"/>
        <item x="173"/>
        <item x="174"/>
        <item x="175"/>
        <item x="52"/>
        <item x="176"/>
        <item x="53"/>
        <item x="54"/>
        <item x="55"/>
        <item x="56"/>
        <item x="57"/>
        <item x="58"/>
        <item x="59"/>
        <item x="60"/>
        <item x="61"/>
        <item x="62"/>
        <item x="63"/>
        <item x="64"/>
        <item x="177"/>
        <item x="65"/>
        <item x="66"/>
        <item x="67"/>
        <item x="68"/>
        <item x="69"/>
        <item x="70"/>
        <item x="71"/>
        <item x="72"/>
        <item x="73"/>
        <item x="74"/>
        <item x="75"/>
        <item x="76"/>
        <item x="77"/>
        <item x="78"/>
        <item x="79"/>
        <item x="3"/>
        <item x="80"/>
        <item x="81"/>
        <item x="82"/>
        <item x="83"/>
        <item x="84"/>
        <item x="85"/>
        <item x="86"/>
        <item x="87"/>
        <item x="4"/>
        <item x="88"/>
        <item x="89"/>
        <item x="90"/>
        <item x="91"/>
        <item x="178"/>
        <item x="5"/>
        <item x="92"/>
        <item x="93"/>
        <item x="94"/>
        <item x="95"/>
        <item x="96"/>
        <item x="97"/>
        <item x="98"/>
        <item x="99"/>
        <item x="100"/>
        <item x="101"/>
        <item x="102"/>
        <item x="103"/>
        <item x="104"/>
        <item x="105"/>
        <item x="106"/>
        <item x="107"/>
        <item x="6"/>
        <item x="108"/>
        <item x="109"/>
        <item x="110"/>
        <item x="111"/>
        <item x="112"/>
        <item x="113"/>
        <item x="114"/>
        <item x="179"/>
        <item x="180"/>
        <item x="115"/>
        <item x="116"/>
        <item x="117"/>
        <item x="181"/>
        <item x="118"/>
        <item x="119"/>
        <item x="120"/>
        <item x="7"/>
        <item x="121"/>
        <item x="122"/>
        <item x="182"/>
        <item x="183"/>
        <item x="123"/>
        <item x="124"/>
        <item x="125"/>
        <item x="126"/>
        <item x="127"/>
        <item x="184"/>
        <item x="128"/>
        <item x="129"/>
        <item x="185"/>
        <item x="130"/>
        <item x="131"/>
        <item x="132"/>
        <item x="186"/>
        <item x="8"/>
        <item x="133"/>
        <item x="134"/>
        <item x="135"/>
        <item x="187"/>
        <item x="188"/>
        <item x="189"/>
        <item x="190"/>
        <item x="191"/>
        <item x="136"/>
        <item x="137"/>
        <item x="138"/>
        <item x="139"/>
        <item x="140"/>
        <item x="141"/>
        <item x="142"/>
        <item x="143"/>
        <item x="144"/>
        <item x="145"/>
        <item x="146"/>
        <item x="147"/>
        <item x="148"/>
        <item x="149"/>
        <item x="150"/>
        <item x="151"/>
        <item x="152"/>
        <item x="153"/>
        <item x="9"/>
        <item x="194"/>
        <item x="154"/>
        <item x="155"/>
        <item x="192"/>
        <item x="193"/>
        <item x="156"/>
        <item t="default"/>
      </items>
      <autoSortScope>
        <pivotArea dataOnly="0" outline="0" fieldPosition="0">
          <references count="1">
            <reference field="4294967294" count="1" selected="0">
              <x v="0"/>
            </reference>
          </references>
        </pivotArea>
      </autoSortScope>
    </pivotField>
    <pivotField axis="axisPage" compact="0" outline="0" showAll="0">
      <items count="5">
        <item x="1"/>
        <item x="0"/>
        <item x="2"/>
        <item x="3"/>
        <item t="default"/>
      </items>
    </pivotField>
    <pivotField compact="0" outline="0" showAll="0"/>
    <pivotField dataField="1" compact="0" numFmtId="166" outline="0" showAll="0"/>
    <pivotField dataField="1" compact="0"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4">
        <item x="1"/>
        <item x="0"/>
        <item x="2"/>
        <item t="default"/>
      </items>
    </pivotField>
    <pivotField axis="axisPage" compact="0" outline="0" showAll="0">
      <items count="3">
        <item x="0"/>
        <item h="1" x="1"/>
        <item t="default"/>
      </items>
    </pivotField>
    <pivotField axis="axisPage" compact="0" numFmtId="49" outline="0" showAll="0">
      <items count="7">
        <item x="2"/>
        <item x="0"/>
        <item x="5"/>
        <item x="3"/>
        <item x="4"/>
        <item x="1"/>
        <item t="default"/>
      </items>
    </pivotField>
    <pivotField axis="axisPage" compact="0" outline="0" showAll="0">
      <items count="6">
        <item x="4"/>
        <item x="3"/>
        <item x="2"/>
        <item x="0"/>
        <item x="1"/>
        <item t="default"/>
      </items>
    </pivotField>
  </pivotFields>
  <rowFields count="1">
    <field x="1"/>
  </rowFields>
  <rowItems count="165">
    <i>
      <x v="153"/>
    </i>
    <i>
      <x v="188"/>
    </i>
    <i>
      <x v="147"/>
    </i>
    <i>
      <x v="61"/>
    </i>
    <i>
      <x v="94"/>
    </i>
    <i>
      <x v="143"/>
    </i>
    <i>
      <x/>
    </i>
    <i>
      <x v="22"/>
    </i>
    <i>
      <x v="156"/>
    </i>
    <i>
      <x v="47"/>
    </i>
    <i>
      <x v="49"/>
    </i>
    <i>
      <x v="108"/>
    </i>
    <i>
      <x v="192"/>
    </i>
    <i>
      <x v="63"/>
    </i>
    <i>
      <x v="165"/>
    </i>
    <i>
      <x v="59"/>
    </i>
    <i>
      <x v="139"/>
    </i>
    <i>
      <x v="109"/>
    </i>
    <i>
      <x v="166"/>
    </i>
    <i>
      <x v="11"/>
    </i>
    <i>
      <x v="53"/>
    </i>
    <i>
      <x v="8"/>
    </i>
    <i>
      <x v="65"/>
    </i>
    <i>
      <x v="12"/>
    </i>
    <i>
      <x v="78"/>
    </i>
    <i>
      <x v="1"/>
    </i>
    <i>
      <x v="95"/>
    </i>
    <i>
      <x v="39"/>
    </i>
    <i>
      <x v="160"/>
    </i>
    <i>
      <x v="2"/>
    </i>
    <i>
      <x v="28"/>
    </i>
    <i>
      <x v="167"/>
    </i>
    <i>
      <x v="3"/>
    </i>
    <i>
      <x v="193"/>
    </i>
    <i>
      <x v="69"/>
    </i>
    <i>
      <x v="80"/>
    </i>
    <i>
      <x v="134"/>
    </i>
    <i>
      <x v="57"/>
    </i>
    <i>
      <x v="64"/>
    </i>
    <i>
      <x v="36"/>
    </i>
    <i>
      <x v="168"/>
    </i>
    <i>
      <x v="62"/>
    </i>
    <i>
      <x v="173"/>
    </i>
    <i>
      <x v="92"/>
    </i>
    <i>
      <x v="169"/>
    </i>
    <i>
      <x v="9"/>
    </i>
    <i>
      <x v="42"/>
    </i>
    <i>
      <x v="10"/>
    </i>
    <i>
      <x v="121"/>
    </i>
    <i>
      <x v="111"/>
    </i>
    <i>
      <x v="7"/>
    </i>
    <i>
      <x v="174"/>
    </i>
    <i>
      <x v="114"/>
    </i>
    <i>
      <x v="82"/>
    </i>
    <i>
      <x v="71"/>
    </i>
    <i>
      <x v="97"/>
    </i>
    <i>
      <x v="179"/>
    </i>
    <i>
      <x v="21"/>
    </i>
    <i>
      <x v="70"/>
    </i>
    <i>
      <x v="154"/>
    </i>
    <i>
      <x v="51"/>
    </i>
    <i>
      <x v="164"/>
    </i>
    <i>
      <x v="15"/>
    </i>
    <i>
      <x v="16"/>
    </i>
    <i>
      <x v="66"/>
    </i>
    <i>
      <x v="152"/>
    </i>
    <i>
      <x v="175"/>
    </i>
    <i>
      <x v="150"/>
    </i>
    <i>
      <x v="76"/>
    </i>
    <i>
      <x v="75"/>
    </i>
    <i>
      <x v="191"/>
    </i>
    <i>
      <x v="103"/>
    </i>
    <i>
      <x v="151"/>
    </i>
    <i>
      <x v="54"/>
    </i>
    <i>
      <x v="141"/>
    </i>
    <i>
      <x v="83"/>
    </i>
    <i>
      <x v="29"/>
    </i>
    <i>
      <x v="90"/>
    </i>
    <i>
      <x v="187"/>
    </i>
    <i>
      <x v="32"/>
    </i>
    <i>
      <x v="27"/>
    </i>
    <i>
      <x v="55"/>
    </i>
    <i>
      <x v="194"/>
    </i>
    <i>
      <x v="138"/>
    </i>
    <i>
      <x v="190"/>
    </i>
    <i>
      <x v="18"/>
    </i>
    <i>
      <x v="86"/>
    </i>
    <i>
      <x v="170"/>
    </i>
    <i>
      <x v="101"/>
    </i>
    <i>
      <x v="158"/>
    </i>
    <i>
      <x v="145"/>
    </i>
    <i>
      <x v="46"/>
    </i>
    <i>
      <x v="4"/>
    </i>
    <i>
      <x v="142"/>
    </i>
    <i>
      <x v="58"/>
    </i>
    <i>
      <x v="6"/>
    </i>
    <i>
      <x v="98"/>
    </i>
    <i>
      <x v="159"/>
    </i>
    <i>
      <x v="67"/>
    </i>
    <i>
      <x v="136"/>
    </i>
    <i>
      <x v="110"/>
    </i>
    <i>
      <x v="123"/>
    </i>
    <i>
      <x v="96"/>
    </i>
    <i>
      <x v="38"/>
    </i>
    <i>
      <x v="180"/>
    </i>
    <i>
      <x v="172"/>
    </i>
    <i>
      <x v="100"/>
    </i>
    <i>
      <x v="77"/>
    </i>
    <i>
      <x v="112"/>
    </i>
    <i>
      <x v="89"/>
    </i>
    <i>
      <x v="176"/>
    </i>
    <i>
      <x v="171"/>
    </i>
    <i>
      <x v="128"/>
    </i>
    <i>
      <x v="118"/>
    </i>
    <i>
      <x v="149"/>
    </i>
    <i>
      <x v="184"/>
    </i>
    <i>
      <x v="56"/>
    </i>
    <i>
      <x v="115"/>
    </i>
    <i>
      <x v="186"/>
    </i>
    <i>
      <x v="182"/>
    </i>
    <i>
      <x v="177"/>
    </i>
    <i>
      <x v="104"/>
    </i>
    <i>
      <x v="30"/>
    </i>
    <i>
      <x v="102"/>
    </i>
    <i>
      <x v="162"/>
    </i>
    <i>
      <x v="157"/>
    </i>
    <i>
      <x v="116"/>
    </i>
    <i>
      <x v="44"/>
    </i>
    <i>
      <x v="45"/>
    </i>
    <i>
      <x v="120"/>
    </i>
    <i>
      <x v="34"/>
    </i>
    <i>
      <x v="33"/>
    </i>
    <i>
      <x v="87"/>
    </i>
    <i>
      <x v="68"/>
    </i>
    <i>
      <x v="119"/>
    </i>
    <i>
      <x v="163"/>
    </i>
    <i>
      <x v="144"/>
    </i>
    <i>
      <x v="137"/>
    </i>
    <i>
      <x v="117"/>
    </i>
    <i>
      <x v="178"/>
    </i>
    <i>
      <x v="181"/>
    </i>
    <i>
      <x v="122"/>
    </i>
    <i>
      <x v="85"/>
    </i>
    <i>
      <x v="91"/>
    </i>
    <i>
      <x v="74"/>
    </i>
    <i>
      <x v="185"/>
    </i>
    <i>
      <x v="105"/>
    </i>
    <i>
      <x v="14"/>
    </i>
    <i>
      <x v="35"/>
    </i>
    <i>
      <x v="13"/>
    </i>
    <i>
      <x v="125"/>
    </i>
    <i>
      <x v="132"/>
    </i>
    <i>
      <x v="73"/>
    </i>
    <i>
      <x v="127"/>
    </i>
    <i>
      <x v="99"/>
    </i>
    <i>
      <x v="19"/>
    </i>
    <i>
      <x v="88"/>
    </i>
    <i>
      <x v="84"/>
    </i>
    <i>
      <x v="52"/>
    </i>
    <i>
      <x v="43"/>
    </i>
    <i>
      <x v="40"/>
    </i>
    <i>
      <x v="131"/>
    </i>
    <i>
      <x v="140"/>
    </i>
    <i>
      <x v="81"/>
    </i>
    <i>
      <x v="106"/>
    </i>
  </rowItems>
  <colFields count="1">
    <field x="-2"/>
  </colFields>
  <colItems count="3">
    <i>
      <x/>
    </i>
    <i i="1">
      <x v="1"/>
    </i>
    <i i="2">
      <x v="2"/>
    </i>
  </colItems>
  <pageFields count="6">
    <pageField fld="21" hier="-1"/>
    <pageField fld="13" hier="-1"/>
    <pageField fld="22" hier="-1"/>
    <pageField fld="19" hier="-1"/>
    <pageField fld="2" hier="-1"/>
    <pageField fld="20" hier="-1"/>
  </pageFields>
  <dataFields count="3">
    <dataField name="Price" fld="4" subtotal="max" baseField="0" baseItem="0" numFmtId="166"/>
    <dataField name="$/SF" fld="5" subtotal="max" baseField="0" baseItem="0"/>
    <dataField name="Size" fld="6" subtotal="max"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A9F970-C86C-2D4A-ABCB-B56C3CCC1728}" name="PivotTrend"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J7:AL13" firstHeaderRow="0" firstDataRow="1" firstDataCol="1" rowPageCount="5" colPageCount="1"/>
  <pivotFields count="23">
    <pivotField showAll="0"/>
    <pivotField dataField="1" showAll="0"/>
    <pivotField axis="axisPage" showAll="0">
      <items count="5">
        <item x="1"/>
        <item x="0"/>
        <item x="2"/>
        <item x="3"/>
        <item t="default"/>
      </items>
    </pivotField>
    <pivotField showAll="0"/>
    <pivotField numFmtId="166" showAll="0"/>
    <pivotField dataField="1" showAll="0"/>
    <pivotField numFmtId="165" showAll="0"/>
    <pivotField numFmtId="165"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h="1" x="1"/>
        <item t="default"/>
      </items>
    </pivotField>
    <pivotField axis="axisRow" numFmtId="49" showAll="0">
      <items count="7">
        <item x="2"/>
        <item x="0"/>
        <item x="5"/>
        <item x="3"/>
        <item x="4"/>
        <item x="1"/>
        <item t="default"/>
      </items>
    </pivotField>
    <pivotField axis="axisPage" showAll="0">
      <items count="6">
        <item x="4"/>
        <item x="3"/>
        <item x="2"/>
        <item x="0"/>
        <item x="1"/>
        <item t="default"/>
      </items>
    </pivotField>
  </pivotFields>
  <rowFields count="1">
    <field x="21"/>
  </rowFields>
  <rowItems count="6">
    <i>
      <x/>
    </i>
    <i>
      <x v="1"/>
    </i>
    <i>
      <x v="2"/>
    </i>
    <i>
      <x v="3"/>
    </i>
    <i>
      <x v="4"/>
    </i>
    <i>
      <x v="5"/>
    </i>
  </rowItems>
  <colFields count="1">
    <field x="-2"/>
  </colFields>
  <colItems count="2">
    <i>
      <x/>
    </i>
    <i i="1">
      <x v="1"/>
    </i>
  </colItems>
  <pageFields count="5">
    <pageField fld="13" hier="-1"/>
    <pageField fld="2" hier="-1"/>
    <pageField fld="22" hier="-1"/>
    <pageField fld="19" hier="-1"/>
    <pageField fld="20" hier="-1"/>
  </pageFields>
  <dataFields count="2">
    <dataField name="Avg $/SF" fld="5" subtotal="average" baseField="0" baseItem="0"/>
    <dataField name="#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CF8D77-D315-2F4B-BF27-64A0265287F6}" name="PivotCategory"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F7:AG10" firstHeaderRow="1" firstDataRow="1" firstDataCol="1" rowPageCount="5" colPageCount="1"/>
  <pivotFields count="23">
    <pivotField showAll="0"/>
    <pivotField dataField="1" showAll="0"/>
    <pivotField axis="axisPage" showAll="0">
      <items count="5">
        <item x="1"/>
        <item x="0"/>
        <item x="2"/>
        <item x="3"/>
        <item t="default"/>
      </items>
    </pivotField>
    <pivotField showAll="0"/>
    <pivotField numFmtId="166" showAll="0"/>
    <pivotField showAll="0"/>
    <pivotField numFmtId="165" showAll="0"/>
    <pivotField numFmtId="165"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h="1" x="1"/>
        <item t="default"/>
      </items>
    </pivotField>
    <pivotField axis="axisPage" numFmtId="49" showAll="0">
      <items count="7">
        <item x="2"/>
        <item x="0"/>
        <item x="5"/>
        <item x="3"/>
        <item x="4"/>
        <item x="1"/>
        <item t="default"/>
      </items>
    </pivotField>
    <pivotField axis="axisPage" showAll="0">
      <items count="6">
        <item x="4"/>
        <item x="3"/>
        <item x="2"/>
        <item x="0"/>
        <item x="1"/>
        <item t="default"/>
      </items>
    </pivotField>
  </pivotFields>
  <rowFields count="1">
    <field x="13"/>
  </rowFields>
  <rowItems count="3">
    <i>
      <x/>
    </i>
    <i>
      <x v="1"/>
    </i>
    <i>
      <x v="2"/>
    </i>
  </rowItems>
  <colItems count="1">
    <i/>
  </colItems>
  <pageFields count="5">
    <pageField fld="21" hier="-1"/>
    <pageField fld="2" hier="-1"/>
    <pageField fld="22" hier="-1"/>
    <pageField fld="19" hier="-1"/>
    <pageField fld="20" hier="-1"/>
  </pageFields>
  <dataFields count="1">
    <dataField name="#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0E8919-CDED-D548-9D84-6E3F5CE4ABF0}" name="PivotCategory"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F7:AG10" firstHeaderRow="1" firstDataRow="1" firstDataCol="1" rowPageCount="5" colPageCount="1"/>
  <pivotFields count="23">
    <pivotField showAll="0"/>
    <pivotField dataField="1" showAll="0"/>
    <pivotField axis="axisPage" showAll="0">
      <items count="5">
        <item x="1"/>
        <item x="0"/>
        <item x="2"/>
        <item x="3"/>
        <item t="default"/>
      </items>
    </pivotField>
    <pivotField showAll="0"/>
    <pivotField numFmtId="166" showAll="0"/>
    <pivotField showAll="0"/>
    <pivotField numFmtId="165" showAll="0"/>
    <pivotField numFmtId="165"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h="1" x="1"/>
        <item t="default"/>
      </items>
    </pivotField>
    <pivotField axis="axisPage" numFmtId="49" showAll="0">
      <items count="7">
        <item x="2"/>
        <item x="0"/>
        <item x="5"/>
        <item x="3"/>
        <item x="4"/>
        <item x="1"/>
        <item t="default"/>
      </items>
    </pivotField>
    <pivotField axis="axisPage" showAll="0">
      <items count="6">
        <item x="4"/>
        <item x="3"/>
        <item x="2"/>
        <item x="0"/>
        <item x="1"/>
        <item t="default"/>
      </items>
    </pivotField>
  </pivotFields>
  <rowFields count="1">
    <field x="13"/>
  </rowFields>
  <rowItems count="3">
    <i>
      <x/>
    </i>
    <i>
      <x v="1"/>
    </i>
    <i>
      <x v="2"/>
    </i>
  </rowItems>
  <colItems count="1">
    <i/>
  </colItems>
  <pageFields count="5">
    <pageField fld="21" hier="-1"/>
    <pageField fld="2" hier="-1"/>
    <pageField fld="22" hier="-1"/>
    <pageField fld="19" hier="-1"/>
    <pageField fld="20" hier="-1"/>
  </pageFields>
  <dataFields count="1">
    <dataField name="#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9E11DF-A8FB-DC47-AF76-95B9A96ACD78}" name="PivotTrend"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J7:AL13" firstHeaderRow="0" firstDataRow="1" firstDataCol="1" rowPageCount="5" colPageCount="1"/>
  <pivotFields count="23">
    <pivotField showAll="0"/>
    <pivotField dataField="1" showAll="0"/>
    <pivotField axis="axisPage" showAll="0">
      <items count="5">
        <item x="1"/>
        <item x="0"/>
        <item x="2"/>
        <item x="3"/>
        <item t="default"/>
      </items>
    </pivotField>
    <pivotField showAll="0"/>
    <pivotField numFmtId="166" showAll="0"/>
    <pivotField dataField="1" showAll="0"/>
    <pivotField numFmtId="165" showAll="0"/>
    <pivotField numFmtId="165"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h="1" x="1"/>
        <item t="default"/>
      </items>
    </pivotField>
    <pivotField axis="axisRow" numFmtId="49" showAll="0">
      <items count="7">
        <item x="2"/>
        <item x="0"/>
        <item x="5"/>
        <item x="3"/>
        <item x="4"/>
        <item x="1"/>
        <item t="default"/>
      </items>
    </pivotField>
    <pivotField axis="axisPage" showAll="0">
      <items count="6">
        <item x="4"/>
        <item x="3"/>
        <item x="2"/>
        <item x="0"/>
        <item x="1"/>
        <item t="default"/>
      </items>
    </pivotField>
  </pivotFields>
  <rowFields count="1">
    <field x="21"/>
  </rowFields>
  <rowItems count="6">
    <i>
      <x/>
    </i>
    <i>
      <x v="1"/>
    </i>
    <i>
      <x v="2"/>
    </i>
    <i>
      <x v="3"/>
    </i>
    <i>
      <x v="4"/>
    </i>
    <i>
      <x v="5"/>
    </i>
  </rowItems>
  <colFields count="1">
    <field x="-2"/>
  </colFields>
  <colItems count="2">
    <i>
      <x/>
    </i>
    <i i="1">
      <x v="1"/>
    </i>
  </colItems>
  <pageFields count="5">
    <pageField fld="13" hier="-1"/>
    <pageField fld="2" hier="-1"/>
    <pageField fld="22" hier="-1"/>
    <pageField fld="19" hier="-1"/>
    <pageField fld="20" hier="-1"/>
  </pageFields>
  <dataFields count="2">
    <dataField name="Avg $/SF" fld="5" subtotal="average" baseField="0" baseItem="0"/>
    <dataField name="#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01D5D5-241B-3E43-84F1-BBB572EB6A4C}" name="PivotCategoryHelper"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X7:BC10" firstHeaderRow="0" firstDataRow="1" firstDataCol="1" rowPageCount="5" colPageCount="1"/>
  <pivotFields count="23">
    <pivotField compact="0" outline="0" showAll="0"/>
    <pivotField compact="0" outline="0" showAll="0"/>
    <pivotField axis="axisPage" compact="0" outline="0" showAll="0">
      <items count="5">
        <item x="1"/>
        <item x="0"/>
        <item x="2"/>
        <item x="3"/>
        <item t="default"/>
      </items>
    </pivotField>
    <pivotField compact="0" outline="0" showAll="0"/>
    <pivotField dataField="1" compact="0" numFmtId="166" outline="0" showAll="0"/>
    <pivotField dataField="1" compact="0"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4">
        <item x="1"/>
        <item x="0"/>
        <item x="2"/>
        <item t="default"/>
      </items>
    </pivotField>
    <pivotField axis="axisPage" compact="0" outline="0" showAll="0">
      <items count="3">
        <item x="0"/>
        <item h="1" x="1"/>
        <item t="default"/>
      </items>
    </pivotField>
    <pivotField axis="axisPage" compact="0" numFmtId="49" outline="0" showAll="0">
      <items count="7">
        <item x="2"/>
        <item x="0"/>
        <item x="5"/>
        <item x="3"/>
        <item x="4"/>
        <item x="1"/>
        <item t="default"/>
      </items>
    </pivotField>
    <pivotField axis="axisPage" compact="0" outline="0" showAll="0">
      <items count="6">
        <item x="4"/>
        <item x="3"/>
        <item x="2"/>
        <item x="0"/>
        <item x="1"/>
        <item t="default"/>
      </items>
    </pivotField>
  </pivotFields>
  <rowFields count="1">
    <field x="13"/>
  </rowFields>
  <rowItems count="3">
    <i>
      <x/>
    </i>
    <i>
      <x v="1"/>
    </i>
    <i>
      <x v="2"/>
    </i>
  </rowItems>
  <colFields count="1">
    <field x="-2"/>
  </colFields>
  <colItems count="5">
    <i>
      <x/>
    </i>
    <i i="1">
      <x v="1"/>
    </i>
    <i i="2">
      <x v="2"/>
    </i>
    <i i="3">
      <x v="3"/>
    </i>
    <i i="4">
      <x v="4"/>
    </i>
  </colItems>
  <pageFields count="5">
    <pageField fld="21" hier="-1"/>
    <pageField fld="2" hier="-1"/>
    <pageField fld="22" hier="-1"/>
    <pageField fld="19" hier="-1"/>
    <pageField fld="20" hier="-1"/>
  </pageFields>
  <dataFields count="5">
    <dataField name="Min Price" fld="4" subtotal="min" baseField="0" baseItem="0" numFmtId="166"/>
    <dataField name="Max Price" fld="4" subtotal="max" baseField="0" baseItem="0" numFmtId="166"/>
    <dataField name="Avg Size" fld="6" subtotal="average" baseField="0" baseItem="0" numFmtId="165"/>
    <dataField name="Total Volume" fld="4" baseField="0" baseItem="0" numFmtId="166"/>
    <dataField name="Avg $/SF"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A9666A-E051-3B45-B8C8-0E129914F507}" name="PivotCounty"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X8:Z12" firstHeaderRow="0" firstDataRow="1" firstDataCol="1" rowPageCount="5" colPageCount="1"/>
  <pivotFields count="23">
    <pivotField showAll="0"/>
    <pivotField dataField="1" showAll="0"/>
    <pivotField axis="axisRow" showAll="0">
      <items count="5">
        <item x="1"/>
        <item x="0"/>
        <item x="2"/>
        <item x="3"/>
        <item t="default"/>
      </items>
    </pivotField>
    <pivotField showAll="0"/>
    <pivotField numFmtId="166" showAll="0"/>
    <pivotField dataField="1" showAll="0"/>
    <pivotField numFmtId="165" showAll="0"/>
    <pivotField numFmtId="165"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h="1" x="1"/>
        <item t="default"/>
      </items>
    </pivotField>
    <pivotField axis="axisPage" numFmtId="49" showAll="0">
      <items count="7">
        <item x="2"/>
        <item x="0"/>
        <item x="5"/>
        <item x="3"/>
        <item x="4"/>
        <item x="1"/>
        <item t="default"/>
      </items>
    </pivotField>
    <pivotField axis="axisPage" showAll="0">
      <items count="6">
        <item x="4"/>
        <item x="3"/>
        <item x="2"/>
        <item x="0"/>
        <item x="1"/>
        <item t="default"/>
      </items>
    </pivotField>
  </pivotFields>
  <rowFields count="1">
    <field x="2"/>
  </rowFields>
  <rowItems count="4">
    <i>
      <x/>
    </i>
    <i>
      <x v="1"/>
    </i>
    <i>
      <x v="2"/>
    </i>
    <i>
      <x v="3"/>
    </i>
  </rowItems>
  <colFields count="1">
    <field x="-2"/>
  </colFields>
  <colItems count="2">
    <i>
      <x/>
    </i>
    <i i="1">
      <x v="1"/>
    </i>
  </colItems>
  <pageFields count="5">
    <pageField fld="21" hier="-1"/>
    <pageField fld="13" hier="-1"/>
    <pageField fld="22" hier="-1"/>
    <pageField fld="19" hier="-1"/>
    <pageField fld="20" hier="-1"/>
  </pageFields>
  <dataFields count="2">
    <dataField name="Avg $/SF" fld="5" subtotal="average" baseField="0" baseItem="0"/>
    <dataField name="#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CE2731-8F54-F24D-90C5-A99BAD56DF9C}" name="PivotCountyHelper"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R7:AV11" firstHeaderRow="0" firstDataRow="1" firstDataCol="1" rowPageCount="5" colPageCount="1"/>
  <pivotFields count="23">
    <pivotField compact="0" outline="0" showAll="0"/>
    <pivotField compact="0" outline="0" showAll="0"/>
    <pivotField axis="axisRow" compact="0" outline="0" showAll="0">
      <items count="5">
        <item x="1"/>
        <item x="0"/>
        <item x="2"/>
        <item x="3"/>
        <item t="default"/>
      </items>
    </pivotField>
    <pivotField compact="0" outline="0" showAll="0"/>
    <pivotField dataField="1" compact="0" numFmtId="166" outline="0" showAll="0"/>
    <pivotField compact="0"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4">
        <item x="1"/>
        <item x="0"/>
        <item x="2"/>
        <item t="default"/>
      </items>
    </pivotField>
    <pivotField axis="axisPage" compact="0" outline="0" showAll="0">
      <items count="3">
        <item x="0"/>
        <item h="1" x="1"/>
        <item t="default"/>
      </items>
    </pivotField>
    <pivotField axis="axisPage" compact="0" numFmtId="49" outline="0" showAll="0">
      <items count="7">
        <item x="2"/>
        <item x="0"/>
        <item x="5"/>
        <item x="3"/>
        <item x="4"/>
        <item x="1"/>
        <item t="default"/>
      </items>
    </pivotField>
    <pivotField axis="axisPage" compact="0" outline="0" showAll="0">
      <items count="6">
        <item x="4"/>
        <item x="3"/>
        <item x="2"/>
        <item x="0"/>
        <item x="1"/>
        <item t="default"/>
      </items>
    </pivotField>
  </pivotFields>
  <rowFields count="1">
    <field x="2"/>
  </rowFields>
  <rowItems count="4">
    <i>
      <x/>
    </i>
    <i>
      <x v="1"/>
    </i>
    <i>
      <x v="2"/>
    </i>
    <i>
      <x v="3"/>
    </i>
  </rowItems>
  <colFields count="1">
    <field x="-2"/>
  </colFields>
  <colItems count="4">
    <i>
      <x/>
    </i>
    <i i="1">
      <x v="1"/>
    </i>
    <i i="2">
      <x v="2"/>
    </i>
    <i i="3">
      <x v="3"/>
    </i>
  </colItems>
  <pageFields count="5">
    <pageField fld="21" hier="-1"/>
    <pageField fld="13" hier="-1"/>
    <pageField fld="22" hier="-1"/>
    <pageField fld="19" hier="-1"/>
    <pageField fld="20" hier="-1"/>
  </pageFields>
  <dataFields count="4">
    <dataField name="Min Price" fld="4" subtotal="min" baseField="0" baseItem="0" numFmtId="166"/>
    <dataField name="Max Price" fld="4" subtotal="max" baseField="0" baseItem="0" numFmtId="166"/>
    <dataField name="Avg Size" fld="6" subtotal="average" baseField="0" baseItem="0" numFmtId="165"/>
    <dataField name="Total Volume" fld="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EF9C1C-78AE-1C46-8864-C1155DFF1D96}" name="PivotKPI"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X27:AF28" firstHeaderRow="0" firstDataRow="1" firstDataCol="0" rowPageCount="6" colPageCount="1"/>
  <pivotFields count="23">
    <pivotField showAll="0"/>
    <pivotField dataField="1" showAll="0"/>
    <pivotField axis="axisPage" showAll="0">
      <items count="5">
        <item x="1"/>
        <item x="0"/>
        <item x="2"/>
        <item x="3"/>
        <item t="default"/>
      </items>
    </pivotField>
    <pivotField showAll="0"/>
    <pivotField dataField="1" numFmtId="166" showAll="0"/>
    <pivotField dataField="1" showAll="0"/>
    <pivotField dataField="1" numFmtId="165" showAll="0"/>
    <pivotField numFmtId="165"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axis="axisPage" showAll="0">
      <items count="4">
        <item x="1"/>
        <item x="0"/>
        <item x="2"/>
        <item t="default"/>
      </items>
    </pivotField>
    <pivotField axis="axisPage" showAll="0">
      <items count="3">
        <item x="0"/>
        <item x="1"/>
        <item t="default"/>
      </items>
    </pivotField>
    <pivotField axis="axisPage" numFmtId="49" showAll="0">
      <items count="7">
        <item x="2"/>
        <item x="0"/>
        <item x="5"/>
        <item x="3"/>
        <item x="4"/>
        <item x="1"/>
        <item t="default"/>
      </items>
    </pivotField>
    <pivotField axis="axisPage" showAll="0">
      <items count="6">
        <item x="4"/>
        <item x="3"/>
        <item x="2"/>
        <item x="0"/>
        <item x="1"/>
        <item t="default"/>
      </items>
    </pivotField>
  </pivotFields>
  <rowItems count="1">
    <i/>
  </rowItems>
  <colFields count="1">
    <field x="-2"/>
  </colFields>
  <colItems count="9">
    <i>
      <x/>
    </i>
    <i i="1">
      <x v="1"/>
    </i>
    <i i="2">
      <x v="2"/>
    </i>
    <i i="3">
      <x v="3"/>
    </i>
    <i i="4">
      <x v="4"/>
    </i>
    <i i="5">
      <x v="5"/>
    </i>
    <i i="6">
      <x v="6"/>
    </i>
    <i i="7">
      <x v="7"/>
    </i>
    <i i="8">
      <x v="8"/>
    </i>
  </colItems>
  <pageFields count="6">
    <pageField fld="21" hier="-1"/>
    <pageField fld="13" hier="-1"/>
    <pageField fld="2" hier="-1"/>
    <pageField fld="22" hier="-1"/>
    <pageField fld="19" hier="-1"/>
    <pageField fld="20" hier="-1"/>
  </pageFields>
  <dataFields count="9">
    <dataField name="Total Volume" fld="4" baseField="0" baseItem="0" numFmtId="166"/>
    <dataField name="Avg $/SF" fld="5" subtotal="average" baseField="0" baseItem="0"/>
    <dataField name="Avg Price" fld="4" subtotal="average" baseField="0" baseItem="0" numFmtId="166"/>
    <dataField name="Min Price" fld="4" subtotal="min" baseField="0" baseItem="0" numFmtId="166"/>
    <dataField name="Max Price" fld="4" subtotal="max" baseField="0" baseItem="0" numFmtId="166"/>
    <dataField name="Min $/SF" fld="5" subtotal="min" baseField="0" baseItem="0"/>
    <dataField name="Max $/SF" fld="5" subtotal="max" baseField="0" baseItem="0"/>
    <dataField name="Avg Size" fld="6" subtotal="average" baseField="0" baseItem="0" numFmtId="165"/>
    <dataField name="Total Sal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07B7A2-C73A-784A-93A7-01068199F7F6}" name="PivotTopSale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N8:AQ173" firstHeaderRow="0" firstDataRow="1" firstDataCol="1" rowPageCount="6" colPageCount="1"/>
  <pivotFields count="23">
    <pivotField compact="0" outline="0" showAll="0"/>
    <pivotField axis="axisRow" compact="0" outline="0" showAll="0" sortType="descending">
      <items count="196">
        <item x="157"/>
        <item x="10"/>
        <item x="11"/>
        <item x="158"/>
        <item x="12"/>
        <item x="13"/>
        <item x="14"/>
        <item x="15"/>
        <item x="159"/>
        <item x="16"/>
        <item x="160"/>
        <item x="17"/>
        <item x="161"/>
        <item x="18"/>
        <item x="19"/>
        <item x="20"/>
        <item x="162"/>
        <item x="21"/>
        <item x="22"/>
        <item x="23"/>
        <item x="24"/>
        <item x="163"/>
        <item x="164"/>
        <item x="25"/>
        <item x="165"/>
        <item x="166"/>
        <item x="26"/>
        <item x="27"/>
        <item x="167"/>
        <item x="28"/>
        <item x="29"/>
        <item x="30"/>
        <item x="31"/>
        <item x="32"/>
        <item x="33"/>
        <item x="34"/>
        <item x="35"/>
        <item x="36"/>
        <item x="37"/>
        <item x="168"/>
        <item x="38"/>
        <item x="39"/>
        <item x="40"/>
        <item x="41"/>
        <item x="42"/>
        <item x="43"/>
        <item x="44"/>
        <item x="169"/>
        <item x="170"/>
        <item x="171"/>
        <item x="45"/>
        <item x="46"/>
        <item x="47"/>
        <item x="0"/>
        <item x="48"/>
        <item x="49"/>
        <item x="50"/>
        <item x="1"/>
        <item x="51"/>
        <item x="172"/>
        <item x="2"/>
        <item x="173"/>
        <item x="174"/>
        <item x="175"/>
        <item x="52"/>
        <item x="176"/>
        <item x="53"/>
        <item x="54"/>
        <item x="55"/>
        <item x="56"/>
        <item x="57"/>
        <item x="58"/>
        <item x="59"/>
        <item x="60"/>
        <item x="61"/>
        <item x="62"/>
        <item x="63"/>
        <item x="64"/>
        <item x="177"/>
        <item x="65"/>
        <item x="66"/>
        <item x="67"/>
        <item x="68"/>
        <item x="69"/>
        <item x="70"/>
        <item x="71"/>
        <item x="72"/>
        <item x="73"/>
        <item x="74"/>
        <item x="75"/>
        <item x="76"/>
        <item x="77"/>
        <item x="78"/>
        <item x="79"/>
        <item x="3"/>
        <item x="80"/>
        <item x="81"/>
        <item x="82"/>
        <item x="83"/>
        <item x="84"/>
        <item x="85"/>
        <item x="86"/>
        <item x="87"/>
        <item x="4"/>
        <item x="88"/>
        <item x="89"/>
        <item x="90"/>
        <item x="91"/>
        <item x="178"/>
        <item x="5"/>
        <item x="92"/>
        <item x="93"/>
        <item x="94"/>
        <item x="95"/>
        <item x="96"/>
        <item x="97"/>
        <item x="98"/>
        <item x="99"/>
        <item x="100"/>
        <item x="101"/>
        <item x="102"/>
        <item x="103"/>
        <item x="104"/>
        <item x="105"/>
        <item x="106"/>
        <item x="107"/>
        <item x="6"/>
        <item x="108"/>
        <item x="109"/>
        <item x="110"/>
        <item x="111"/>
        <item x="112"/>
        <item x="113"/>
        <item x="114"/>
        <item x="179"/>
        <item x="180"/>
        <item x="115"/>
        <item x="116"/>
        <item x="117"/>
        <item x="181"/>
        <item x="118"/>
        <item x="119"/>
        <item x="120"/>
        <item x="7"/>
        <item x="121"/>
        <item x="122"/>
        <item x="182"/>
        <item x="183"/>
        <item x="123"/>
        <item x="124"/>
        <item x="125"/>
        <item x="126"/>
        <item x="127"/>
        <item x="184"/>
        <item x="128"/>
        <item x="129"/>
        <item x="185"/>
        <item x="130"/>
        <item x="131"/>
        <item x="132"/>
        <item x="186"/>
        <item x="8"/>
        <item x="133"/>
        <item x="134"/>
        <item x="135"/>
        <item x="187"/>
        <item x="188"/>
        <item x="189"/>
        <item x="190"/>
        <item x="191"/>
        <item x="136"/>
        <item x="137"/>
        <item x="138"/>
        <item x="139"/>
        <item x="140"/>
        <item x="141"/>
        <item x="142"/>
        <item x="143"/>
        <item x="144"/>
        <item x="145"/>
        <item x="146"/>
        <item x="147"/>
        <item x="148"/>
        <item x="149"/>
        <item x="150"/>
        <item x="151"/>
        <item x="152"/>
        <item x="153"/>
        <item x="9"/>
        <item x="194"/>
        <item x="154"/>
        <item x="155"/>
        <item x="192"/>
        <item x="193"/>
        <item x="156"/>
        <item t="default"/>
      </items>
      <autoSortScope>
        <pivotArea dataOnly="0" outline="0" fieldPosition="0">
          <references count="1">
            <reference field="4294967294" count="1" selected="0">
              <x v="0"/>
            </reference>
          </references>
        </pivotArea>
      </autoSortScope>
    </pivotField>
    <pivotField axis="axisPage" compact="0" outline="0" showAll="0">
      <items count="5">
        <item x="1"/>
        <item x="0"/>
        <item x="2"/>
        <item x="3"/>
        <item t="default"/>
      </items>
    </pivotField>
    <pivotField compact="0" outline="0" showAll="0"/>
    <pivotField dataField="1" compact="0" numFmtId="166" outline="0" showAll="0"/>
    <pivotField dataField="1" compact="0"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4">
        <item x="1"/>
        <item x="0"/>
        <item x="2"/>
        <item t="default"/>
      </items>
    </pivotField>
    <pivotField axis="axisPage" compact="0" outline="0" showAll="0">
      <items count="3">
        <item x="0"/>
        <item h="1" x="1"/>
        <item t="default"/>
      </items>
    </pivotField>
    <pivotField axis="axisPage" compact="0" numFmtId="49" outline="0" showAll="0">
      <items count="7">
        <item x="2"/>
        <item x="0"/>
        <item x="5"/>
        <item x="3"/>
        <item x="4"/>
        <item x="1"/>
        <item t="default"/>
      </items>
    </pivotField>
    <pivotField axis="axisPage" compact="0" outline="0" showAll="0">
      <items count="6">
        <item x="4"/>
        <item x="3"/>
        <item x="2"/>
        <item x="0"/>
        <item x="1"/>
        <item t="default"/>
      </items>
    </pivotField>
  </pivotFields>
  <rowFields count="1">
    <field x="1"/>
  </rowFields>
  <rowItems count="165">
    <i>
      <x v="153"/>
    </i>
    <i>
      <x v="188"/>
    </i>
    <i>
      <x v="147"/>
    </i>
    <i>
      <x v="61"/>
    </i>
    <i>
      <x v="94"/>
    </i>
    <i>
      <x v="143"/>
    </i>
    <i>
      <x/>
    </i>
    <i>
      <x v="22"/>
    </i>
    <i>
      <x v="156"/>
    </i>
    <i>
      <x v="47"/>
    </i>
    <i>
      <x v="49"/>
    </i>
    <i>
      <x v="108"/>
    </i>
    <i>
      <x v="192"/>
    </i>
    <i>
      <x v="63"/>
    </i>
    <i>
      <x v="165"/>
    </i>
    <i>
      <x v="59"/>
    </i>
    <i>
      <x v="139"/>
    </i>
    <i>
      <x v="109"/>
    </i>
    <i>
      <x v="166"/>
    </i>
    <i>
      <x v="11"/>
    </i>
    <i>
      <x v="53"/>
    </i>
    <i>
      <x v="8"/>
    </i>
    <i>
      <x v="65"/>
    </i>
    <i>
      <x v="12"/>
    </i>
    <i>
      <x v="78"/>
    </i>
    <i>
      <x v="1"/>
    </i>
    <i>
      <x v="95"/>
    </i>
    <i>
      <x v="39"/>
    </i>
    <i>
      <x v="160"/>
    </i>
    <i>
      <x v="2"/>
    </i>
    <i>
      <x v="28"/>
    </i>
    <i>
      <x v="167"/>
    </i>
    <i>
      <x v="3"/>
    </i>
    <i>
      <x v="193"/>
    </i>
    <i>
      <x v="69"/>
    </i>
    <i>
      <x v="80"/>
    </i>
    <i>
      <x v="134"/>
    </i>
    <i>
      <x v="57"/>
    </i>
    <i>
      <x v="64"/>
    </i>
    <i>
      <x v="36"/>
    </i>
    <i>
      <x v="168"/>
    </i>
    <i>
      <x v="62"/>
    </i>
    <i>
      <x v="173"/>
    </i>
    <i>
      <x v="92"/>
    </i>
    <i>
      <x v="169"/>
    </i>
    <i>
      <x v="9"/>
    </i>
    <i>
      <x v="42"/>
    </i>
    <i>
      <x v="10"/>
    </i>
    <i>
      <x v="121"/>
    </i>
    <i>
      <x v="111"/>
    </i>
    <i>
      <x v="7"/>
    </i>
    <i>
      <x v="174"/>
    </i>
    <i>
      <x v="114"/>
    </i>
    <i>
      <x v="82"/>
    </i>
    <i>
      <x v="71"/>
    </i>
    <i>
      <x v="97"/>
    </i>
    <i>
      <x v="179"/>
    </i>
    <i>
      <x v="21"/>
    </i>
    <i>
      <x v="70"/>
    </i>
    <i>
      <x v="154"/>
    </i>
    <i>
      <x v="51"/>
    </i>
    <i>
      <x v="164"/>
    </i>
    <i>
      <x v="15"/>
    </i>
    <i>
      <x v="16"/>
    </i>
    <i>
      <x v="66"/>
    </i>
    <i>
      <x v="152"/>
    </i>
    <i>
      <x v="175"/>
    </i>
    <i>
      <x v="150"/>
    </i>
    <i>
      <x v="76"/>
    </i>
    <i>
      <x v="75"/>
    </i>
    <i>
      <x v="191"/>
    </i>
    <i>
      <x v="103"/>
    </i>
    <i>
      <x v="151"/>
    </i>
    <i>
      <x v="54"/>
    </i>
    <i>
      <x v="141"/>
    </i>
    <i>
      <x v="83"/>
    </i>
    <i>
      <x v="29"/>
    </i>
    <i>
      <x v="90"/>
    </i>
    <i>
      <x v="187"/>
    </i>
    <i>
      <x v="32"/>
    </i>
    <i>
      <x v="27"/>
    </i>
    <i>
      <x v="55"/>
    </i>
    <i>
      <x v="194"/>
    </i>
    <i>
      <x v="138"/>
    </i>
    <i>
      <x v="190"/>
    </i>
    <i>
      <x v="18"/>
    </i>
    <i>
      <x v="86"/>
    </i>
    <i>
      <x v="170"/>
    </i>
    <i>
      <x v="101"/>
    </i>
    <i>
      <x v="158"/>
    </i>
    <i>
      <x v="145"/>
    </i>
    <i>
      <x v="46"/>
    </i>
    <i>
      <x v="4"/>
    </i>
    <i>
      <x v="142"/>
    </i>
    <i>
      <x v="58"/>
    </i>
    <i>
      <x v="6"/>
    </i>
    <i>
      <x v="98"/>
    </i>
    <i>
      <x v="159"/>
    </i>
    <i>
      <x v="67"/>
    </i>
    <i>
      <x v="136"/>
    </i>
    <i>
      <x v="110"/>
    </i>
    <i>
      <x v="123"/>
    </i>
    <i>
      <x v="96"/>
    </i>
    <i>
      <x v="38"/>
    </i>
    <i>
      <x v="180"/>
    </i>
    <i>
      <x v="172"/>
    </i>
    <i>
      <x v="100"/>
    </i>
    <i>
      <x v="77"/>
    </i>
    <i>
      <x v="112"/>
    </i>
    <i>
      <x v="89"/>
    </i>
    <i>
      <x v="176"/>
    </i>
    <i>
      <x v="171"/>
    </i>
    <i>
      <x v="128"/>
    </i>
    <i>
      <x v="118"/>
    </i>
    <i>
      <x v="149"/>
    </i>
    <i>
      <x v="184"/>
    </i>
    <i>
      <x v="56"/>
    </i>
    <i>
      <x v="115"/>
    </i>
    <i>
      <x v="186"/>
    </i>
    <i>
      <x v="182"/>
    </i>
    <i>
      <x v="177"/>
    </i>
    <i>
      <x v="104"/>
    </i>
    <i>
      <x v="30"/>
    </i>
    <i>
      <x v="102"/>
    </i>
    <i>
      <x v="162"/>
    </i>
    <i>
      <x v="157"/>
    </i>
    <i>
      <x v="116"/>
    </i>
    <i>
      <x v="44"/>
    </i>
    <i>
      <x v="45"/>
    </i>
    <i>
      <x v="120"/>
    </i>
    <i>
      <x v="34"/>
    </i>
    <i>
      <x v="33"/>
    </i>
    <i>
      <x v="87"/>
    </i>
    <i>
      <x v="68"/>
    </i>
    <i>
      <x v="119"/>
    </i>
    <i>
      <x v="163"/>
    </i>
    <i>
      <x v="144"/>
    </i>
    <i>
      <x v="137"/>
    </i>
    <i>
      <x v="117"/>
    </i>
    <i>
      <x v="178"/>
    </i>
    <i>
      <x v="181"/>
    </i>
    <i>
      <x v="122"/>
    </i>
    <i>
      <x v="85"/>
    </i>
    <i>
      <x v="91"/>
    </i>
    <i>
      <x v="74"/>
    </i>
    <i>
      <x v="185"/>
    </i>
    <i>
      <x v="105"/>
    </i>
    <i>
      <x v="14"/>
    </i>
    <i>
      <x v="35"/>
    </i>
    <i>
      <x v="13"/>
    </i>
    <i>
      <x v="125"/>
    </i>
    <i>
      <x v="132"/>
    </i>
    <i>
      <x v="73"/>
    </i>
    <i>
      <x v="127"/>
    </i>
    <i>
      <x v="99"/>
    </i>
    <i>
      <x v="19"/>
    </i>
    <i>
      <x v="88"/>
    </i>
    <i>
      <x v="84"/>
    </i>
    <i>
      <x v="52"/>
    </i>
    <i>
      <x v="43"/>
    </i>
    <i>
      <x v="40"/>
    </i>
    <i>
      <x v="131"/>
    </i>
    <i>
      <x v="140"/>
    </i>
    <i>
      <x v="81"/>
    </i>
    <i>
      <x v="106"/>
    </i>
  </rowItems>
  <colFields count="1">
    <field x="-2"/>
  </colFields>
  <colItems count="3">
    <i>
      <x/>
    </i>
    <i i="1">
      <x v="1"/>
    </i>
    <i i="2">
      <x v="2"/>
    </i>
  </colItems>
  <pageFields count="6">
    <pageField fld="21" hier="-1"/>
    <pageField fld="13" hier="-1"/>
    <pageField fld="22" hier="-1"/>
    <pageField fld="19" hier="-1"/>
    <pageField fld="2" hier="-1"/>
    <pageField fld="20" hier="-1"/>
  </pageFields>
  <dataFields count="3">
    <dataField name="Price" fld="4" subtotal="max" baseField="0" baseItem="0" numFmtId="166"/>
    <dataField name="$/SF" fld="5" subtotal="max" baseField="0" baseItem="0"/>
    <dataField name="Size" fld="6" subtotal="max"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B04A2E-F74E-C54A-AFFC-7113865298BE}" sourceName="Year">
  <pivotTables>
    <pivotTable tabId="19" name="PivotKPI"/>
    <pivotTable tabId="19" name="PivotCategory"/>
    <pivotTable tabId="19" name="PivotCategoryHelper"/>
    <pivotTable tabId="19" name="PivotCounty"/>
    <pivotTable tabId="19" name="PivotCountyHelper"/>
    <pivotTable tabId="19" name="PivotTopSales"/>
    <pivotTable tabId="19" name="PivotTrend"/>
  </pivotTables>
  <data>
    <tabular pivotCacheId="1106360859">
      <items count="6">
        <i x="2" s="1"/>
        <i x="0" s="1"/>
        <i x="5"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dict" xr10:uid="{A38E0483-9DD6-5E46-B800-16BB2F315C01}" sourceName="Verdict">
  <pivotTables>
    <pivotTable tabId="19" name="PivotKPI"/>
    <pivotTable tabId="19" name="PivotCategory"/>
    <pivotTable tabId="19" name="PivotCategoryHelper"/>
    <pivotTable tabId="19" name="PivotCounty"/>
    <pivotTable tabId="19" name="PivotCountyHelper"/>
    <pivotTable tabId="19" name="PivotTopSales"/>
    <pivotTable tabId="19" name="PivotTrend"/>
  </pivotTables>
  <data>
    <tabular pivotCacheId="11063608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Bracket" xr10:uid="{5BD3CB76-1AD6-6645-81DB-E09EDC598556}" sourceName="Size Bracket">
  <pivotTables>
    <pivotTable tabId="19" name="PivotKPI"/>
    <pivotTable tabId="19" name="PivotCategory"/>
    <pivotTable tabId="19" name="PivotCategoryHelper"/>
    <pivotTable tabId="19" name="PivotCounty"/>
    <pivotTable tabId="19" name="PivotCountyHelper"/>
    <pivotTable tabId="19" name="PivotTopSales"/>
    <pivotTable tabId="19" name="PivotTrend"/>
  </pivotTables>
  <data>
    <tabular pivotCacheId="1106360859">
      <items count="5">
        <i x="4" s="1"/>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_Age" xr10:uid="{8893C850-FD10-8040-A824-3958777B225F}" sourceName="Building Age">
  <pivotTables>
    <pivotTable tabId="19" name="PivotKPI"/>
    <pivotTable tabId="19" name="PivotCategory"/>
    <pivotTable tabId="19" name="PivotCategoryHelper"/>
    <pivotTable tabId="19" name="PivotCounty"/>
    <pivotTable tabId="19" name="PivotCountyHelper"/>
    <pivotTable tabId="19" name="PivotTopSales"/>
    <pivotTable tabId="19" name="PivotTrend"/>
  </pivotTables>
  <data>
    <tabular pivotCacheId="110636085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ier" xr10:uid="{E6A947E5-989D-434A-82B9-587201AE910B}" sourceName="Outlier">
  <pivotTables>
    <pivotTable tabId="19" name="PivotKPI"/>
    <pivotTable tabId="19" name="PivotCategory"/>
    <pivotTable tabId="19" name="PivotCategoryHelper"/>
    <pivotTable tabId="19" name="PivotCounty"/>
    <pivotTable tabId="19" name="PivotCountyHelper"/>
    <pivotTable tabId="19" name="PivotTopSales"/>
    <pivotTable tabId="19" name="PivotTrend"/>
  </pivotTables>
  <data>
    <tabular pivotCacheId="110636085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5AB7908-42EA-BF43-AA05-F6FC5FE28E4D}" sourceName="Year">
  <pivotTables>
    <pivotTable tabId="21" name="PivotKPI"/>
    <pivotTable tabId="21" name="PivotCategory"/>
    <pivotTable tabId="21" name="PivotCategoryHelper"/>
    <pivotTable tabId="21" name="PivotCounty"/>
    <pivotTable tabId="21" name="PivotCountyHelper"/>
    <pivotTable tabId="21" name="PivotTopSales"/>
    <pivotTable tabId="21" name="PivotTrend"/>
  </pivotTables>
  <data>
    <tabular pivotCacheId="1106360859">
      <items count="6">
        <i x="2" s="1"/>
        <i x="0" s="1"/>
        <i x="5" s="1"/>
        <i x="3" s="1"/>
        <i x="4"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dict1" xr10:uid="{A0A1E72E-0281-DE42-90AE-90CE7304954F}" sourceName="Verdict">
  <pivotTables>
    <pivotTable tabId="21" name="PivotKPI"/>
    <pivotTable tabId="21" name="PivotCategory"/>
    <pivotTable tabId="21" name="PivotCategoryHelper"/>
    <pivotTable tabId="21" name="PivotCounty"/>
    <pivotTable tabId="21" name="PivotCountyHelper"/>
    <pivotTable tabId="21" name="PivotTopSales"/>
    <pivotTable tabId="21" name="PivotTrend"/>
  </pivotTables>
  <data>
    <tabular pivotCacheId="1106360859">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Bracket1" xr10:uid="{64392432-AF2F-4E48-AFE3-62417DBA7594}" sourceName="Size Bracket">
  <pivotTables>
    <pivotTable tabId="21" name="PivotKPI"/>
    <pivotTable tabId="21" name="PivotCategory"/>
    <pivotTable tabId="21" name="PivotCategoryHelper"/>
    <pivotTable tabId="21" name="PivotCounty"/>
    <pivotTable tabId="21" name="PivotCountyHelper"/>
    <pivotTable tabId="21" name="PivotTopSales"/>
    <pivotTable tabId="21" name="PivotTrend"/>
  </pivotTables>
  <data>
    <tabular pivotCacheId="1106360859">
      <items count="5">
        <i x="4" s="1"/>
        <i x="3" s="1"/>
        <i x="2"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_Age1" xr10:uid="{435BEF81-53DD-6649-8CCC-F66A935D9029}" sourceName="Building Age">
  <pivotTables>
    <pivotTable tabId="21" name="PivotKPI"/>
    <pivotTable tabId="21" name="PivotCategory"/>
    <pivotTable tabId="21" name="PivotCategoryHelper"/>
    <pivotTable tabId="21" name="PivotCounty"/>
    <pivotTable tabId="21" name="PivotCountyHelper"/>
    <pivotTable tabId="21" name="PivotTopSales"/>
    <pivotTable tabId="21" name="PivotTrend"/>
  </pivotTables>
  <data>
    <tabular pivotCacheId="1106360859">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ier1" xr10:uid="{0E026541-E646-B64F-870C-5C323169F20D}" sourceName="Outlier">
  <pivotTables>
    <pivotTable tabId="21" name="PivotKPI"/>
    <pivotTable tabId="21" name="PivotCategory"/>
    <pivotTable tabId="21" name="PivotCategoryHelper"/>
    <pivotTable tabId="21" name="PivotCounty"/>
    <pivotTable tabId="21" name="PivotCountyHelper"/>
    <pivotTable tabId="21" name="PivotTopSales"/>
    <pivotTable tabId="21" name="PivotTrend"/>
  </pivotTables>
  <data>
    <tabular pivotCacheId="11063608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B9D7FC0-DA60-7142-8529-4B38C589C501}" cache="Slicer_Year" caption="Year" style="SlicerStyleLight4" rowHeight="548640"/>
  <slicer name="Verdict" xr10:uid="{B98BCC60-79EA-5245-9938-FFF264C7D01B}" cache="Slicer_Verdict" caption="Verdict" style="SlicerStyleLight4" rowHeight="548640"/>
  <slicer name="Size Bracket" xr10:uid="{76742234-D1D2-0142-A62A-DEE6960C5FB1}" cache="Slicer_Size_Bracket" caption="Size Bracket" style="SlicerStyleLight4" rowHeight="640080"/>
  <slicer name="Building Age" xr10:uid="{C3F51E26-D1D0-854D-BF9F-9D9CF7E88B42}" cache="Slicer_Building_Age" caption="Building Age" style="SlicerStyleLight4" rowHeight="548640"/>
  <slicer name="Outlier" xr10:uid="{34461259-E479-8949-9BA5-5BE6AAE04C2F}" cache="Slicer_Outlier" caption="Exclude Outliers" style="SlicerStyleLight4"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ACEA90C-ADB6-B74A-8F16-4ABE60E62719}" cache="Slicer_Year1" caption="Year" style="SlicerStyleLight4" rowHeight="548640"/>
  <slicer name="Verdict 1" xr10:uid="{F6DE4B50-B659-104D-BEA2-C98D7CAE32A7}" cache="Slicer_Verdict1" caption="Verdict" style="SlicerStyleLight4" rowHeight="548640"/>
  <slicer name="Size Bracket 1" xr10:uid="{FE69A6F4-4E15-F549-AD15-BA453B419681}" cache="Slicer_Size_Bracket1" caption="Size Bracket" style="SlicerStyleLight4" rowHeight="640080"/>
  <slicer name="Building Age 1" xr10:uid="{40C0E331-E06B-B44F-BE32-DB7952629032}" cache="Slicer_Building_Age1" caption="Building Age" style="SlicerStyleLight4" rowHeight="548640"/>
  <slicer name="Outlier 1" xr10:uid="{E4F7E481-847E-3F43-9EDC-2554A526EE26}" cache="Slicer_Outlier1" caption="Exclude Outliers" style="SlicerStyleLight4"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8A0DC-EEF8-CA46-88DB-F1B93B6FBE22}" name="Table2" displayName="Table2" ref="B2:V1158" totalsRowShown="0" headerRowDxfId="171" dataDxfId="169" headerRowBorderDxfId="170" tableBorderDxfId="168">
  <autoFilter ref="B2:V1158" xr:uid="{291888A9-1D1D-F84E-A4BA-ECE155613360}">
    <filterColumn colId="0" hiddenButton="1"/>
  </autoFilter>
  <sortState xmlns:xlrd2="http://schemas.microsoft.com/office/spreadsheetml/2017/richdata2" ref="B3:S1158">
    <sortCondition ref="N2:N1158"/>
  </sortState>
  <tableColumns count="21">
    <tableColumn id="1" xr3:uid="{A395D0AF-57C6-D64B-942B-5F7C6B8881A8}" name="Prpty Addr" dataDxfId="167"/>
    <tableColumn id="18" xr3:uid="{7EB1A681-12D4-D64D-8D3B-D3DB370D7CEC}" name="County" dataDxfId="166"/>
    <tableColumn id="2" xr3:uid="{C35D78DB-F877-6B4E-8082-51E2E5F382E6}" name="Date Trnsfr" dataDxfId="165"/>
    <tableColumn id="3" xr3:uid="{81FA6793-B9AB-B446-BE4D-F9186037BB3B}" name="Price" dataDxfId="164" dataCellStyle="Currency"/>
    <tableColumn id="6" xr3:uid="{72F385B4-1F05-5D42-AAF1-0C5B65723C8F}" name="$/SF" dataDxfId="163" dataCellStyle="Currency">
      <calculatedColumnFormula>Table2[[#This Row],[Price]]/Table2[[#This Row],[Tot Ht Area]]</calculatedColumnFormula>
    </tableColumn>
    <tableColumn id="4" xr3:uid="{2EB3AD46-E66E-964A-93BD-331C31C6710A}" name="Tot Ht Area" dataDxfId="162"/>
    <tableColumn id="5" xr3:uid="{02F2F8FD-B698-BE43-93C2-6A21E97369EF}" name="Total Area" dataDxfId="161"/>
    <tableColumn id="7" xr3:uid="{E7DD2F5A-2C40-E847-AC2F-05178EF03FE4}" name="Grantee" dataDxfId="160"/>
    <tableColumn id="8" xr3:uid="{C5AB4F84-AA47-F541-BFB7-84C8156C8DEC}" name="Yr Built 1" dataDxfId="159"/>
    <tableColumn id="9" xr3:uid="{602ECE84-4743-4140-BAF8-1A0578189CE8}" name="Use Code" dataDxfId="158"/>
    <tableColumn id="10" xr3:uid="{339A0072-A39C-C742-AB94-C97C155CEB5C}" name="Zoning" dataDxfId="157"/>
    <tableColumn id="11" xr3:uid="{44423232-49DB-D242-8134-E2FABE186D1B}" name="Parcel ID" dataDxfId="156"/>
    <tableColumn id="12" xr3:uid="{FC1C71BC-9B2C-9947-96EB-B84CF767481A}" name="Verdict" dataDxfId="155"/>
    <tableColumn id="13" xr3:uid="{25AA649D-D0C2-D14B-982F-1AE7D753967C}" name="Confidence" dataDxfId="154"/>
    <tableColumn id="14" xr3:uid="{D9BBCEBF-6107-0F42-B9D7-D99A430FDE57}" name="Current Tenant" dataDxfId="153"/>
    <tableColumn id="16" xr3:uid="{597BDE5A-BA89-FD46-A3A6-C0F5E2955F1F}" name="Evidence Link" dataDxfId="152"/>
    <tableColumn id="19" xr3:uid="{0CCD2E51-C056-B748-9E02-D15AA51F3448}" name="Google Map Link" dataDxfId="151"/>
    <tableColumn id="17" xr3:uid="{BA351C21-CF83-2443-A098-C41EBCBACE46}" name="Evidence P2." dataDxfId="150"/>
    <tableColumn id="15" xr3:uid="{8042B8E3-1FA9-7747-B85E-3ED756E1866E}" name="Outlier?" dataDxfId="149"/>
    <tableColumn id="20" xr3:uid="{97BA6369-DC75-EE4C-BD52-21F857D91256}" name="Reason" dataDxfId="148"/>
    <tableColumn id="21" xr3:uid="{E9D1557C-8327-7C44-A404-6E06D1AAC658}" name="Appraiser Link" dataDxfId="147"/>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A26C96-5DC5-5646-A344-EEB98DF5C1FE}" name="SalesData" displayName="SalesData" ref="A2:W197" totalsRowShown="0" headerRowDxfId="146">
  <autoFilter ref="A2:W197" xr:uid="{89A26C96-5DC5-5646-A344-EEB98DF5C1FE}"/>
  <tableColumns count="23">
    <tableColumn id="1" xr3:uid="{4171C552-0476-DB4E-9897-E70235FD6DE6}" name="VERIFIED VIA HUMAN (1-3 GRADE)"/>
    <tableColumn id="2" xr3:uid="{EF73E26C-677E-F44F-9A47-1ABA4C7C19FB}" name="Prpty Addr" dataDxfId="145"/>
    <tableColumn id="3" xr3:uid="{F83C4874-976D-3545-958B-2D50B7C71629}" name="County" dataDxfId="144"/>
    <tableColumn id="4" xr3:uid="{2F02CFD7-D8C6-4542-B0BE-F55BF2F4B87D}" name="Date Trnsfr" dataDxfId="143"/>
    <tableColumn id="5" xr3:uid="{B214F5E9-B7D6-C24E-BF35-69FA397FD365}" name="Price" dataDxfId="142" dataCellStyle="Currency"/>
    <tableColumn id="6" xr3:uid="{C9A08D3F-ED1C-ED4C-9C3A-A9698FDF3DA3}" name="$/SF" dataDxfId="141" dataCellStyle="Currency"/>
    <tableColumn id="7" xr3:uid="{2E37B297-460E-9444-9266-3E3656A47604}" name="Tot Ht Area" dataDxfId="140"/>
    <tableColumn id="8" xr3:uid="{2D0717BC-CC09-3E4B-BDBF-EDB3AD85A5A1}" name="Total Area" dataDxfId="139"/>
    <tableColumn id="9" xr3:uid="{A175CF61-8334-934A-9837-C7845D5B221C}" name="Grantee" dataDxfId="138"/>
    <tableColumn id="10" xr3:uid="{92D24550-E7D5-3745-BD14-77E8A8FA206A}" name="Yr Built 1" dataDxfId="137"/>
    <tableColumn id="11" xr3:uid="{5AC863C3-E5D3-EC49-BA64-53997C145A25}" name="Use Code" dataDxfId="136"/>
    <tableColumn id="12" xr3:uid="{EDFAF887-68A1-C546-952E-DC125C23FD4D}" name="Zoning" dataDxfId="135"/>
    <tableColumn id="13" xr3:uid="{7333B991-486C-FC46-AEF0-1C873B5ED3A6}" name="Parcel ID" dataDxfId="134"/>
    <tableColumn id="14" xr3:uid="{2678D2F7-4669-7A4C-A132-A1DC5BC1E27D}" name="Verdict" dataDxfId="133"/>
    <tableColumn id="15" xr3:uid="{8687755E-6357-A345-B573-A93C272F0F33}" name="Confidence" dataDxfId="132"/>
    <tableColumn id="16" xr3:uid="{7D789783-C70A-3A4D-B3E6-DD9A5F0524F1}" name="Current Tenant" dataDxfId="131"/>
    <tableColumn id="17" xr3:uid="{F7BF3EEF-D2FD-0E45-8443-44C3F148BFEF}" name="Evidence Link" dataDxfId="130" dataCellStyle="Hyperlink"/>
    <tableColumn id="18" xr3:uid="{CD796CE6-3810-7243-9114-ACDBFCF7C7A8}" name="Google Map Link" dataDxfId="129" dataCellStyle="Hyperlink"/>
    <tableColumn id="19" xr3:uid="{8CDB2B90-6145-3841-9D3C-AA1A19431D03}" name="Evidence P2." dataDxfId="128"/>
    <tableColumn id="20" xr3:uid="{400BDBF8-0DB6-164D-A824-9F322D46F496}" name="Building Age" dataDxfId="127"/>
    <tableColumn id="21" xr3:uid="{BE7D7117-7B1A-3044-8994-1282B119EA84}" name="Outlier"/>
    <tableColumn id="22" xr3:uid="{E2283070-D8A2-FA43-8176-23C0A574DAE8}" name="Year" dataDxfId="126">
      <calculatedColumnFormula>LEFT(D3,4)*1</calculatedColumnFormula>
    </tableColumn>
    <tableColumn id="23" xr3:uid="{9FF360F2-1B17-174D-B5C7-461380E176C2}" name="Size Brack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8A9C27B6-C08B-8A46-BC81-07DC20CFA124}">
  <we:reference id="wa200009404" version="1.0.0.8" store="en-US" storeType="OMEX"/>
  <we:alternateReferences>
    <we:reference id="WA200009404" version="1.0.0.8" store="WA200009404" storeType="OMEX"/>
  </we:alternateReferences>
  <we:properties>
    <we:property name="claude.fileId" value="&quot;7a22a93a-d60d-4836-a8aa-3e980c49ce46&quot;"/>
  </we:properties>
  <we:bindings/>
  <we:snapshot xmlns:r="http://schemas.openxmlformats.org/officeDocument/2006/relationships"/>
</we:webextension>
</file>

<file path=xl/webextensions/webextension2.xml><?xml version="1.0" encoding="utf-8"?>
<we:webextension xmlns:we="http://schemas.microsoft.com/office/webextensions/webextension/2010/11" id="{67B9CE80-71B5-8046-BA39-08931A2CD140}">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ebextensions/webextension3.xml><?xml version="1.0" encoding="utf-8"?>
<we:webextension xmlns:we="http://schemas.microsoft.com/office/webextensions/webextension/2010/11" id="{619FCC91-F371-5145-8E6E-A40B9AA9E490}">
  <we:reference id="wa200005502" version="1.0.0.13" store="en-US" storeType="OMEX"/>
  <we:alternateReferences>
    <we:reference id="WA200005502" version="1.0.0.13" store="WA200005502" storeType="OMEX"/>
  </we:alternateReferences>
  <we:properties>
    <we:property name="docId" value="&quot;i07z-ykoXVmAxxQFYd_ql&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17" Type="http://schemas.openxmlformats.org/officeDocument/2006/relationships/hyperlink" Target="https://centralfloridaperio.com/contact-us/" TargetMode="External"/><Relationship Id="rId299" Type="http://schemas.openxmlformats.org/officeDocument/2006/relationships/hyperlink" Target="https://www.loopnet.com/Listing/741-CR-466-Lady-Lake-FL/30425850/" TargetMode="External"/><Relationship Id="rId21" Type="http://schemas.openxmlformats.org/officeDocument/2006/relationships/hyperlink" Target="https://www.lee-associates.com/properties/?propertyId=1079286-lease" TargetMode="External"/><Relationship Id="rId63" Type="http://schemas.openxmlformats.org/officeDocument/2006/relationships/hyperlink" Target="https://www.healthgrades.com/group-directory/fl-florida/sanford/seminole-neurology-associates-pa-xbbyxw" TargetMode="External"/><Relationship Id="rId159" Type="http://schemas.openxmlformats.org/officeDocument/2006/relationships/hyperlink" Target="https://acute-patient-care-afzal-ajaz-md.wheree.com/" TargetMode="External"/><Relationship Id="rId324" Type="http://schemas.openxmlformats.org/officeDocument/2006/relationships/hyperlink" Target="https://npiregistry.cms.hhs.gov/provider-view/1659031961" TargetMode="External"/><Relationship Id="rId170" Type="http://schemas.openxmlformats.org/officeDocument/2006/relationships/hyperlink" Target="https://www.google.com/maps/search/20+Park+Av+S,+FL" TargetMode="External"/><Relationship Id="rId226" Type="http://schemas.openxmlformats.org/officeDocument/2006/relationships/hyperlink" Target="https://www.google.com/maps/search/?api=1&amp;query=241+Obrien+Rd+Seminole+FL" TargetMode="External"/><Relationship Id="rId268" Type="http://schemas.openxmlformats.org/officeDocument/2006/relationships/hyperlink" Target="https://www.complete-care.com/locations/complete-care-lake-mary/" TargetMode="External"/><Relationship Id="rId32" Type="http://schemas.openxmlformats.org/officeDocument/2006/relationships/hyperlink" Target="https://www.google.com/maps/search/3600+Formosa+Av+Orange+FL" TargetMode="External"/><Relationship Id="rId74" Type="http://schemas.openxmlformats.org/officeDocument/2006/relationships/hyperlink" Target="https://www.orlandohealth.com/physician-finder/renee-mueller-md" TargetMode="External"/><Relationship Id="rId128" Type="http://schemas.openxmlformats.org/officeDocument/2006/relationships/hyperlink" Target="https://www.google.com/maps/search/2909+Orange+Av+N+Orange+FL" TargetMode="External"/><Relationship Id="rId335" Type="http://schemas.openxmlformats.org/officeDocument/2006/relationships/hyperlink" Target="https://www.loopnet.com/Listing/1014-E-North-Blvd-Leesburg-FL/5024368/" TargetMode="External"/><Relationship Id="rId5" Type="http://schemas.openxmlformats.org/officeDocument/2006/relationships/hyperlink" Target="https://www.google.com/maps/search/1881+Lee+Rd,+FL" TargetMode="External"/><Relationship Id="rId181" Type="http://schemas.openxmlformats.org/officeDocument/2006/relationships/hyperlink" Target="https://www.loopnet.com/Listing/1460-Minnesota-Ave-Winter-Park-FL/34023170/" TargetMode="External"/><Relationship Id="rId237" Type="http://schemas.openxmlformats.org/officeDocument/2006/relationships/hyperlink" Target="https://www.google.com/maps/search/?api=1&amp;query=777+Altamonte+%23+101+Dr+E+Seminole+FL" TargetMode="External"/><Relationship Id="rId279" Type="http://schemas.openxmlformats.org/officeDocument/2006/relationships/hyperlink" Target="https://ariseautismcenter.com/" TargetMode="External"/><Relationship Id="rId43" Type="http://schemas.openxmlformats.org/officeDocument/2006/relationships/hyperlink" Target="https://www.google.com/maps/search/?api=1&amp;query=601+Dog+Track+Rd+Seminole+FL" TargetMode="External"/><Relationship Id="rId139" Type="http://schemas.openxmlformats.org/officeDocument/2006/relationships/hyperlink" Target="https://npin.cdc.gov/organization/healthymd-0" TargetMode="External"/><Relationship Id="rId290" Type="http://schemas.openxmlformats.org/officeDocument/2006/relationships/hyperlink" Target="https://www.adventhealth.com/locations/adventhealth-sports-med-and-rehab-lake-mary" TargetMode="External"/><Relationship Id="rId304" Type="http://schemas.openxmlformats.org/officeDocument/2006/relationships/hyperlink" Target="https://drgurgen.com/contact-us/" TargetMode="External"/><Relationship Id="rId346" Type="http://schemas.openxmlformats.org/officeDocument/2006/relationships/hyperlink" Target="https://www.loopnet.com/Listing/1511-E-State-Road-434-Winter-Springs-FL/35618226/" TargetMode="External"/><Relationship Id="rId85" Type="http://schemas.openxmlformats.org/officeDocument/2006/relationships/hyperlink" Target="https://www.google.com/maps?q=1043+S+Bass+Rd+Osceola,+FL" TargetMode="External"/><Relationship Id="rId150" Type="http://schemas.openxmlformats.org/officeDocument/2006/relationships/hyperlink" Target="https://floridalungdoctors.com/polynesian-office/" TargetMode="External"/><Relationship Id="rId192" Type="http://schemas.openxmlformats.org/officeDocument/2006/relationships/hyperlink" Target="https://www.google.com/maps/search/?api=1&amp;query=111+Magnolia+Ave+W+Seminole+FL" TargetMode="External"/><Relationship Id="rId206" Type="http://schemas.openxmlformats.org/officeDocument/2006/relationships/hyperlink" Target="https://www.hcafloridahealthcare.com/physicians/profile/Dr-Scott-R-Hannum-DO" TargetMode="External"/><Relationship Id="rId248" Type="http://schemas.openxmlformats.org/officeDocument/2006/relationships/hyperlink" Target="https://asthahealth.com/contact-us/" TargetMode="External"/><Relationship Id="rId12" Type="http://schemas.openxmlformats.org/officeDocument/2006/relationships/hyperlink" Target="https://www.realtor.com/realestateandhomes-detail/206-S-Beaumont-Ave_Kissimmee_FL_34741_M51336-39130" TargetMode="External"/><Relationship Id="rId108" Type="http://schemas.openxmlformats.org/officeDocument/2006/relationships/hyperlink" Target="https://quality.healthfinder.fl.gov/Facility-Provider/Profile/?LID=374972" TargetMode="External"/><Relationship Id="rId315" Type="http://schemas.openxmlformats.org/officeDocument/2006/relationships/hyperlink" Target="https://painandrehab.com/locations/" TargetMode="External"/><Relationship Id="rId54" Type="http://schemas.openxmlformats.org/officeDocument/2006/relationships/hyperlink" Target="https://www.google.com/maps?q=1325+Shelfer+St+Lake,+FL" TargetMode="External"/><Relationship Id="rId96" Type="http://schemas.openxmlformats.org/officeDocument/2006/relationships/hyperlink" Target="https://www.octapharmaplasma.com/plasma-donation/orlando-fl-449/" TargetMode="External"/><Relationship Id="rId161" Type="http://schemas.openxmlformats.org/officeDocument/2006/relationships/hyperlink" Target="https://www.floridakidneycare.com/" TargetMode="External"/><Relationship Id="rId217" Type="http://schemas.openxmlformats.org/officeDocument/2006/relationships/hyperlink" Target="https://www.google.com/maps/search/?api=1&amp;query=784+Central+Ave+S+Seminole+FL" TargetMode="External"/><Relationship Id="rId259" Type="http://schemas.openxmlformats.org/officeDocument/2006/relationships/hyperlink" Target="https://www.google.com/maps/search/811+N+Central+Ave+Osceola+FL" TargetMode="External"/><Relationship Id="rId23" Type="http://schemas.openxmlformats.org/officeDocument/2006/relationships/hyperlink" Target="https://abilityrehabilitation.com/winter-garden-clinic/" TargetMode="External"/><Relationship Id="rId119" Type="http://schemas.openxmlformats.org/officeDocument/2006/relationships/hyperlink" Target="https://www.carecredit.com/doctor-locator/winter-park-fl/desai-dental-234dhr/" TargetMode="External"/><Relationship Id="rId270" Type="http://schemas.openxmlformats.org/officeDocument/2006/relationships/hyperlink" Target="https://heathrowpsychology.com/" TargetMode="External"/><Relationship Id="rId326" Type="http://schemas.openxmlformats.org/officeDocument/2006/relationships/hyperlink" Target="https://tcd-usa.com/contact/" TargetMode="External"/><Relationship Id="rId65" Type="http://schemas.openxmlformats.org/officeDocument/2006/relationships/hyperlink" Target="https://www.carecredit.com/doctor-locator/winter-garden-fl/harmony-dental-care-633hqp/" TargetMode="External"/><Relationship Id="rId130" Type="http://schemas.openxmlformats.org/officeDocument/2006/relationships/hyperlink" Target="https://www.dermgroup.net/" TargetMode="External"/><Relationship Id="rId172" Type="http://schemas.openxmlformats.org/officeDocument/2006/relationships/hyperlink" Target="https://www.loopnet.com/Listing/2702-Rew-Cir-Ocoee-FL/20805631/" TargetMode="External"/><Relationship Id="rId228" Type="http://schemas.openxmlformats.org/officeDocument/2006/relationships/hyperlink" Target="https://www.orlandodermatologycenter.com/location/casselberry-fl" TargetMode="External"/><Relationship Id="rId281" Type="http://schemas.openxmlformats.org/officeDocument/2006/relationships/hyperlink" Target="https://prc-alliance.com/locations/" TargetMode="External"/><Relationship Id="rId337" Type="http://schemas.openxmlformats.org/officeDocument/2006/relationships/hyperlink" Target="https://mayfairpetvets.com/" TargetMode="External"/><Relationship Id="rId34" Type="http://schemas.openxmlformats.org/officeDocument/2006/relationships/hyperlink" Target="https://www.complete-care.com/locations/complete-care-oviedo/" TargetMode="External"/><Relationship Id="rId76" Type="http://schemas.openxmlformats.org/officeDocument/2006/relationships/hyperlink" Target="https://www.pocf.net/" TargetMode="External"/><Relationship Id="rId141" Type="http://schemas.openxmlformats.org/officeDocument/2006/relationships/hyperlink" Target="https://www.cfcg.com/contact-us/" TargetMode="External"/><Relationship Id="rId7" Type="http://schemas.openxmlformats.org/officeDocument/2006/relationships/hyperlink" Target="https://www.google.com/maps/search/311+Circle+Dr,+FL" TargetMode="External"/><Relationship Id="rId183" Type="http://schemas.openxmlformats.org/officeDocument/2006/relationships/hyperlink" Target="https://bungalower.com/2025/06/16/flow-haus-yoga-opens-in-college-park-with-a-whole-new-vibe-and-more-to-come/" TargetMode="External"/><Relationship Id="rId239" Type="http://schemas.openxmlformats.org/officeDocument/2006/relationships/hyperlink" Target="https://mqa-internet.doh.state.fl.us/MQASearchServices/HealthCareProviders/Details?LicInd=25681&amp;ProCde=1501" TargetMode="External"/><Relationship Id="rId250" Type="http://schemas.openxmlformats.org/officeDocument/2006/relationships/hyperlink" Target="https://kidstherapytower.com/about-us/" TargetMode="External"/><Relationship Id="rId292" Type="http://schemas.openxmlformats.org/officeDocument/2006/relationships/hyperlink" Target="https://www.google.com/maps?q=121+La+Grande+Blvd+Lake,+FL" TargetMode="External"/><Relationship Id="rId306" Type="http://schemas.openxmlformats.org/officeDocument/2006/relationships/hyperlink" Target="https://www.google.com/maps/@28.8176464,-81.8774908,3a,16.9y,174.93h,85.93t/data=!3m7!1e1!3m5!1sD1bpb9_7mud9RolGKF6C9w!2e0!6shttps:%2F%2Fstreetviewpixels-pa.googleapis.com%2Fv1%2Fthumbnail%3Fcb_client%3Dmaps_sv.tactile%26w%3D900%26h%3D600%26pitch%3D4.066419333309582%26panoid%3DD1bpb9_7mud9RolGKF6C9w%26yaw%3D174.92757615331712!7i16384!8i8192?entry=ttu&amp;g_ep=EgoyMDI2MDIwMS4wIKXMDSoASAFQAw%3D%3D" TargetMode="External"/><Relationship Id="rId45" Type="http://schemas.openxmlformats.org/officeDocument/2006/relationships/hyperlink" Target="https://www.adventhealth.com/hospital/adventhealth-altamonte-springs/adventhealth-altamonte-springs-location-information" TargetMode="External"/><Relationship Id="rId87" Type="http://schemas.openxmlformats.org/officeDocument/2006/relationships/hyperlink" Target="https://www.mysanitas.com/en/fl/sanitas-apopka" TargetMode="External"/><Relationship Id="rId110" Type="http://schemas.openxmlformats.org/officeDocument/2006/relationships/hyperlink" Target="https://www.carecredit.com/doctor-locator/maitland-fl/vision-source-maitland-876tpt/" TargetMode="External"/><Relationship Id="rId348" Type="http://schemas.openxmlformats.org/officeDocument/2006/relationships/hyperlink" Target="https://https/shafferah.com/.com/" TargetMode="External"/><Relationship Id="rId152" Type="http://schemas.openxmlformats.org/officeDocument/2006/relationships/hyperlink" Target="https://maps.property-appraiser.org/?Pin=152529105000RL0015" TargetMode="External"/><Relationship Id="rId194" Type="http://schemas.openxmlformats.org/officeDocument/2006/relationships/hyperlink" Target="https://www.google.com/maps/search/3116+Washington+St,+FL" TargetMode="External"/><Relationship Id="rId208" Type="http://schemas.openxmlformats.org/officeDocument/2006/relationships/hyperlink" Target="https://www.google.com/maps/search/?api=1&amp;query=658+Oviedo+Medical+Dr+Seminole+FL" TargetMode="External"/><Relationship Id="rId261" Type="http://schemas.openxmlformats.org/officeDocument/2006/relationships/hyperlink" Target="https://flsedationdentistry.com/contact/" TargetMode="External"/><Relationship Id="rId14" Type="http://schemas.openxmlformats.org/officeDocument/2006/relationships/hyperlink" Target="https://www.loopnet.com/Listing/2229-Fortune-Rd-Kissimmee-FL/27666491/" TargetMode="External"/><Relationship Id="rId56" Type="http://schemas.openxmlformats.org/officeDocument/2006/relationships/hyperlink" Target="https://www.google.com/maps?q=731+Ciara+Creek+Cv+Seminole,+FL" TargetMode="External"/><Relationship Id="rId317" Type="http://schemas.openxmlformats.org/officeDocument/2006/relationships/hyperlink" Target="https://www.baystreetwellness.com/" TargetMode="External"/><Relationship Id="rId8" Type="http://schemas.openxmlformats.org/officeDocument/2006/relationships/hyperlink" Target="https://www.google.com/maps/search/20+College+Av+N,+FL" TargetMode="External"/><Relationship Id="rId98" Type="http://schemas.openxmlformats.org/officeDocument/2006/relationships/hyperlink" Target="https://biz.wochamber.com/list/member/adventhealth-centra-care-ocoee-30983" TargetMode="External"/><Relationship Id="rId121" Type="http://schemas.openxmlformats.org/officeDocument/2006/relationships/hyperlink" Target="https://www.adventhealth.com/find-doctor/doctor/hamel-patel-do-1831620392" TargetMode="External"/><Relationship Id="rId142" Type="http://schemas.openxmlformats.org/officeDocument/2006/relationships/hyperlink" Target="https://www.myfloridalicense.com/LicenseDetail.asp?SID=&amp;id=1278E296699828CDB1BCDAEB825BA730" TargetMode="External"/><Relationship Id="rId163" Type="http://schemas.openxmlformats.org/officeDocument/2006/relationships/hyperlink" Target="https://fun4seminolekids.com/Health-Resources/Family-Dental-Practices/Arbor-Dentistry/View-details" TargetMode="External"/><Relationship Id="rId184" Type="http://schemas.openxmlformats.org/officeDocument/2006/relationships/hyperlink" Target="https://www.google.com/maps/search/1321+Edgewater+Dr+Orange+FL" TargetMode="External"/><Relationship Id="rId219" Type="http://schemas.openxmlformats.org/officeDocument/2006/relationships/hyperlink" Target="https://www.dentalplans.com/dentists/florida/oviedo/32765/dr-michael-simpson-13713/" TargetMode="External"/><Relationship Id="rId230" Type="http://schemas.openxmlformats.org/officeDocument/2006/relationships/hyperlink" Target="https://www.google.com/maps/search/?api=1&amp;query=165+Montgomery+Rd+Seminole+FL" TargetMode="External"/><Relationship Id="rId251" Type="http://schemas.openxmlformats.org/officeDocument/2006/relationships/hyperlink" Target="https://www.google.com/maps/search/916+Bryan+St+Osceola+FL" TargetMode="External"/><Relationship Id="rId25" Type="http://schemas.openxmlformats.org/officeDocument/2006/relationships/hyperlink" Target="https://wgobgyn.com/" TargetMode="External"/><Relationship Id="rId46" Type="http://schemas.openxmlformats.org/officeDocument/2006/relationships/hyperlink" Target="https://www.google.com/maps/search/?api=1&amp;query=640+Executive+Park+Ct+Seminole+FL" TargetMode="External"/><Relationship Id="rId67" Type="http://schemas.openxmlformats.org/officeDocument/2006/relationships/hyperlink" Target="https://dentalcareatwestsideshoppes.com/" TargetMode="External"/><Relationship Id="rId272" Type="http://schemas.openxmlformats.org/officeDocument/2006/relationships/hyperlink" Target="https://markharrischiro.com/contact" TargetMode="External"/><Relationship Id="rId293" Type="http://schemas.openxmlformats.org/officeDocument/2006/relationships/hyperlink" Target="https://www.google.com/maps?q=307+Lagrande+Blvd+Lake,+FL" TargetMode="External"/><Relationship Id="rId307" Type="http://schemas.openxmlformats.org/officeDocument/2006/relationships/hyperlink" Target="https://www.schweigerderm.com/location/florida/leesburg/" TargetMode="External"/><Relationship Id="rId328" Type="http://schemas.openxmlformats.org/officeDocument/2006/relationships/hyperlink" Target="https://www.tdscommercialre.com/properties" TargetMode="External"/><Relationship Id="rId349" Type="http://schemas.openxmlformats.org/officeDocument/2006/relationships/table" Target="../tables/table1.xml"/><Relationship Id="rId88" Type="http://schemas.openxmlformats.org/officeDocument/2006/relationships/hyperlink" Target="https://www.essentialeyecareoptical.com/hours-location/" TargetMode="External"/><Relationship Id="rId111" Type="http://schemas.openxmlformats.org/officeDocument/2006/relationships/hyperlink" Target="https://www.premiercardiology.net/" TargetMode="External"/><Relationship Id="rId132" Type="http://schemas.openxmlformats.org/officeDocument/2006/relationships/hyperlink" Target="https://www.wellrx.com/find-a-pharmacy-near-me/pharmacydetail/radiance%20health%20rx/5739771/" TargetMode="External"/><Relationship Id="rId153" Type="http://schemas.openxmlformats.org/officeDocument/2006/relationships/hyperlink" Target="https://www.adventhealth.com/find-doctor/doctor/peter-joseph-casella-md-1245200278" TargetMode="External"/><Relationship Id="rId174" Type="http://schemas.openxmlformats.org/officeDocument/2006/relationships/hyperlink" Target="https://www.loopnet.com/Listing/7232-Sand-Lake-Rd-Orlando-FL/31873125/" TargetMode="External"/><Relationship Id="rId195" Type="http://schemas.openxmlformats.org/officeDocument/2006/relationships/hyperlink" Target="https://www.google.com/search?q=855+Dillard+St+S+Orange+County+FL" TargetMode="External"/><Relationship Id="rId209" Type="http://schemas.openxmlformats.org/officeDocument/2006/relationships/hyperlink" Target="https://www.orlandodermatologycenter.com/location/oviedo-fl" TargetMode="External"/><Relationship Id="rId220" Type="http://schemas.openxmlformats.org/officeDocument/2006/relationships/hyperlink" Target="https://www.google.com/maps/search/?api=1&amp;query=1445+Mitchell+Hammock+Rd+E+Seminole+FL" TargetMode="External"/><Relationship Id="rId241" Type="http://schemas.openxmlformats.org/officeDocument/2006/relationships/hyperlink" Target="https://www.carecredit.com/doctor-locator/altamonte-springs-fl/kim-chiropractic-clinic-pa-378tsf/" TargetMode="External"/><Relationship Id="rId15" Type="http://schemas.openxmlformats.org/officeDocument/2006/relationships/hyperlink" Target="https://www.google.com/maps?q=51+N+Doverplum+Ave+Osceola,+FL" TargetMode="External"/><Relationship Id="rId36" Type="http://schemas.openxmlformats.org/officeDocument/2006/relationships/hyperlink" Target="https://www.loopnet.com/Listing/7560-Red-Bug-Lake-Rd-Oviedo-FL/38255170/" TargetMode="External"/><Relationship Id="rId57" Type="http://schemas.openxmlformats.org/officeDocument/2006/relationships/hyperlink" Target="https://www.loopnet.com/Listing/731-Ciara-Creek-Cv-Longwood-FL/22246283/" TargetMode="External"/><Relationship Id="rId262" Type="http://schemas.openxmlformats.org/officeDocument/2006/relationships/hyperlink" Target="https://midfloridacancercenters.com/locations/sanford/" TargetMode="External"/><Relationship Id="rId283" Type="http://schemas.openxmlformats.org/officeDocument/2006/relationships/hyperlink" Target="https://www.google.com/maps?q=1525+International+%231011+Pkw+Seminole,+FL" TargetMode="External"/><Relationship Id="rId318" Type="http://schemas.openxmlformats.org/officeDocument/2006/relationships/hyperlink" Target="https://www.hcafloridahealthcare.com/locations/mount-dora-emergency" TargetMode="External"/><Relationship Id="rId339" Type="http://schemas.openxmlformats.org/officeDocument/2006/relationships/hyperlink" Target="https://maps.google.com/?cid=12525815501440194295&amp;g_mp=Cidnb29nbGUubWFwcy5wbGFjZXMudjEuUGxhY2VzLlNlYXJjaFRleHQ" TargetMode="External"/><Relationship Id="rId78" Type="http://schemas.openxmlformats.org/officeDocument/2006/relationships/hyperlink" Target="https://www.zillow.com/homedetails/3288-Greenwald-Way-N-Kissimmee-FL-34741/447726131_zpid/" TargetMode="External"/><Relationship Id="rId99" Type="http://schemas.openxmlformats.org/officeDocument/2006/relationships/hyperlink" Target="https://quality.healthfinder.fl.gov/Facility-Provider/Profile/?LID=411051" TargetMode="External"/><Relationship Id="rId101" Type="http://schemas.openxmlformats.org/officeDocument/2006/relationships/hyperlink" Target="https://pediatricmedicalcenter.org/" TargetMode="External"/><Relationship Id="rId122" Type="http://schemas.openxmlformats.org/officeDocument/2006/relationships/hyperlink" Target="https://www.adventhealth.com/hospital/adventhealth-winter-park" TargetMode="External"/><Relationship Id="rId143" Type="http://schemas.openxmlformats.org/officeDocument/2006/relationships/hyperlink" Target="https://vgispublic.ocpafl.org/webmapjs/?pid=292224706001030" TargetMode="External"/><Relationship Id="rId164" Type="http://schemas.openxmlformats.org/officeDocument/2006/relationships/hyperlink" Target="https://www.google.com/maps/search/12100+Colonial+Dr+W,+FL" TargetMode="External"/><Relationship Id="rId185" Type="http://schemas.openxmlformats.org/officeDocument/2006/relationships/hyperlink" Target="https://www.crexi.com/properties/2285495/florida-8000-sf-office-for-sale-in-downtown-orlando" TargetMode="External"/><Relationship Id="rId9" Type="http://schemas.openxmlformats.org/officeDocument/2006/relationships/hyperlink" Target="https://www.google.com/maps/search/2233+Lee+Rd,+FL" TargetMode="External"/><Relationship Id="rId210" Type="http://schemas.openxmlformats.org/officeDocument/2006/relationships/hyperlink" Target="https://www.loopnet.com/Listing/7560-Red-Bug-Lake-Rd-Oviedo-FL/4491979/" TargetMode="External"/><Relationship Id="rId26" Type="http://schemas.openxmlformats.org/officeDocument/2006/relationships/hyperlink" Target="https://search.sunbiz.org/Inquiry/CorporationSearch/SearchResults?InquiryType=EntityName&amp;InquiryDirectionType=ForwardRecord&amp;SearchTerm=OPTIMA%20HOME%20INSPECTIONS%2C%20LLC&amp;SearchNameOrder=OPTIMAILLABORATORIES%20G821190&amp;ListNameOrder=OPTIMAHOMESERVICES%20P990000974750&amp;Detail=FL.DOS.Corporations.Shared.Contracts.FilingRecord" TargetMode="External"/><Relationship Id="rId231" Type="http://schemas.openxmlformats.org/officeDocument/2006/relationships/hyperlink" Target="https://myfavoritetherapists.com/altamonte-springs-center/" TargetMode="External"/><Relationship Id="rId252" Type="http://schemas.openxmlformats.org/officeDocument/2006/relationships/hyperlink" Target="https://hurtaid.com/directory/medical-provider/wolf-chiropractic-kissimmee/" TargetMode="External"/><Relationship Id="rId273" Type="http://schemas.openxmlformats.org/officeDocument/2006/relationships/hyperlink" Target="https://markharrischiro.com/" TargetMode="External"/><Relationship Id="rId294" Type="http://schemas.openxmlformats.org/officeDocument/2006/relationships/hyperlink" Target="https://www.universalsmilesdentistry.com/The-Villages" TargetMode="External"/><Relationship Id="rId308" Type="http://schemas.openxmlformats.org/officeDocument/2006/relationships/hyperlink" Target="https://www.orlandohealth.com/physician-finder/shakti-narain-md" TargetMode="External"/><Relationship Id="rId329" Type="http://schemas.openxmlformats.org/officeDocument/2006/relationships/hyperlink" Target="https://www.google.com/maps/search/10131+Colonial+Dr+W,+FL" TargetMode="External"/><Relationship Id="rId47" Type="http://schemas.openxmlformats.org/officeDocument/2006/relationships/hyperlink" Target="https://www.google.com/maps/search/?api=1&amp;query=242+Westmonte+%23+210+Dr+N+Seminole+FL" TargetMode="External"/><Relationship Id="rId68" Type="http://schemas.openxmlformats.org/officeDocument/2006/relationships/hyperlink" Target="https://fun4seminolekids.com/Health-Resources/Family-Dental-Practices/Arbor-Dentistry/View-details" TargetMode="External"/><Relationship Id="rId89" Type="http://schemas.openxmlformats.org/officeDocument/2006/relationships/hyperlink" Target="https://www.google.com/maps/search/416+Main+St+E,+FL" TargetMode="External"/><Relationship Id="rId112" Type="http://schemas.openxmlformats.org/officeDocument/2006/relationships/hyperlink" Target="https://web.hcaoa.org/Home-Care-Provider/SYNERGY-HomeCare-Greater-Orlando-14958" TargetMode="External"/><Relationship Id="rId133" Type="http://schemas.openxmlformats.org/officeDocument/2006/relationships/hyperlink" Target="https://www.cancommunityhealth.org/orlando/" TargetMode="External"/><Relationship Id="rId154" Type="http://schemas.openxmlformats.org/officeDocument/2006/relationships/hyperlink" Target="https://www.loopnet.com/Listing/1010-1020-W-Oak-St-Kissimmee-FL/31250163/" TargetMode="External"/><Relationship Id="rId175" Type="http://schemas.openxmlformats.org/officeDocument/2006/relationships/hyperlink" Target="https://www.google.com/maps/search/7232+Sand+Lake+Rd+W,+FL" TargetMode="External"/><Relationship Id="rId340" Type="http://schemas.openxmlformats.org/officeDocument/2006/relationships/hyperlink" Target="http://www.townecenteranimalhospital.com/" TargetMode="External"/><Relationship Id="rId196" Type="http://schemas.openxmlformats.org/officeDocument/2006/relationships/hyperlink" Target="https://www.londonfoster.com/public/properties/winter-garden-12324-mls-o6264561" TargetMode="External"/><Relationship Id="rId200" Type="http://schemas.openxmlformats.org/officeDocument/2006/relationships/hyperlink" Target="https://valstarrealty.com/locations" TargetMode="External"/><Relationship Id="rId16" Type="http://schemas.openxmlformats.org/officeDocument/2006/relationships/hyperlink" Target="https://www.google.com/maps?q=800+Office+Plaza+Blvd+Osceola,+FL" TargetMode="External"/><Relationship Id="rId221" Type="http://schemas.openxmlformats.org/officeDocument/2006/relationships/hyperlink" Target="https://www.oviedosmiles.com/our-locations" TargetMode="External"/><Relationship Id="rId242" Type="http://schemas.openxmlformats.org/officeDocument/2006/relationships/hyperlink" Target="https://www.derrowdermatology.com/our-office/" TargetMode="External"/><Relationship Id="rId263" Type="http://schemas.openxmlformats.org/officeDocument/2006/relationships/hyperlink" Target="https://physicaltherapynow.com/locations/sanford-lake-mary/" TargetMode="External"/><Relationship Id="rId284" Type="http://schemas.openxmlformats.org/officeDocument/2006/relationships/hyperlink" Target="https://www.dunwoodydental.net/" TargetMode="External"/><Relationship Id="rId319" Type="http://schemas.openxmlformats.org/officeDocument/2006/relationships/hyperlink" Target="https://physiciansimaging.com/locations/mount-dora/" TargetMode="External"/><Relationship Id="rId37" Type="http://schemas.openxmlformats.org/officeDocument/2006/relationships/hyperlink" Target="https://www.oviedoendo.com/contact-us/" TargetMode="External"/><Relationship Id="rId58" Type="http://schemas.openxmlformats.org/officeDocument/2006/relationships/hyperlink" Target="https://www.bbb.org/us/fl/lake-mary/profile/hormone-replacement-therapy/rejuve-health-clinics-inc-0733-90335543" TargetMode="External"/><Relationship Id="rId79" Type="http://schemas.openxmlformats.org/officeDocument/2006/relationships/hyperlink" Target="https://www.medicai.io/medical-imaging-providers/radiology-and-imaging-specialists-kissimmee-kissimmee-florida" TargetMode="External"/><Relationship Id="rId102" Type="http://schemas.openxmlformats.org/officeDocument/2006/relationships/hyperlink" Target="https://www.westorangeorthopaedics.com/" TargetMode="External"/><Relationship Id="rId123" Type="http://schemas.openxmlformats.org/officeDocument/2006/relationships/hyperlink" Target="https://www.google.com/maps/search/600+Wilkinson+St+Orange+FL" TargetMode="External"/><Relationship Id="rId144" Type="http://schemas.openxmlformats.org/officeDocument/2006/relationships/hyperlink" Target="https://www.zocdoc.com/doctor/angel-ho-md-115642" TargetMode="External"/><Relationship Id="rId330" Type="http://schemas.openxmlformats.org/officeDocument/2006/relationships/hyperlink" Target="https://www.google.com/maps/search/126+Colonial+Dr+E+Orange+FL" TargetMode="External"/><Relationship Id="rId90" Type="http://schemas.openxmlformats.org/officeDocument/2006/relationships/hyperlink" Target="https://www.kwsouthshore.com/listings/listing/416-e-main-st-apopka-fl--O6171656/" TargetMode="External"/><Relationship Id="rId165" Type="http://schemas.openxmlformats.org/officeDocument/2006/relationships/hyperlink" Target="https://www.crexi.com/property-records/1207-DANIELS-WINTER-GARDEN-FL-34787/7098de1c88aa1c1be75e9a881083c5bb742ec848" TargetMode="External"/><Relationship Id="rId186" Type="http://schemas.openxmlformats.org/officeDocument/2006/relationships/hyperlink" Target="https://www.loopnet.com/Listing/1701-W-1st-St-Sanford-FL/28259426/" TargetMode="External"/><Relationship Id="rId211" Type="http://schemas.openxmlformats.org/officeDocument/2006/relationships/hyperlink" Target="https://www.google.com/maps/search/?api=1&amp;query=816+Executive+Dr+Seminole+FL" TargetMode="External"/><Relationship Id="rId232" Type="http://schemas.openxmlformats.org/officeDocument/2006/relationships/hyperlink" Target="https://www.google.com/maps/search/?api=1&amp;query=317+Northlake+%23+1000+Blvd+Seminole+FL" TargetMode="External"/><Relationship Id="rId253" Type="http://schemas.openxmlformats.org/officeDocument/2006/relationships/hyperlink" Target="https://mysanitas.com/en/fl/sanitas-kissimmee-oak" TargetMode="External"/><Relationship Id="rId274" Type="http://schemas.openxmlformats.org/officeDocument/2006/relationships/hyperlink" Target="https://www.heathrowsc.com/" TargetMode="External"/><Relationship Id="rId295" Type="http://schemas.openxmlformats.org/officeDocument/2006/relationships/hyperlink" Target="https://www.hcafloridaphysicians.com/locations/ocala-vascular-surgery/the-villages" TargetMode="External"/><Relationship Id="rId309" Type="http://schemas.openxmlformats.org/officeDocument/2006/relationships/hyperlink" Target="https://ufhealth.org/locations/uf-health-surgical-specialists-leesburg-medical-plaza" TargetMode="External"/><Relationship Id="rId27" Type="http://schemas.openxmlformats.org/officeDocument/2006/relationships/hyperlink" Target="https://www.google.com/maps/search/6416+Old+Winter+Garden+Rd,+FL" TargetMode="External"/><Relationship Id="rId48" Type="http://schemas.openxmlformats.org/officeDocument/2006/relationships/hyperlink" Target="https://www.psoriasis.org/health-care-provider-directory/michael-steppie-associates-in-dermatology-altamonte-springs/" TargetMode="External"/><Relationship Id="rId69" Type="http://schemas.openxmlformats.org/officeDocument/2006/relationships/hyperlink" Target="https://www.google.com/maps/place/The+Apopka+Chief/@28.6858866,-81.5094495,3a,75y,259.52h,93.25t/data=!3m7!1e1!3m5!1spgbMU3RtXAFgivJ1cywkrQ!2e0!6shttps:%2F%2Fstreetviewpixels-pa.googleapis.com%2Fv1%2Fthumbnail%3Fcb_client%3Dmaps_sv.tactile%26w%3D900%26h%3D600%26pitch%3D-3.247669854686251%26panoid%3DpgbMU3RtXAFgivJ1cywkrQ%26yaw%3D259.5246747376673!7i16384!8i8192!4m16!1m9!3m8!1s0x88e7760750c4eb55:0xbbbdd437c178a2ea!2s400+N+Park+Ave,+Apopka,+FL+32712!3b1!8m2!3d28.6858038!4d-81.5097155!10e5!16s%2Fg%2F11bw404sf0!3m5!1s0x88e79dfbdc8ce6df:0x194d4eeb9f1befe3!8m2!3d28.6858059!4d-81.5097369!16s%2Fg%2F1tdzmcr2?entry=ttu&amp;g_ep=EgoyMDI2MDEyNS4wIKXMDSoASAFQAw%3D%3D" TargetMode="External"/><Relationship Id="rId113" Type="http://schemas.openxmlformats.org/officeDocument/2006/relationships/hyperlink" Target="https://www.hcafloridahealthcare.com/locations/maitland-emergency" TargetMode="External"/><Relationship Id="rId134" Type="http://schemas.openxmlformats.org/officeDocument/2006/relationships/hyperlink" Target="https://lyoncounseling.care/therapist/" TargetMode="External"/><Relationship Id="rId320" Type="http://schemas.openxmlformats.org/officeDocument/2006/relationships/hyperlink" Target="https://www.google.com/maps?q=3615+Lake+Center+Dr+Lake,+FL" TargetMode="External"/><Relationship Id="rId80" Type="http://schemas.openxmlformats.org/officeDocument/2006/relationships/hyperlink" Target="https://kissimmeeendocenter.com/location/kissimmee-endoscopy-center/" TargetMode="External"/><Relationship Id="rId155" Type="http://schemas.openxmlformats.org/officeDocument/2006/relationships/hyperlink" Target="https://www.google.com/maps/search/1010+W+Oak+St+Osceola+FL" TargetMode="External"/><Relationship Id="rId176" Type="http://schemas.openxmlformats.org/officeDocument/2006/relationships/hyperlink" Target="https://www.ronsellsthebeach.com/property-search/detail/240/O6341577/926-n-maitland-ave-maitland-fl-32751/" TargetMode="External"/><Relationship Id="rId197" Type="http://schemas.openxmlformats.org/officeDocument/2006/relationships/hyperlink" Target="https://www.storespace.com/contact-store-space" TargetMode="External"/><Relationship Id="rId341" Type="http://schemas.openxmlformats.org/officeDocument/2006/relationships/hyperlink" Target="https://www.markhamwoodsanimalhospital.com/" TargetMode="External"/><Relationship Id="rId201" Type="http://schemas.openxmlformats.org/officeDocument/2006/relationships/hyperlink" Target="https://www.loopnet.com/Listing/1800-Town-Plaza-Ct-Winter-Springs-FL/29666491/" TargetMode="External"/><Relationship Id="rId222" Type="http://schemas.openxmlformats.org/officeDocument/2006/relationships/hyperlink" Target="https://hopedentalimplantcenter.com/location" TargetMode="External"/><Relationship Id="rId243" Type="http://schemas.openxmlformats.org/officeDocument/2006/relationships/hyperlink" Target="https://www.eyesurgeryassociatesflorida.com/" TargetMode="External"/><Relationship Id="rId264" Type="http://schemas.openxmlformats.org/officeDocument/2006/relationships/hyperlink" Target="https://www.saveondentistry.dentist/" TargetMode="External"/><Relationship Id="rId285" Type="http://schemas.openxmlformats.org/officeDocument/2006/relationships/hyperlink" Target="https://nubodyorlando.com/" TargetMode="External"/><Relationship Id="rId17" Type="http://schemas.openxmlformats.org/officeDocument/2006/relationships/hyperlink" Target="https://www.google.com/maps?q=725+Alfred+St+E+Lake,+FL" TargetMode="External"/><Relationship Id="rId38" Type="http://schemas.openxmlformats.org/officeDocument/2006/relationships/hyperlink" Target="https://www.towerlawgroup.com/find-us" TargetMode="External"/><Relationship Id="rId59" Type="http://schemas.openxmlformats.org/officeDocument/2006/relationships/hyperlink" Target="https://www.google.com/maps?q=405+Waymont+Ct+Seminole,+FL" TargetMode="External"/><Relationship Id="rId103" Type="http://schemas.openxmlformats.org/officeDocument/2006/relationships/hyperlink" Target="https://www.premierfsm.com/contact/ocoee/" TargetMode="External"/><Relationship Id="rId124" Type="http://schemas.openxmlformats.org/officeDocument/2006/relationships/hyperlink" Target="https://www.adventhealth.com/practice/adventhealth-medical-group/find-a-location?page=68" TargetMode="External"/><Relationship Id="rId310" Type="http://schemas.openxmlformats.org/officeDocument/2006/relationships/hyperlink" Target="https://www.google.com/maps?q=705+Doctors+Ct+Lake,+FL" TargetMode="External"/><Relationship Id="rId70" Type="http://schemas.openxmlformats.org/officeDocument/2006/relationships/hyperlink" Target="https://www.patientconnect365.com/Dentists/Florida/Apopka/32712/A_Soft_Touch_in_Family_Dental_Care__Dr_John_Gammichia_kvo8lh" TargetMode="External"/><Relationship Id="rId91" Type="http://schemas.openxmlformats.org/officeDocument/2006/relationships/hyperlink" Target="https://www.tenantbase.com/us/building/217796" TargetMode="External"/><Relationship Id="rId145" Type="http://schemas.openxmlformats.org/officeDocument/2006/relationships/hyperlink" Target="https://lifeskillsbehavioralhealth.com/location/orlando-outpatient/" TargetMode="External"/><Relationship Id="rId166" Type="http://schemas.openxmlformats.org/officeDocument/2006/relationships/hyperlink" Target="https://www.google.com/maps/search/1207+Daniels+Rd,+FL" TargetMode="External"/><Relationship Id="rId187" Type="http://schemas.openxmlformats.org/officeDocument/2006/relationships/hyperlink" Target="https://search.sunbiz.org/Inquiry/CorporationSearch/ByName" TargetMode="External"/><Relationship Id="rId331" Type="http://schemas.openxmlformats.org/officeDocument/2006/relationships/hyperlink" Target="https://www.google.com/maps/search/1701+Park+Center+Dr,+FL" TargetMode="External"/><Relationship Id="rId1" Type="http://schemas.openxmlformats.org/officeDocument/2006/relationships/hyperlink" Target="https://search.sunbiz.org/Inquiry/CorporationSearch/SearchResults?InquiryType=EntityName&amp;InquiryDirectionType=ForwardRecord&amp;SearchTerm=LIVE%20HOLDINGS%20ONE%20LLC" TargetMode="External"/><Relationship Id="rId212" Type="http://schemas.openxmlformats.org/officeDocument/2006/relationships/hyperlink" Target="https://www.familytreeprimarycare.com/" TargetMode="External"/><Relationship Id="rId233" Type="http://schemas.openxmlformats.org/officeDocument/2006/relationships/hyperlink" Target="https://www.google.com/maps/search/?api=1&amp;query=321+Maitland+%23+1000+Ave+Seminole+FL" TargetMode="External"/><Relationship Id="rId254" Type="http://schemas.openxmlformats.org/officeDocument/2006/relationships/hyperlink" Target="https://www.google.com/maps/search/833+E+Oak+St+Osceola+FL" TargetMode="External"/><Relationship Id="rId28" Type="http://schemas.openxmlformats.org/officeDocument/2006/relationships/hyperlink" Target="https://questinc.org/quest-kids-academy/" TargetMode="External"/><Relationship Id="rId49" Type="http://schemas.openxmlformats.org/officeDocument/2006/relationships/hyperlink" Target="https://www.adventhealth.com/find-doctor/doctor/john-g-durham-dpm-1235103268" TargetMode="External"/><Relationship Id="rId114" Type="http://schemas.openxmlformats.org/officeDocument/2006/relationships/hyperlink" Target="https://maitland-dentistry.wheree.com/" TargetMode="External"/><Relationship Id="rId275" Type="http://schemas.openxmlformats.org/officeDocument/2006/relationships/hyperlink" Target="https://wiewioraanddunn.com/locations/lake-mary-orthodontist/" TargetMode="External"/><Relationship Id="rId296" Type="http://schemas.openxmlformats.org/officeDocument/2006/relationships/hyperlink" Target="https://www.google.com/maps?q=111+La+Grande+Blvd+Lake,+FL" TargetMode="External"/><Relationship Id="rId300" Type="http://schemas.openxmlformats.org/officeDocument/2006/relationships/hyperlink" Target="https://www.google.com/maps?q=212+County+Road+466+Lake,+FL" TargetMode="External"/><Relationship Id="rId60" Type="http://schemas.openxmlformats.org/officeDocument/2006/relationships/hyperlink" Target="https://www.google.com/maps?q=701+Platinum+Pt+Seminole,+FL" TargetMode="External"/><Relationship Id="rId81" Type="http://schemas.openxmlformats.org/officeDocument/2006/relationships/hyperlink" Target="https://www.google.com/maps/search/715+Oak+Commons+Blvd+Osceola+FL" TargetMode="External"/><Relationship Id="rId135" Type="http://schemas.openxmlformats.org/officeDocument/2006/relationships/hyperlink" Target="https://vgispublic.ocpafl.org/webmapjs/?pid=292213942902310" TargetMode="External"/><Relationship Id="rId156" Type="http://schemas.openxmlformats.org/officeDocument/2006/relationships/hyperlink" Target="https://www.myfloridalegal.com/vicitm-services-providers/park-place-behavioral-health-care" TargetMode="External"/><Relationship Id="rId177" Type="http://schemas.openxmlformats.org/officeDocument/2006/relationships/hyperlink" Target="https://www.loopnet.com/Listing/2200-Lee-Rd-Winter-Park-FL/24836441/" TargetMode="External"/><Relationship Id="rId198" Type="http://schemas.openxmlformats.org/officeDocument/2006/relationships/hyperlink" Target="https://thediscoverpreschool.com/contact/" TargetMode="External"/><Relationship Id="rId321" Type="http://schemas.openxmlformats.org/officeDocument/2006/relationships/hyperlink" Target="https://www.va.gov/orlando-health-care/locations/clermont-va-clinic/" TargetMode="External"/><Relationship Id="rId342" Type="http://schemas.openxmlformats.org/officeDocument/2006/relationships/hyperlink" Target="https://www.loopnet.com/Listing/2670-2690-S-Orlando-Dr-Sanford-FL/35204476/" TargetMode="External"/><Relationship Id="rId202" Type="http://schemas.openxmlformats.org/officeDocument/2006/relationships/hyperlink" Target="https://www.loopnet.com/Listing/1100-Town-Plaza-Ct-Winter-Springs-FL/25139039/" TargetMode="External"/><Relationship Id="rId223" Type="http://schemas.openxmlformats.org/officeDocument/2006/relationships/hyperlink" Target="https://www.healthgrades.com/group-directory/fl-florida/winter-springs/optum-tuskawilla-x3xdcn" TargetMode="External"/><Relationship Id="rId244" Type="http://schemas.openxmlformats.org/officeDocument/2006/relationships/hyperlink" Target="https://www.google.com/maps/search/?api=1&amp;query=2771+SR+434+W+Seminole+FL" TargetMode="External"/><Relationship Id="rId18" Type="http://schemas.openxmlformats.org/officeDocument/2006/relationships/hyperlink" Target="https://maps.google.com/?cid=6194286865675023957&amp;g_mp=Cidnb29nbGUubWFwcy5wbGFjZXMudjEuUGxhY2VzLlNlYXJjaFRleHQ" TargetMode="External"/><Relationship Id="rId39" Type="http://schemas.openxmlformats.org/officeDocument/2006/relationships/hyperlink" Target="https://www.carespot.com/carespot-urgent-care/oviedo-fl/" TargetMode="External"/><Relationship Id="rId265" Type="http://schemas.openxmlformats.org/officeDocument/2006/relationships/hyperlink" Target="https://coastalmhc.com/" TargetMode="External"/><Relationship Id="rId286" Type="http://schemas.openxmlformats.org/officeDocument/2006/relationships/hyperlink" Target="https://www.hcafloridaphysicians.com/locations/lake-mary-primary-care/" TargetMode="External"/><Relationship Id="rId50" Type="http://schemas.openxmlformats.org/officeDocument/2006/relationships/hyperlink" Target="https://longwoodfamilydentistry.com/" TargetMode="External"/><Relationship Id="rId104" Type="http://schemas.openxmlformats.org/officeDocument/2006/relationships/hyperlink" Target="https://www.maxliving.com/clinic/maxliving-chiropractic-orlando" TargetMode="External"/><Relationship Id="rId125" Type="http://schemas.openxmlformats.org/officeDocument/2006/relationships/hyperlink" Target="https://www.loopnet.com/Listing/954-S-Orlando-Ave-Winter-Park-FL/22329340/" TargetMode="External"/><Relationship Id="rId146" Type="http://schemas.openxmlformats.org/officeDocument/2006/relationships/hyperlink" Target="https://seamless.ai/b/charter-research-6612681" TargetMode="External"/><Relationship Id="rId167" Type="http://schemas.openxmlformats.org/officeDocument/2006/relationships/hyperlink" Target="https://search.sunbiz.org/Inquiry/corporationsearch/SearchResultDetail?inquirytype=EntityName&amp;directionType=Initial&amp;searchNameOrder=ANTONRX%20L210004523910" TargetMode="External"/><Relationship Id="rId188" Type="http://schemas.openxmlformats.org/officeDocument/2006/relationships/hyperlink" Target="https://maps.google.com/?cid=1507629469026860988&amp;g_mp=Cidnb29nbGUubWFwcy5wbGFjZXMudjEuUGxhY2VzLlNlYXJjaFRleHQ" TargetMode="External"/><Relationship Id="rId311" Type="http://schemas.openxmlformats.org/officeDocument/2006/relationships/hyperlink" Target="https://myfamilyfirsthc.com/locations/" TargetMode="External"/><Relationship Id="rId332" Type="http://schemas.openxmlformats.org/officeDocument/2006/relationships/hyperlink" Target="https://www.google.com/maps/search/1615+Edgewater+Dr+Orange+FL" TargetMode="External"/><Relationship Id="rId71" Type="http://schemas.openxmlformats.org/officeDocument/2006/relationships/hyperlink" Target="https://www.google.com/maps/search/172+4th+St+W,+FL" TargetMode="External"/><Relationship Id="rId92" Type="http://schemas.openxmlformats.org/officeDocument/2006/relationships/hyperlink" Target="https://www.loopnet.com/Listing/221-E-Main-St-Apopka-FL/33041684/" TargetMode="External"/><Relationship Id="rId213" Type="http://schemas.openxmlformats.org/officeDocument/2006/relationships/hyperlink" Target="https://www.google.com/maps/search/?api=1&amp;query=872+Executive+Dr+Seminole+FL" TargetMode="External"/><Relationship Id="rId234" Type="http://schemas.openxmlformats.org/officeDocument/2006/relationships/hyperlink" Target="https://www.kidzandfamilykare.com/" TargetMode="External"/><Relationship Id="rId2" Type="http://schemas.openxmlformats.org/officeDocument/2006/relationships/hyperlink" Target="https://www.bhhsresults.com/fl/167-lookout-place-maitland-32751/pid-343877728" TargetMode="External"/><Relationship Id="rId29" Type="http://schemas.openxmlformats.org/officeDocument/2006/relationships/hyperlink" Target="https://www.google.com/maps/search/2134+Kentucky+Av+Orange+FL" TargetMode="External"/><Relationship Id="rId255" Type="http://schemas.openxmlformats.org/officeDocument/2006/relationships/hyperlink" Target="https://npiregistry.cms.hhs.gov/provider-view/1255527735" TargetMode="External"/><Relationship Id="rId276" Type="http://schemas.openxmlformats.org/officeDocument/2006/relationships/hyperlink" Target="https://www.google.com/maps?q=550+Rinehart+Rd+Seminole,+FL" TargetMode="External"/><Relationship Id="rId297" Type="http://schemas.openxmlformats.org/officeDocument/2006/relationships/hyperlink" Target="https://www.villagedental.com/" TargetMode="External"/><Relationship Id="rId40" Type="http://schemas.openxmlformats.org/officeDocument/2006/relationships/hyperlink" Target="https://www.scpafl.org/search/parcels/details/?APPRID=5277022" TargetMode="External"/><Relationship Id="rId115" Type="http://schemas.openxmlformats.org/officeDocument/2006/relationships/hyperlink" Target="https://knightdermatology.com/location/winter-park-fl/" TargetMode="External"/><Relationship Id="rId136" Type="http://schemas.openxmlformats.org/officeDocument/2006/relationships/hyperlink" Target="https://www.evolveorl.com/contact-us/" TargetMode="External"/><Relationship Id="rId157" Type="http://schemas.openxmlformats.org/officeDocument/2006/relationships/hyperlink" Target="https://sunshinefmwc.com/" TargetMode="External"/><Relationship Id="rId178" Type="http://schemas.openxmlformats.org/officeDocument/2006/relationships/hyperlink" Target="https://www.google.com/maps/search/2306+Lee+Rd,+FL" TargetMode="External"/><Relationship Id="rId301" Type="http://schemas.openxmlformats.org/officeDocument/2006/relationships/hyperlink" Target="https://healingtouch212.wixsite.com/healingtouchmassage" TargetMode="External"/><Relationship Id="rId322" Type="http://schemas.openxmlformats.org/officeDocument/2006/relationships/hyperlink" Target="https://www.rameyecare.com/" TargetMode="External"/><Relationship Id="rId343" Type="http://schemas.openxmlformats.org/officeDocument/2006/relationships/hyperlink" Target="https://lakemaryvetclinic.com/" TargetMode="External"/><Relationship Id="rId61" Type="http://schemas.openxmlformats.org/officeDocument/2006/relationships/hyperlink" Target="https://www.google.com/maps/@28.7721607,-81.3497901,3a,75y,291.04h,93.54t/data=!3m7!1e1!3m5!1sqPekVc-UKabixt961KyGng!2e0!6shttps:%2F%2Fstreetviewpixels-pa.googleapis.com%2Fv1%2Fthumbnail%3Fcb_client%3Dmaps_sv.tactile%26w%3D900%26h%3D600%26pitch%3D-3.5400000000000063%26panoid%3DqPekVc-UKabixt961KyGng%26yaw%3D291.04!7i16384!8i8192?entry=ttu&amp;g_ep=EgoyMDI2MDEyNS4wIKXMDSoASAFQAw%3D%3D" TargetMode="External"/><Relationship Id="rId82" Type="http://schemas.openxmlformats.org/officeDocument/2006/relationships/hyperlink" Target="https://www.healthgrades.com/group-directory/fl-florida/kissimmee/osceola-cardio-pulmonary-clinic-u3ykvh2" TargetMode="External"/><Relationship Id="rId199" Type="http://schemas.openxmlformats.org/officeDocument/2006/relationships/hyperlink" Target="https://www.loopnet.com/Listing/2-W-OAKLAND-Ave-Oakland-FL/6593639/" TargetMode="External"/><Relationship Id="rId203" Type="http://schemas.openxmlformats.org/officeDocument/2006/relationships/hyperlink" Target="https://www.google.com/maps/search/?api=1&amp;query=1100+Town+Plaza+Ct+Seminole+FL" TargetMode="External"/><Relationship Id="rId19" Type="http://schemas.openxmlformats.org/officeDocument/2006/relationships/hyperlink" Target="https://www.google.com/maps/search/1200+Plant+St+E,+FL" TargetMode="External"/><Relationship Id="rId224" Type="http://schemas.openxmlformats.org/officeDocument/2006/relationships/hyperlink" Target="https://www.google.com/maps/search/?api=1&amp;query=1008+Willa+Springs+Dr+Seminole+FL" TargetMode="External"/><Relationship Id="rId245" Type="http://schemas.openxmlformats.org/officeDocument/2006/relationships/hyperlink" Target="https://www.orlandohealth.com/" TargetMode="External"/><Relationship Id="rId266" Type="http://schemas.openxmlformats.org/officeDocument/2006/relationships/hyperlink" Target="https://terracinadentalcare.com/" TargetMode="External"/><Relationship Id="rId287" Type="http://schemas.openxmlformats.org/officeDocument/2006/relationships/hyperlink" Target="https://www.fsps.org/doctors/edgar-sosa-do/" TargetMode="External"/><Relationship Id="rId30" Type="http://schemas.openxmlformats.org/officeDocument/2006/relationships/hyperlink" Target="https://fcep.org/contact/" TargetMode="External"/><Relationship Id="rId105" Type="http://schemas.openxmlformats.org/officeDocument/2006/relationships/hyperlink" Target="https://venetian-pointe-dentistry.wheree.com/" TargetMode="External"/><Relationship Id="rId126" Type="http://schemas.openxmlformats.org/officeDocument/2006/relationships/hyperlink" Target="https://npiregistry.cms.hhs.gov/provider-view/1841680733" TargetMode="External"/><Relationship Id="rId147" Type="http://schemas.openxmlformats.org/officeDocument/2006/relationships/hyperlink" Target="https://www.google.com/maps/search/1510+Colonial+Dr+E+Orange+FL" TargetMode="External"/><Relationship Id="rId168" Type="http://schemas.openxmlformats.org/officeDocument/2006/relationships/hyperlink" Target="https://www.google.com/maps/search/54+Plant+St+E,+FL" TargetMode="External"/><Relationship Id="rId312" Type="http://schemas.openxmlformats.org/officeDocument/2006/relationships/hyperlink" Target="https://www.google.com/maps?q=923+Dixie+Ave+W+Lake,+FL" TargetMode="External"/><Relationship Id="rId333" Type="http://schemas.openxmlformats.org/officeDocument/2006/relationships/hyperlink" Target="https://mediweightloss.com/weight-loss-clinic/winterpark/" TargetMode="External"/><Relationship Id="rId51" Type="http://schemas.openxmlformats.org/officeDocument/2006/relationships/hyperlink" Target="https://www.google.com/maps/place/Longwood+Family+Dentistry/@28.6886786,-81.3932489,65m/data=!3m1!1e3!4m6!3m5!1s0x88e77237ac80fe1b:0xd76bec3d385b730d!8m2!3d28.688632!4d-81.393241!16s%2Fg%2F1v1kqpdt?entry=ttu&amp;g_ep=EgoyMDI2MDEyNS4wIKXMDSoASAFQAw%3D%3D" TargetMode="External"/><Relationship Id="rId72" Type="http://schemas.openxmlformats.org/officeDocument/2006/relationships/hyperlink" Target="https://www.southlandconstruction.com/" TargetMode="External"/><Relationship Id="rId93" Type="http://schemas.openxmlformats.org/officeDocument/2006/relationships/hyperlink" Target="https://www.google.com/maps/search/221+Main+St+E,+FL" TargetMode="External"/><Relationship Id="rId189" Type="http://schemas.openxmlformats.org/officeDocument/2006/relationships/hyperlink" Target="https://www.loopnet.com/Listing/795-Primera-Blvd-Lake-Mary-FL/15799815/" TargetMode="External"/><Relationship Id="rId3" Type="http://schemas.openxmlformats.org/officeDocument/2006/relationships/hyperlink" Target="https://www.loopnet.com/Listing/6359-Edgewater-Dr-Orlando-FL/9515258/" TargetMode="External"/><Relationship Id="rId214" Type="http://schemas.openxmlformats.org/officeDocument/2006/relationships/hyperlink" Target="https://modern-foot-and-ankle-3.wheree.com/" TargetMode="External"/><Relationship Id="rId235" Type="http://schemas.openxmlformats.org/officeDocument/2006/relationships/hyperlink" Target="https://flcancer.com/location/altamonte/" TargetMode="External"/><Relationship Id="rId256" Type="http://schemas.openxmlformats.org/officeDocument/2006/relationships/hyperlink" Target="https://www.carecredit.com/doctor-locator/kissimmee-fl/yes-dental-associates-of-florida-885jxq/" TargetMode="External"/><Relationship Id="rId277" Type="http://schemas.openxmlformats.org/officeDocument/2006/relationships/hyperlink" Target="https://www.adventhealth.com/hospital/adventhealth-children/lake-mary-pediatric-specialty-clinic" TargetMode="External"/><Relationship Id="rId298" Type="http://schemas.openxmlformats.org/officeDocument/2006/relationships/hyperlink" Target="https://www.heritagedentaloffice.com/" TargetMode="External"/><Relationship Id="rId116" Type="http://schemas.openxmlformats.org/officeDocument/2006/relationships/hyperlink" Target="https://www.clinicalconnection.com/research-center-profile/view-profile/476547/conquest-research" TargetMode="External"/><Relationship Id="rId137" Type="http://schemas.openxmlformats.org/officeDocument/2006/relationships/hyperlink" Target="https://www.aidshealth.org/locations/fl-orlando-rx/" TargetMode="External"/><Relationship Id="rId158" Type="http://schemas.openxmlformats.org/officeDocument/2006/relationships/hyperlink" Target="https://www.loopnet.com/Listing/1045-1085-N-John-Young-Pky-Kissimmee-FL/31094164/" TargetMode="External"/><Relationship Id="rId302" Type="http://schemas.openxmlformats.org/officeDocument/2006/relationships/hyperlink" Target="https://davisfamilyhearing.com/" TargetMode="External"/><Relationship Id="rId323" Type="http://schemas.openxmlformats.org/officeDocument/2006/relationships/hyperlink" Target="https://www.google.com/maps/search/?api=1&amp;query=141+Waterman+Ave+Lake+FL" TargetMode="External"/><Relationship Id="rId344" Type="http://schemas.openxmlformats.org/officeDocument/2006/relationships/hyperlink" Target="https://www.myfloridalicense.com/LicenseDetail.asp?SID=&amp;id=846B397AAE6BE1ADC895273DC593ED1F" TargetMode="External"/><Relationship Id="rId20" Type="http://schemas.openxmlformats.org/officeDocument/2006/relationships/hyperlink" Target="https://www.google.com/maps/search/330+East+Crown+Point+Rd,+FL" TargetMode="External"/><Relationship Id="rId41" Type="http://schemas.openxmlformats.org/officeDocument/2006/relationships/hyperlink" Target="https://www.loopnet.com/Listing/1049-Willa-Springs-Dr-Winter-Springs-FL/28712543/" TargetMode="External"/><Relationship Id="rId62" Type="http://schemas.openxmlformats.org/officeDocument/2006/relationships/hyperlink" Target="http://google.com/maps/place/Lake+Mary+Surgery+Center/@28.772181,-81.3525949,17z/data=!3m1!4b1!4m6!3m5!1s0x88e70d526596ad05:0xe4c80bcdfdf62b6!8m2!3d28.772181!4d-81.35002!16s%2Fg%2F1tnjkd0j?entry=ttu&amp;g_ep=EgoyMDI2MDEyNS4wIKXMDSoASAFQAw%3D%3D" TargetMode="External"/><Relationship Id="rId83" Type="http://schemas.openxmlformats.org/officeDocument/2006/relationships/hyperlink" Target="https://www.basspetresort.com/about-us/location/" TargetMode="External"/><Relationship Id="rId179" Type="http://schemas.openxmlformats.org/officeDocument/2006/relationships/hyperlink" Target="https://www.google.com/maps/search/1010+Arthur+Av+Orange+FL" TargetMode="External"/><Relationship Id="rId190" Type="http://schemas.openxmlformats.org/officeDocument/2006/relationships/hyperlink" Target="https://www.realty.com/commercial-listings/361178951/261-E-Airport-Boulevard-Sanford-FL-32773" TargetMode="External"/><Relationship Id="rId204" Type="http://schemas.openxmlformats.org/officeDocument/2006/relationships/hyperlink" Target="https://www.hcafloridaphysicians.com/locations/osceola-urology/kissimmee" TargetMode="External"/><Relationship Id="rId225" Type="http://schemas.openxmlformats.org/officeDocument/2006/relationships/hyperlink" Target="https://thesmiledesignwillasprings.com/make-appointment" TargetMode="External"/><Relationship Id="rId246" Type="http://schemas.openxmlformats.org/officeDocument/2006/relationships/hyperlink" Target="https://www.google.com/maps/search/903+W+Oak+St+Osceola+FL" TargetMode="External"/><Relationship Id="rId267" Type="http://schemas.openxmlformats.org/officeDocument/2006/relationships/hyperlink" Target="https://www.cayahealth.com/" TargetMode="External"/><Relationship Id="rId288" Type="http://schemas.openxmlformats.org/officeDocument/2006/relationships/hyperlink" Target="https://www.adventhealth.com/find-doctor/doctor/nathan-deangelis-do-1316139454" TargetMode="External"/><Relationship Id="rId106" Type="http://schemas.openxmlformats.org/officeDocument/2006/relationships/hyperlink" Target="https://getvipcare.com/our-locations/orlando-metro-west" TargetMode="External"/><Relationship Id="rId127" Type="http://schemas.openxmlformats.org/officeDocument/2006/relationships/hyperlink" Target="https://www.adventhealth.com/" TargetMode="External"/><Relationship Id="rId313" Type="http://schemas.openxmlformats.org/officeDocument/2006/relationships/hyperlink" Target="https://www.leesburgsignaturesmiles.com/" TargetMode="External"/><Relationship Id="rId10" Type="http://schemas.openxmlformats.org/officeDocument/2006/relationships/hyperlink" Target="https://www.google.com/maps/search/5165+Adanson+St,+FL" TargetMode="External"/><Relationship Id="rId31" Type="http://schemas.openxmlformats.org/officeDocument/2006/relationships/hyperlink" Target="https://www.carecredit.com/doctor-locator/orlando-fl/hillcrest-dental-222gct/" TargetMode="External"/><Relationship Id="rId52" Type="http://schemas.openxmlformats.org/officeDocument/2006/relationships/hyperlink" Target="https://www.thesmiledesign.com/locations/winter-springs/" TargetMode="External"/><Relationship Id="rId73" Type="http://schemas.openxmlformats.org/officeDocument/2006/relationships/hyperlink" Target="https://hjproud.com/" TargetMode="External"/><Relationship Id="rId94" Type="http://schemas.openxmlformats.org/officeDocument/2006/relationships/hyperlink" Target="https://www.loopnet.com/Listing/175-E-Main-St-Apopka-FL/31346793/" TargetMode="External"/><Relationship Id="rId148" Type="http://schemas.openxmlformats.org/officeDocument/2006/relationships/hyperlink" Target="https://www.ajhcompletecarellc.org/contact-5" TargetMode="External"/><Relationship Id="rId169" Type="http://schemas.openxmlformats.org/officeDocument/2006/relationships/hyperlink" Target="https://www.loopnet.com/Listing/404-W-Orange-Blossom-Tr-Apopka-FL/28471952/" TargetMode="External"/><Relationship Id="rId334" Type="http://schemas.openxmlformats.org/officeDocument/2006/relationships/hyperlink" Target="https://flourishresearch.com/locations/orlando/" TargetMode="External"/><Relationship Id="rId4" Type="http://schemas.openxmlformats.org/officeDocument/2006/relationships/hyperlink" Target="https://www.loopnet.com/Listing/20-S-Park-Ave-Apopka-FL/16369407/" TargetMode="External"/><Relationship Id="rId180" Type="http://schemas.openxmlformats.org/officeDocument/2006/relationships/hyperlink" Target="https://www.google.com/maps/search/1298+Minnesota+Av+Orange+FL" TargetMode="External"/><Relationship Id="rId215" Type="http://schemas.openxmlformats.org/officeDocument/2006/relationships/hyperlink" Target="https://www.bbb.org/us/fl/grove-city/category/acupressure" TargetMode="External"/><Relationship Id="rId236" Type="http://schemas.openxmlformats.org/officeDocument/2006/relationships/hyperlink" Target="https://cfpphysiciansgroup.com/about-cfp/" TargetMode="External"/><Relationship Id="rId257" Type="http://schemas.openxmlformats.org/officeDocument/2006/relationships/hyperlink" Target="https://www.carecredit.com/doctor-locator/kissimmee-fl/akumin-kissimmee-334jkf/" TargetMode="External"/><Relationship Id="rId278" Type="http://schemas.openxmlformats.org/officeDocument/2006/relationships/hyperlink" Target="https://www.google.com/maps?q=580+Rinehart+%23100+Rd+Seminole,+FL" TargetMode="External"/><Relationship Id="rId303" Type="http://schemas.openxmlformats.org/officeDocument/2006/relationships/hyperlink" Target="https://www.google.com/maps?q=1338+Citizens+Blvd+Lake,+FL" TargetMode="External"/><Relationship Id="rId42" Type="http://schemas.openxmlformats.org/officeDocument/2006/relationships/hyperlink" Target="https://www.google.com/maps/search/?api=1&amp;query=1049+Willa+Springs+Dr+Seminole+FL" TargetMode="External"/><Relationship Id="rId84" Type="http://schemas.openxmlformats.org/officeDocument/2006/relationships/hyperlink" Target="https://www.google.com/maps?q=1000+E+Irlo+Bronson+Memorial+Osceola,+FL" TargetMode="External"/><Relationship Id="rId138" Type="http://schemas.openxmlformats.org/officeDocument/2006/relationships/hyperlink" Target="https://www.healthgrades.com/group-directory/fl-florida/orlando/optum-lake-ivanhoe-xqkhm9" TargetMode="External"/><Relationship Id="rId345" Type="http://schemas.openxmlformats.org/officeDocument/2006/relationships/hyperlink" Target="https://www.daisysphysicaltherapy.com/" TargetMode="External"/><Relationship Id="rId191" Type="http://schemas.openxmlformats.org/officeDocument/2006/relationships/hyperlink" Target="https://www.loopnet.com/Listing/320-W-Burleigh-Blvd-Tavares-FL/18724440/" TargetMode="External"/><Relationship Id="rId205" Type="http://schemas.openxmlformats.org/officeDocument/2006/relationships/hyperlink" Target="https://gastrohealth.com/locations/kissimmee" TargetMode="External"/><Relationship Id="rId247" Type="http://schemas.openxmlformats.org/officeDocument/2006/relationships/hyperlink" Target="https://drahmed.com/" TargetMode="External"/><Relationship Id="rId107" Type="http://schemas.openxmlformats.org/officeDocument/2006/relationships/hyperlink" Target="https://www.carecredit.com/doctor-locator/orlando-fl/belmart-llc-dr-phillips-265cdx/" TargetMode="External"/><Relationship Id="rId289" Type="http://schemas.openxmlformats.org/officeDocument/2006/relationships/hyperlink" Target="https://www.google.com/maps?q=4106+Lake+Mary+%23330+Blvd+W+Seminole,+FL" TargetMode="External"/><Relationship Id="rId11" Type="http://schemas.openxmlformats.org/officeDocument/2006/relationships/hyperlink" Target="https://www.google.com/maps/search/?api=1&amp;query=311+Maitland+Ave+Seminole+FL" TargetMode="External"/><Relationship Id="rId53" Type="http://schemas.openxmlformats.org/officeDocument/2006/relationships/hyperlink" Target="https://www.google.com/maps/search/?api=1&amp;query=1122+SR+434+E+Seminole+FL" TargetMode="External"/><Relationship Id="rId149" Type="http://schemas.openxmlformats.org/officeDocument/2006/relationships/hyperlink" Target="https://newmanplasticsurgery.com/about-us/meet-dr-newman" TargetMode="External"/><Relationship Id="rId314" Type="http://schemas.openxmlformats.org/officeDocument/2006/relationships/hyperlink" Target="https://www.centeranklefootcare.com/" TargetMode="External"/><Relationship Id="rId95" Type="http://schemas.openxmlformats.org/officeDocument/2006/relationships/hyperlink" Target="https://www.elegantlydental.com/ocoee-fl/" TargetMode="External"/><Relationship Id="rId160" Type="http://schemas.openxmlformats.org/officeDocument/2006/relationships/hyperlink" Target="https://www.google.com/maps/search/1040+Mann+St+Osceola+FL" TargetMode="External"/><Relationship Id="rId216" Type="http://schemas.openxmlformats.org/officeDocument/2006/relationships/hyperlink" Target="https://www.google.com/maps/search/?api=1&amp;query=988+Westwood+Sq+Seminole+FL" TargetMode="External"/><Relationship Id="rId258" Type="http://schemas.openxmlformats.org/officeDocument/2006/relationships/hyperlink" Target="https://www.ppbh.org/" TargetMode="External"/><Relationship Id="rId22" Type="http://schemas.openxmlformats.org/officeDocument/2006/relationships/hyperlink" Target="https://www.google.com/maps/search/1133+Crown+Park+Ci,+FL" TargetMode="External"/><Relationship Id="rId64" Type="http://schemas.openxmlformats.org/officeDocument/2006/relationships/hyperlink" Target="https://www.carecredit.com/doctor-locator/winter-garden-fl/oral-surgery-center-of-west-orlando-pqr222/" TargetMode="External"/><Relationship Id="rId118" Type="http://schemas.openxmlformats.org/officeDocument/2006/relationships/hyperlink" Target="https://vgispublic.ocpafl.org/webmapjs/?pid=292202000000062" TargetMode="External"/><Relationship Id="rId325" Type="http://schemas.openxmlformats.org/officeDocument/2006/relationships/hyperlink" Target="https://blog.impresivhealth.com/" TargetMode="External"/><Relationship Id="rId171" Type="http://schemas.openxmlformats.org/officeDocument/2006/relationships/hyperlink" Target="https://www.loopnet.com/Listing/566-Ocoee-Commerce-Pky-Ocoee-FL/38309702/" TargetMode="External"/><Relationship Id="rId227" Type="http://schemas.openxmlformats.org/officeDocument/2006/relationships/hyperlink" Target="https://www.abaorlando.com/" TargetMode="External"/><Relationship Id="rId269" Type="http://schemas.openxmlformats.org/officeDocument/2006/relationships/hyperlink" Target="https://orlandocardiacspecialists.com/contact-us/" TargetMode="External"/><Relationship Id="rId33" Type="http://schemas.openxmlformats.org/officeDocument/2006/relationships/hyperlink" Target="https://www.tolbirth.com/" TargetMode="External"/><Relationship Id="rId129" Type="http://schemas.openxmlformats.org/officeDocument/2006/relationships/hyperlink" Target="https://ascendvision.com/locations/orlando/" TargetMode="External"/><Relationship Id="rId280" Type="http://schemas.openxmlformats.org/officeDocument/2006/relationships/hyperlink" Target="https://www.orlandohealth.com/locations/orlando-health-jewett-orthopedic-institute-lake-mary-platinum-point" TargetMode="External"/><Relationship Id="rId336" Type="http://schemas.openxmlformats.org/officeDocument/2006/relationships/hyperlink" Target="https://www.loopnet.com/Listing/4522-Clarcona-Ocoee-Rd-Orlando-FL/4141358/" TargetMode="External"/><Relationship Id="rId75" Type="http://schemas.openxmlformats.org/officeDocument/2006/relationships/hyperlink" Target="https://www.google.com/maps/search/308+Groveland+St+Orange+FL" TargetMode="External"/><Relationship Id="rId140" Type="http://schemas.openxmlformats.org/officeDocument/2006/relationships/hyperlink" Target="https://www.carecredit.com/doctor-locator/orlando-fl/mills-dental-group-935wkf/" TargetMode="External"/><Relationship Id="rId182" Type="http://schemas.openxmlformats.org/officeDocument/2006/relationships/hyperlink" Target="https://www.google.com/maps/search/1460+Minnesota+Av+Orange+FL" TargetMode="External"/><Relationship Id="rId6" Type="http://schemas.openxmlformats.org/officeDocument/2006/relationships/hyperlink" Target="https://www.google.com/maps/search/1901+Lee+Rd,+FL" TargetMode="External"/><Relationship Id="rId238" Type="http://schemas.openxmlformats.org/officeDocument/2006/relationships/hyperlink" Target="https://altamonte-dental-care.wheree.com/" TargetMode="External"/><Relationship Id="rId291" Type="http://schemas.openxmlformats.org/officeDocument/2006/relationships/hyperlink" Target="https://healthmatrix.com/location/orlando-lake-mary-florida/" TargetMode="External"/><Relationship Id="rId305" Type="http://schemas.openxmlformats.org/officeDocument/2006/relationships/hyperlink" Target="https://northcampusrehab.com/" TargetMode="External"/><Relationship Id="rId347" Type="http://schemas.openxmlformats.org/officeDocument/2006/relationships/hyperlink" Target="https://veconline.com/locations/casselberry/" TargetMode="External"/><Relationship Id="rId44" Type="http://schemas.openxmlformats.org/officeDocument/2006/relationships/hyperlink" Target="https://www.peopleready.com/location/orlando-fl-7233/" TargetMode="External"/><Relationship Id="rId86" Type="http://schemas.openxmlformats.org/officeDocument/2006/relationships/hyperlink" Target="https://www.optum.com/en/" TargetMode="External"/><Relationship Id="rId151" Type="http://schemas.openxmlformats.org/officeDocument/2006/relationships/hyperlink" Target="https://maps.property-appraiser.org/?Pin=152529467300010010" TargetMode="External"/><Relationship Id="rId193" Type="http://schemas.openxmlformats.org/officeDocument/2006/relationships/hyperlink" Target="https://www.homes.com/property/3116-e-washington-st-orlando-fl/wjrj4hhtq0pl4/" TargetMode="External"/><Relationship Id="rId207" Type="http://schemas.openxmlformats.org/officeDocument/2006/relationships/hyperlink" Target="https://www.orlandohealth.com/physician-finder/alan-r-forbes-md" TargetMode="External"/><Relationship Id="rId249" Type="http://schemas.openxmlformats.org/officeDocument/2006/relationships/hyperlink" Target="https://liveimplanttraining.com/contact-live-implants/" TargetMode="External"/><Relationship Id="rId13" Type="http://schemas.openxmlformats.org/officeDocument/2006/relationships/hyperlink" Target="https://www.zillow.com/homedetails/51-N-Doverplum-Ave-Kissimmee-FL-34746/46276846_zpid/" TargetMode="External"/><Relationship Id="rId109" Type="http://schemas.openxmlformats.org/officeDocument/2006/relationships/hyperlink" Target="https://www.nemours.org/locations/florida-primary-care-pediatrician-maitland.html" TargetMode="External"/><Relationship Id="rId260" Type="http://schemas.openxmlformats.org/officeDocument/2006/relationships/hyperlink" Target="https://quality.healthfinder.fl.gov/Facility-Provider/Profile/?LID=315654" TargetMode="External"/><Relationship Id="rId316" Type="http://schemas.openxmlformats.org/officeDocument/2006/relationships/hyperlink" Target="https://lake-square-chiropractic-p-a.wheree.com/" TargetMode="External"/><Relationship Id="rId55" Type="http://schemas.openxmlformats.org/officeDocument/2006/relationships/hyperlink" Target="https://www.teslabiohealing.com/collections/tesla-medbed-center-leesburg-fl?_gl=1*1xto5k9*_up*MQ..*_gs*MQ..&amp;gclid=Cj0KCQiA4eHLBhCzARIsAJ2NZoJRZHoXlV2PzH6wioAFL_veuWE690gULyIChXBzgXKXzzmRF0ucLcIaAtBOEALw_wcB&amp;gbraid=0AAAABA6AXXQfB9RTa1dJXefhwUNHr8n3u" TargetMode="External"/><Relationship Id="rId97" Type="http://schemas.openxmlformats.org/officeDocument/2006/relationships/hyperlink" Target="https://quality.healthfinder.fl.gov/Facility-Provider/Profile/?LID=484031" TargetMode="External"/><Relationship Id="rId120" Type="http://schemas.openxmlformats.org/officeDocument/2006/relationships/hyperlink" Target="https://www.adventhealth.com/find-doctor/doctor/basiem-barsoum-md-1104099456" TargetMode="External"/><Relationship Id="rId162" Type="http://schemas.openxmlformats.org/officeDocument/2006/relationships/hyperlink" Target="https://www.google.com/maps/search/721+Oak+Commons+Blvd+Osceola+FL" TargetMode="External"/><Relationship Id="rId218" Type="http://schemas.openxmlformats.org/officeDocument/2006/relationships/hyperlink" Target="https://business.owsrcc.org/list/member/pharmacy-on-the-park-6201.htm" TargetMode="External"/><Relationship Id="rId271" Type="http://schemas.openxmlformats.org/officeDocument/2006/relationships/hyperlink" Target="https://www.simonmed.com/locations/fl/florida-lake-mary-ii/" TargetMode="External"/><Relationship Id="rId24" Type="http://schemas.openxmlformats.org/officeDocument/2006/relationships/hyperlink" Target="https://allianceforcareathome.org/nahc_provider/gentiva-hospice-winter-garden/" TargetMode="External"/><Relationship Id="rId66" Type="http://schemas.openxmlformats.org/officeDocument/2006/relationships/hyperlink" Target="https://biz.wochamber.com/list/member/horizons-obgyn-30930" TargetMode="External"/><Relationship Id="rId131" Type="http://schemas.openxmlformats.org/officeDocument/2006/relationships/hyperlink" Target="https://d2dstudy.org/florida/" TargetMode="External"/><Relationship Id="rId327" Type="http://schemas.openxmlformats.org/officeDocument/2006/relationships/hyperlink" Target="https://www.cipparonepa.com/" TargetMode="External"/><Relationship Id="rId173" Type="http://schemas.openxmlformats.org/officeDocument/2006/relationships/hyperlink" Target="https://www.bosshardtrealty.com/listing/O6296860/5749-westgate-drive-orlando-fl-32835/" TargetMode="External"/><Relationship Id="rId229" Type="http://schemas.openxmlformats.org/officeDocument/2006/relationships/hyperlink" Target="https://www.google.com/maps/search/?api=1&amp;query=370+Northlake+%23+1000+Blvd+Seminole+FL" TargetMode="External"/><Relationship Id="rId240" Type="http://schemas.openxmlformats.org/officeDocument/2006/relationships/hyperlink" Target="https://www.healingpsychiatryflorida.com/offices/altamonte-springs/" TargetMode="External"/><Relationship Id="rId35" Type="http://schemas.openxmlformats.org/officeDocument/2006/relationships/hyperlink" Target="https://www.google.com/maps/search/?api=1&amp;query=7560+Red+Bug+Lake+%23+2084+Rd+Seminole+FL" TargetMode="External"/><Relationship Id="rId77" Type="http://schemas.openxmlformats.org/officeDocument/2006/relationships/hyperlink" Target="https://www.google.com/maps/search/3298+Greenwald+Way+N+Osceola+FL" TargetMode="External"/><Relationship Id="rId100" Type="http://schemas.openxmlformats.org/officeDocument/2006/relationships/hyperlink" Target="https://quality.healthfinder.fl.gov/Facility-Provider/Profile/?LID=517292" TargetMode="External"/><Relationship Id="rId282" Type="http://schemas.openxmlformats.org/officeDocument/2006/relationships/hyperlink" Target="https://www.google.com/maps?q=761+Stirling+Center+Pl+Seminole,+FL" TargetMode="External"/><Relationship Id="rId338" Type="http://schemas.openxmlformats.org/officeDocument/2006/relationships/hyperlink" Target="https://osceolaanimalclinic.com/"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erracinadentalcare.com/" TargetMode="External"/><Relationship Id="rId21" Type="http://schemas.openxmlformats.org/officeDocument/2006/relationships/hyperlink" Target="https://www.realty.com/commercial-listings/361178951/261-E-Airport-Boulevard-Sanford-FL-32773" TargetMode="External"/><Relationship Id="rId42" Type="http://schemas.openxmlformats.org/officeDocument/2006/relationships/hyperlink" Target="https://www.maxliving.com/clinic/maxliving-chiropractic-orlando" TargetMode="External"/><Relationship Id="rId63" Type="http://schemas.openxmlformats.org/officeDocument/2006/relationships/hyperlink" Target="https://www.loopnet.com/Listing/954-S-Orlando-Ave-Winter-Park-FL/22329340/" TargetMode="External"/><Relationship Id="rId84" Type="http://schemas.openxmlformats.org/officeDocument/2006/relationships/hyperlink" Target="https://newmanplasticsurgery.com/about-us/meet-dr-newman" TargetMode="External"/><Relationship Id="rId138" Type="http://schemas.openxmlformats.org/officeDocument/2006/relationships/hyperlink" Target="https://www.universalsmilesdentistry.com/The-Villages" TargetMode="External"/><Relationship Id="rId159" Type="http://schemas.openxmlformats.org/officeDocument/2006/relationships/hyperlink" Target="https://www.va.gov/orlando-health-care/locations/clermont-va-clinic/" TargetMode="External"/><Relationship Id="rId170" Type="http://schemas.openxmlformats.org/officeDocument/2006/relationships/hyperlink" Target="https://www.kidzandfamilykare.com/" TargetMode="External"/><Relationship Id="rId191" Type="http://schemas.openxmlformats.org/officeDocument/2006/relationships/hyperlink" Target="https://www.loopnet.com/Listing/7560-Red-Bug-Lake-Rd-Oviedo-FL/4491979/" TargetMode="External"/><Relationship Id="rId205" Type="http://schemas.openxmlformats.org/officeDocument/2006/relationships/hyperlink" Target="https://www.wellrx.com/find-a-pharmacy-near-me/pharmacydetail/radiance%20health%20rx/5739771/" TargetMode="External"/><Relationship Id="rId226" Type="http://schemas.openxmlformats.org/officeDocument/2006/relationships/hyperlink" Target="https://www.google.com/maps/search/1605+Fairbanks+Av+W+Orange+FL" TargetMode="External"/><Relationship Id="rId107" Type="http://schemas.openxmlformats.org/officeDocument/2006/relationships/hyperlink" Target="https://npiregistry.cms.hhs.gov/provider-view/1255527735" TargetMode="External"/><Relationship Id="rId11" Type="http://schemas.openxmlformats.org/officeDocument/2006/relationships/hyperlink" Target="https://www.loopnet.com/Listing/2702-Rew-Cir-Ocoee-FL/20805631/" TargetMode="External"/><Relationship Id="rId32" Type="http://schemas.openxmlformats.org/officeDocument/2006/relationships/hyperlink" Target="https://www.essentialeyecareoptical.com/hours-location/" TargetMode="External"/><Relationship Id="rId53" Type="http://schemas.openxmlformats.org/officeDocument/2006/relationships/hyperlink" Target="https://www.clinicalconnection.com/research-center-profile/view-profile/476547/conquest-research" TargetMode="External"/><Relationship Id="rId74" Type="http://schemas.openxmlformats.org/officeDocument/2006/relationships/hyperlink" Target="https://www.healthgrades.com/group-directory/fl-florida/orlando/optum-lake-ivanhoe-xqkhm9" TargetMode="External"/><Relationship Id="rId128" Type="http://schemas.openxmlformats.org/officeDocument/2006/relationships/hyperlink" Target="https://nubodyorlando.com/" TargetMode="External"/><Relationship Id="rId149" Type="http://schemas.openxmlformats.org/officeDocument/2006/relationships/hyperlink" Target="https://ufhealth.org/locations/uf-health-surgical-specialists-leesburg-medical-plaza" TargetMode="External"/><Relationship Id="rId5" Type="http://schemas.openxmlformats.org/officeDocument/2006/relationships/hyperlink" Target="https://www.google.com/maps/search/1207+Daniels+Rd,+FL" TargetMode="External"/><Relationship Id="rId95" Type="http://schemas.openxmlformats.org/officeDocument/2006/relationships/hyperlink" Target="https://www.floridakidneycare.com/" TargetMode="External"/><Relationship Id="rId160" Type="http://schemas.openxmlformats.org/officeDocument/2006/relationships/hyperlink" Target="https://www.thesmiledesign.com/locations/winter-springs/" TargetMode="External"/><Relationship Id="rId181" Type="http://schemas.openxmlformats.org/officeDocument/2006/relationships/hyperlink" Target="https://www.dentalplans.com/dentists/florida/oviedo/32765/dr-michael-simpson-13713/" TargetMode="External"/><Relationship Id="rId216" Type="http://schemas.openxmlformats.org/officeDocument/2006/relationships/hyperlink" Target="https://www.google.com/maps/search/12323+Colonial+Dr+W,+FL" TargetMode="External"/><Relationship Id="rId237" Type="http://schemas.openxmlformats.org/officeDocument/2006/relationships/hyperlink" Target="https://www.google.com/maps/search/?api=1&amp;query=750+Orienta+Ave+Seminole+FL" TargetMode="External"/><Relationship Id="rId22" Type="http://schemas.openxmlformats.org/officeDocument/2006/relationships/hyperlink" Target="https://www.loopnet.com/Listing/320-W-Burleigh-Blvd-Tavares-FL/18724440/" TargetMode="External"/><Relationship Id="rId43" Type="http://schemas.openxmlformats.org/officeDocument/2006/relationships/hyperlink" Target="https://getvipcare.com/our-locations/orlando-metro-west" TargetMode="External"/><Relationship Id="rId64" Type="http://schemas.openxmlformats.org/officeDocument/2006/relationships/hyperlink" Target="https://www.adventhealth.com/practice/adventhealth-medical-group/find-a-location?page=68" TargetMode="External"/><Relationship Id="rId118" Type="http://schemas.openxmlformats.org/officeDocument/2006/relationships/hyperlink" Target="https://www.cayahealth.com/" TargetMode="External"/><Relationship Id="rId139" Type="http://schemas.openxmlformats.org/officeDocument/2006/relationships/hyperlink" Target="https://www.heritagedentaloffice.com/" TargetMode="External"/><Relationship Id="rId85" Type="http://schemas.openxmlformats.org/officeDocument/2006/relationships/hyperlink" Target="https://floridalungdoctors.com/polynesian-office/" TargetMode="External"/><Relationship Id="rId150" Type="http://schemas.openxmlformats.org/officeDocument/2006/relationships/hyperlink" Target="https://www.google.com/maps?q=705+Doctors+Ct+Lake,+FL" TargetMode="External"/><Relationship Id="rId171" Type="http://schemas.openxmlformats.org/officeDocument/2006/relationships/hyperlink" Target="https://www.adventhealth.com/find-doctor/doctor/john-g-durham-dpm-1235103268" TargetMode="External"/><Relationship Id="rId192" Type="http://schemas.openxmlformats.org/officeDocument/2006/relationships/hyperlink" Target="https://www.complete-care.com/locations/complete-care-oviedo/" TargetMode="External"/><Relationship Id="rId206" Type="http://schemas.openxmlformats.org/officeDocument/2006/relationships/hyperlink" Target="https://vgispublic.ocpafl.org/webmapjs/?pid=292213942902310" TargetMode="External"/><Relationship Id="rId227" Type="http://schemas.openxmlformats.org/officeDocument/2006/relationships/hyperlink" Target="https://www.google.com/maps/search/3000+Orange+Av+N+Orange+FL" TargetMode="External"/><Relationship Id="rId12" Type="http://schemas.openxmlformats.org/officeDocument/2006/relationships/hyperlink" Target="https://www.bosshardtrealty.com/listing/O6296860/5749-westgate-drive-orlando-fl-32835/" TargetMode="External"/><Relationship Id="rId33" Type="http://schemas.openxmlformats.org/officeDocument/2006/relationships/hyperlink" Target="https://www.google.com/maps/search/416+Main+St+E,+FL" TargetMode="External"/><Relationship Id="rId108" Type="http://schemas.openxmlformats.org/officeDocument/2006/relationships/hyperlink" Target="https://www.carecredit.com/doctor-locator/kissimmee-fl/yes-dental-associates-of-florida-885jxq/" TargetMode="External"/><Relationship Id="rId129" Type="http://schemas.openxmlformats.org/officeDocument/2006/relationships/hyperlink" Target="https://www.hcafloridaphysicians.com/locations/lake-mary-primary-care/" TargetMode="External"/><Relationship Id="rId54" Type="http://schemas.openxmlformats.org/officeDocument/2006/relationships/hyperlink" Target="https://www.google.com/maps/search/5165+Adanson+St,+FL" TargetMode="External"/><Relationship Id="rId75" Type="http://schemas.openxmlformats.org/officeDocument/2006/relationships/hyperlink" Target="https://npin.cdc.gov/organization/healthymd-0" TargetMode="External"/><Relationship Id="rId96" Type="http://schemas.openxmlformats.org/officeDocument/2006/relationships/hyperlink" Target="https://www.google.com/maps/search/721+Oak+Commons+Blvd+Osceola+FL" TargetMode="External"/><Relationship Id="rId140" Type="http://schemas.openxmlformats.org/officeDocument/2006/relationships/hyperlink" Target="https://www.loopnet.com/Listing/741-CR-466-Lady-Lake-FL/30425850/" TargetMode="External"/><Relationship Id="rId161" Type="http://schemas.openxmlformats.org/officeDocument/2006/relationships/hyperlink" Target="https://www.google.com/maps/search/?api=1&amp;query=1122+SR+434+E+Seminole+FL" TargetMode="External"/><Relationship Id="rId182" Type="http://schemas.openxmlformats.org/officeDocument/2006/relationships/hyperlink" Target="https://www.google.com/maps/search/?api=1&amp;query=1445+Mitchell+Hammock+Rd+E+Seminole+FL" TargetMode="External"/><Relationship Id="rId217" Type="http://schemas.openxmlformats.org/officeDocument/2006/relationships/hyperlink" Target="https://www.google.com/maps/search/175+Main+St+E,+FL" TargetMode="External"/><Relationship Id="rId6" Type="http://schemas.openxmlformats.org/officeDocument/2006/relationships/hyperlink" Target="https://search.sunbiz.org/Inquiry/corporationsearch/SearchResultDetail?inquirytype=EntityName&amp;directionType=Initial&amp;searchNameOrder=ANTONRX%20L210004523910" TargetMode="External"/><Relationship Id="rId238" Type="http://schemas.openxmlformats.org/officeDocument/2006/relationships/hyperlink" Target="https://www.google.com/maps/search/?api=1&amp;query=1000+Executive+Dr+Seminole+FL" TargetMode="External"/><Relationship Id="rId23" Type="http://schemas.openxmlformats.org/officeDocument/2006/relationships/hyperlink" Target="https://abilityrehabilitation.com/winter-garden-clinic/" TargetMode="External"/><Relationship Id="rId119" Type="http://schemas.openxmlformats.org/officeDocument/2006/relationships/hyperlink" Target="https://www.complete-care.com/locations/complete-care-lake-mary/" TargetMode="External"/><Relationship Id="rId44" Type="http://schemas.openxmlformats.org/officeDocument/2006/relationships/hyperlink" Target="https://www.carecredit.com/doctor-locator/orlando-fl/belmart-llc-dr-phillips-265cdx/" TargetMode="External"/><Relationship Id="rId65" Type="http://schemas.openxmlformats.org/officeDocument/2006/relationships/hyperlink" Target="https://npiregistry.cms.hhs.gov/provider-view/1841680733" TargetMode="External"/><Relationship Id="rId86" Type="http://schemas.openxmlformats.org/officeDocument/2006/relationships/hyperlink" Target="https://www.pocf.net/" TargetMode="External"/><Relationship Id="rId130" Type="http://schemas.openxmlformats.org/officeDocument/2006/relationships/hyperlink" Target="https://www.fsps.org/doctors/edgar-sosa-do/" TargetMode="External"/><Relationship Id="rId151" Type="http://schemas.openxmlformats.org/officeDocument/2006/relationships/hyperlink" Target="https://myfamilyfirsthc.com/locations/" TargetMode="External"/><Relationship Id="rId172" Type="http://schemas.openxmlformats.org/officeDocument/2006/relationships/hyperlink" Target="https://www.tolbirth.com/" TargetMode="External"/><Relationship Id="rId193" Type="http://schemas.openxmlformats.org/officeDocument/2006/relationships/hyperlink" Target="https://mediweightloss.com/weight-loss-clinic/winterpark/" TargetMode="External"/><Relationship Id="rId207" Type="http://schemas.openxmlformats.org/officeDocument/2006/relationships/hyperlink" Target="https://lyoncounseling.care/therapist/" TargetMode="External"/><Relationship Id="rId228" Type="http://schemas.openxmlformats.org/officeDocument/2006/relationships/hyperlink" Target="https://www.google.com/maps/search/954+Orlando+Av+S+Orange+FL" TargetMode="External"/><Relationship Id="rId13" Type="http://schemas.openxmlformats.org/officeDocument/2006/relationships/hyperlink" Target="https://www.loopnet.com/Listing/7232-Sand-Lake-Rd-Orlando-FL/31873125/" TargetMode="External"/><Relationship Id="rId109" Type="http://schemas.openxmlformats.org/officeDocument/2006/relationships/hyperlink" Target="https://www.healthgrades.com/group-directory/fl-florida/kissimmee/osceola-cardio-pulmonary-clinic-u3ykvh2" TargetMode="External"/><Relationship Id="rId34" Type="http://schemas.openxmlformats.org/officeDocument/2006/relationships/hyperlink" Target="https://www.kwsouthshore.com/listings/listing/416-e-main-st-apopka-fl--O6171656/" TargetMode="External"/><Relationship Id="rId55" Type="http://schemas.openxmlformats.org/officeDocument/2006/relationships/hyperlink" Target="https://vgispublic.ocpafl.org/webmapjs/?pid=292202000000062" TargetMode="External"/><Relationship Id="rId76" Type="http://schemas.openxmlformats.org/officeDocument/2006/relationships/hyperlink" Target="https://www.carecredit.com/doctor-locator/orlando-fl/mills-dental-group-935wkf/" TargetMode="External"/><Relationship Id="rId97" Type="http://schemas.openxmlformats.org/officeDocument/2006/relationships/hyperlink" Target="https://www.hcafloridaphysicians.com/locations/osceola-urology/kissimmee" TargetMode="External"/><Relationship Id="rId120" Type="http://schemas.openxmlformats.org/officeDocument/2006/relationships/hyperlink" Target="https://orlandocardiacspecialists.com/contact-us/" TargetMode="External"/><Relationship Id="rId141" Type="http://schemas.openxmlformats.org/officeDocument/2006/relationships/hyperlink" Target="https://www.google.com/maps?q=212+County+Road+466+Lake,+FL" TargetMode="External"/><Relationship Id="rId7" Type="http://schemas.openxmlformats.org/officeDocument/2006/relationships/hyperlink" Target="https://www.google.com/maps/search/54+Plant+St+E,+FL" TargetMode="External"/><Relationship Id="rId162" Type="http://schemas.openxmlformats.org/officeDocument/2006/relationships/hyperlink" Target="https://www.orlandohealth.com/" TargetMode="External"/><Relationship Id="rId183" Type="http://schemas.openxmlformats.org/officeDocument/2006/relationships/hyperlink" Target="https://modern-foot-and-ankle-3.wheree.com/" TargetMode="External"/><Relationship Id="rId218" Type="http://schemas.openxmlformats.org/officeDocument/2006/relationships/hyperlink" Target="https://www.google.com/maps/search/788+Montgomery+Av,+FL" TargetMode="External"/><Relationship Id="rId239" Type="http://schemas.openxmlformats.org/officeDocument/2006/relationships/hyperlink" Target="https://www.google.com/maps/search/2744+N+Orange+Blossom+Trl+Osceola+FL" TargetMode="External"/><Relationship Id="rId24" Type="http://schemas.openxmlformats.org/officeDocument/2006/relationships/hyperlink" Target="https://allianceforcareathome.org/nahc_provider/gentiva-hospice-winter-garden/" TargetMode="External"/><Relationship Id="rId45" Type="http://schemas.openxmlformats.org/officeDocument/2006/relationships/hyperlink" Target="https://quality.healthfinder.fl.gov/Facility-Provider/Profile/?LID=374972" TargetMode="External"/><Relationship Id="rId66" Type="http://schemas.openxmlformats.org/officeDocument/2006/relationships/hyperlink" Target="https://www.adventhealth.com/" TargetMode="External"/><Relationship Id="rId87" Type="http://schemas.openxmlformats.org/officeDocument/2006/relationships/hyperlink" Target="https://www.medicai.io/medical-imaging-providers/radiology-and-imaging-specialists-kissimmee-kissimmee-florida" TargetMode="External"/><Relationship Id="rId110" Type="http://schemas.openxmlformats.org/officeDocument/2006/relationships/hyperlink" Target="https://www.carecredit.com/doctor-locator/kissimmee-fl/akumin-kissimmee-334jkf/" TargetMode="External"/><Relationship Id="rId131" Type="http://schemas.openxmlformats.org/officeDocument/2006/relationships/hyperlink" Target="https://www.adventhealth.com/find-doctor/doctor/nathan-deangelis-do-1316139454" TargetMode="External"/><Relationship Id="rId152" Type="http://schemas.openxmlformats.org/officeDocument/2006/relationships/hyperlink" Target="https://www.google.com/maps?q=923+Dixie+Ave+W+Lake,+FL" TargetMode="External"/><Relationship Id="rId173" Type="http://schemas.openxmlformats.org/officeDocument/2006/relationships/hyperlink" Target="https://www.google.com/maps/search/?api=1&amp;query=165+Montgomery+Rd+Seminole+FL" TargetMode="External"/><Relationship Id="rId194" Type="http://schemas.openxmlformats.org/officeDocument/2006/relationships/hyperlink" Target="https://flourishresearch.com/locations/orlando/" TargetMode="External"/><Relationship Id="rId208" Type="http://schemas.openxmlformats.org/officeDocument/2006/relationships/hyperlink" Target="https://www.google.com/maps/search/10131+Colonial+Dr+W,+FL" TargetMode="External"/><Relationship Id="rId229" Type="http://schemas.openxmlformats.org/officeDocument/2006/relationships/hyperlink" Target="https://www.google.com/maps/search/1301+Colonial+Dr+W+Orange+FL" TargetMode="External"/><Relationship Id="rId240" Type="http://schemas.openxmlformats.org/officeDocument/2006/relationships/hyperlink" Target="https://www.google.com/maps/search/?api=1&amp;query=3352+US+Hwy+17+92+S+Seminole+FL" TargetMode="External"/><Relationship Id="rId14" Type="http://schemas.openxmlformats.org/officeDocument/2006/relationships/hyperlink" Target="https://www.google.com/maps/search/7232+Sand+Lake+Rd+W,+FL" TargetMode="External"/><Relationship Id="rId35" Type="http://schemas.openxmlformats.org/officeDocument/2006/relationships/hyperlink" Target="https://www.loopnet.com/Listing/175-E-Main-St-Apopka-FL/31346793/" TargetMode="External"/><Relationship Id="rId56" Type="http://schemas.openxmlformats.org/officeDocument/2006/relationships/hyperlink" Target="https://fcep.org/contact/" TargetMode="External"/><Relationship Id="rId77" Type="http://schemas.openxmlformats.org/officeDocument/2006/relationships/hyperlink" Target="https://www.cfcg.com/contact-us/" TargetMode="External"/><Relationship Id="rId100" Type="http://schemas.openxmlformats.org/officeDocument/2006/relationships/hyperlink" Target="https://asthahealth.com/contact-us/" TargetMode="External"/><Relationship Id="rId8" Type="http://schemas.openxmlformats.org/officeDocument/2006/relationships/hyperlink" Target="https://www.loopnet.com/Listing/20-S-Park-Ave-Apopka-FL/16369407/" TargetMode="External"/><Relationship Id="rId98" Type="http://schemas.openxmlformats.org/officeDocument/2006/relationships/hyperlink" Target="https://gastrohealth.com/locations/kissimmee" TargetMode="External"/><Relationship Id="rId121" Type="http://schemas.openxmlformats.org/officeDocument/2006/relationships/hyperlink" Target="https://heathrowpsychology.com/" TargetMode="External"/><Relationship Id="rId142" Type="http://schemas.openxmlformats.org/officeDocument/2006/relationships/hyperlink" Target="https://healingtouch212.wixsite.com/healingtouchmassage" TargetMode="External"/><Relationship Id="rId163" Type="http://schemas.openxmlformats.org/officeDocument/2006/relationships/hyperlink" Target="https://www.derrowdermatology.com/our-office/" TargetMode="External"/><Relationship Id="rId184" Type="http://schemas.openxmlformats.org/officeDocument/2006/relationships/hyperlink" Target="https://www.familytreeprimarycare.com/" TargetMode="External"/><Relationship Id="rId219" Type="http://schemas.openxmlformats.org/officeDocument/2006/relationships/hyperlink" Target="https://www.google.com/maps/search/9582+Colonial+Dr+W,+FL" TargetMode="External"/><Relationship Id="rId230" Type="http://schemas.openxmlformats.org/officeDocument/2006/relationships/hyperlink" Target="https://www.google.com/maps/search/1745+Mills+Av+N+Orange+FL" TargetMode="External"/><Relationship Id="rId25" Type="http://schemas.openxmlformats.org/officeDocument/2006/relationships/hyperlink" Target="https://wgobgyn.com/" TargetMode="External"/><Relationship Id="rId46" Type="http://schemas.openxmlformats.org/officeDocument/2006/relationships/hyperlink" Target="https://www.nemours.org/locations/florida-primary-care-pediatrician-maitland.html" TargetMode="External"/><Relationship Id="rId67" Type="http://schemas.openxmlformats.org/officeDocument/2006/relationships/hyperlink" Target="https://www.google.com/maps/search/2909+Orange+Av+N+Orange+FL" TargetMode="External"/><Relationship Id="rId88" Type="http://schemas.openxmlformats.org/officeDocument/2006/relationships/hyperlink" Target="https://maps.property-appraiser.org/?Pin=152529105000RL0015" TargetMode="External"/><Relationship Id="rId111" Type="http://schemas.openxmlformats.org/officeDocument/2006/relationships/hyperlink" Target="https://www.google.com/maps?q=1000+E+Irlo+Bronson+Memorial+Osceola,+FL" TargetMode="External"/><Relationship Id="rId132" Type="http://schemas.openxmlformats.org/officeDocument/2006/relationships/hyperlink" Target="https://www.google.com/maps?q=4106+Lake+Mary+%23330+Blvd+W+Seminole,+FL" TargetMode="External"/><Relationship Id="rId153" Type="http://schemas.openxmlformats.org/officeDocument/2006/relationships/hyperlink" Target="https://www.leesburgsignaturesmiles.com/" TargetMode="External"/><Relationship Id="rId174" Type="http://schemas.openxmlformats.org/officeDocument/2006/relationships/hyperlink" Target="https://www.orlandodermatologycenter.com/location/casselberry-fl" TargetMode="External"/><Relationship Id="rId195" Type="http://schemas.openxmlformats.org/officeDocument/2006/relationships/hyperlink" Target="https://mayfairpetvets.com/" TargetMode="External"/><Relationship Id="rId209" Type="http://schemas.openxmlformats.org/officeDocument/2006/relationships/hyperlink" Target="https://www.google.com/maps/search/1701+Park+Center+Dr,+FL" TargetMode="External"/><Relationship Id="rId220" Type="http://schemas.openxmlformats.org/officeDocument/2006/relationships/hyperlink" Target="https://www.google.com/maps/search/2940+Maguire+Rd,+FL" TargetMode="External"/><Relationship Id="rId241" Type="http://schemas.openxmlformats.org/officeDocument/2006/relationships/hyperlink" Target="https://www.google.com/maps/search/12200+Colonial+Dr+W,+FL" TargetMode="External"/><Relationship Id="rId15" Type="http://schemas.openxmlformats.org/officeDocument/2006/relationships/hyperlink" Target="https://www.ronsellsthebeach.com/property-search/detail/240/O6341577/926-n-maitland-ave-maitland-fl-32751/" TargetMode="External"/><Relationship Id="rId36" Type="http://schemas.openxmlformats.org/officeDocument/2006/relationships/hyperlink" Target="https://www.elegantlydental.com/ocoee-fl/" TargetMode="External"/><Relationship Id="rId57" Type="http://schemas.openxmlformats.org/officeDocument/2006/relationships/hyperlink" Target="https://www.carecredit.com/doctor-locator/winter-park-fl/desai-dental-234dhr/" TargetMode="External"/><Relationship Id="rId106" Type="http://schemas.openxmlformats.org/officeDocument/2006/relationships/hyperlink" Target="https://www.google.com/maps/search/833+E+Oak+St+Osceola+FL" TargetMode="External"/><Relationship Id="rId127" Type="http://schemas.openxmlformats.org/officeDocument/2006/relationships/hyperlink" Target="https://www.dunwoodydental.net/" TargetMode="External"/><Relationship Id="rId10" Type="http://schemas.openxmlformats.org/officeDocument/2006/relationships/hyperlink" Target="https://www.loopnet.com/Listing/404-W-Orange-Blossom-Tr-Apopka-FL/28471952/" TargetMode="External"/><Relationship Id="rId31" Type="http://schemas.openxmlformats.org/officeDocument/2006/relationships/hyperlink" Target="https://www.mysanitas.com/en/fl/sanitas-apopka" TargetMode="External"/><Relationship Id="rId52" Type="http://schemas.openxmlformats.org/officeDocument/2006/relationships/hyperlink" Target="https://www.google.com/maps/search/2233+Lee+Rd,+FL" TargetMode="External"/><Relationship Id="rId73" Type="http://schemas.openxmlformats.org/officeDocument/2006/relationships/hyperlink" Target="https://www.aidshealth.org/locations/fl-orlando-rx/" TargetMode="External"/><Relationship Id="rId78" Type="http://schemas.openxmlformats.org/officeDocument/2006/relationships/hyperlink" Target="https://www.myfloridalicense.com/LicenseDetail.asp?SID=&amp;id=1278E296699828CDB1BCDAEB825BA730" TargetMode="External"/><Relationship Id="rId94" Type="http://schemas.openxmlformats.org/officeDocument/2006/relationships/hyperlink" Target="https://www.loopnet.com/Listing/1045-1085-N-John-Young-Pky-Kissimmee-FL/31094164/" TargetMode="External"/><Relationship Id="rId99" Type="http://schemas.openxmlformats.org/officeDocument/2006/relationships/hyperlink" Target="https://www.hcafloridahealthcare.com/physicians/profile/Dr-Scott-R-Hannum-DO" TargetMode="External"/><Relationship Id="rId101" Type="http://schemas.openxmlformats.org/officeDocument/2006/relationships/hyperlink" Target="https://liveimplanttraining.com/contact-live-implants/" TargetMode="External"/><Relationship Id="rId122" Type="http://schemas.openxmlformats.org/officeDocument/2006/relationships/hyperlink" Target="https://www.simonmed.com/locations/fl/florida-lake-mary-ii/" TargetMode="External"/><Relationship Id="rId143" Type="http://schemas.openxmlformats.org/officeDocument/2006/relationships/hyperlink" Target="https://davisfamilyhearing.com/" TargetMode="External"/><Relationship Id="rId148" Type="http://schemas.openxmlformats.org/officeDocument/2006/relationships/hyperlink" Target="https://www.schweigerderm.com/location/florida/leesburg/" TargetMode="External"/><Relationship Id="rId164" Type="http://schemas.openxmlformats.org/officeDocument/2006/relationships/hyperlink" Target="https://www.carecredit.com/doctor-locator/altamonte-springs-fl/kim-chiropractic-clinic-pa-378tsf/" TargetMode="External"/><Relationship Id="rId169" Type="http://schemas.openxmlformats.org/officeDocument/2006/relationships/hyperlink" Target="https://www.google.com/maps/search/?api=1&amp;query=321+Maitland+%23+1000+Ave+Seminole+FL" TargetMode="External"/><Relationship Id="rId185" Type="http://schemas.openxmlformats.org/officeDocument/2006/relationships/hyperlink" Target="https://www.google.com/maps/search/?api=1&amp;query=872+Executive+Dr+Seminole+FL" TargetMode="External"/><Relationship Id="rId4" Type="http://schemas.openxmlformats.org/officeDocument/2006/relationships/hyperlink" Target="https://www.crexi.com/property-records/1207-DANIELS-WINTER-GARDEN-FL-34787/7098de1c88aa1c1be75e9a881083c5bb742ec848" TargetMode="External"/><Relationship Id="rId9" Type="http://schemas.openxmlformats.org/officeDocument/2006/relationships/hyperlink" Target="https://www.google.com/maps/search/20+Park+Av+S,+FL" TargetMode="External"/><Relationship Id="rId180" Type="http://schemas.openxmlformats.org/officeDocument/2006/relationships/hyperlink" Target="https://www.carespot.com/carespot-urgent-care/oviedo-fl/" TargetMode="External"/><Relationship Id="rId210" Type="http://schemas.openxmlformats.org/officeDocument/2006/relationships/hyperlink" Target="https://www.google.com/maps/search/126+Colonial+Dr+E+Orange+FL" TargetMode="External"/><Relationship Id="rId215" Type="http://schemas.openxmlformats.org/officeDocument/2006/relationships/hyperlink" Target="https://www.google.com/maps?q=795+Primera+Blvd+Seminole,+FL" TargetMode="External"/><Relationship Id="rId236" Type="http://schemas.openxmlformats.org/officeDocument/2006/relationships/hyperlink" Target="https://www.google.com/maps/search/?api=1&amp;query=3200+Citrus+Tower+Blvd+Lake+FL" TargetMode="External"/><Relationship Id="rId26" Type="http://schemas.openxmlformats.org/officeDocument/2006/relationships/hyperlink" Target="https://www.carecredit.com/doctor-locator/winter-garden-fl/oral-surgery-center-of-west-orlando-pqr222/" TargetMode="External"/><Relationship Id="rId231" Type="http://schemas.openxmlformats.org/officeDocument/2006/relationships/hyperlink" Target="https://www.google.com/maps/search/1724+Mills+Av+N+Orange+FL" TargetMode="External"/><Relationship Id="rId47" Type="http://schemas.openxmlformats.org/officeDocument/2006/relationships/hyperlink" Target="https://www.carecredit.com/doctor-locator/maitland-fl/vision-source-maitland-876tpt/" TargetMode="External"/><Relationship Id="rId68" Type="http://schemas.openxmlformats.org/officeDocument/2006/relationships/hyperlink" Target="https://www.orlandohealth.com/physician-finder/renee-mueller-md" TargetMode="External"/><Relationship Id="rId89" Type="http://schemas.openxmlformats.org/officeDocument/2006/relationships/hyperlink" Target="https://www.adventhealth.com/find-doctor/doctor/peter-joseph-casella-md-1245200278" TargetMode="External"/><Relationship Id="rId112" Type="http://schemas.openxmlformats.org/officeDocument/2006/relationships/hyperlink" Target="https://www.optum.com/en/" TargetMode="External"/><Relationship Id="rId133" Type="http://schemas.openxmlformats.org/officeDocument/2006/relationships/hyperlink" Target="https://healthmatrix.com/location/orlando-lake-mary-florida/" TargetMode="External"/><Relationship Id="rId154" Type="http://schemas.openxmlformats.org/officeDocument/2006/relationships/hyperlink" Target="https://www.centeranklefootcare.com/" TargetMode="External"/><Relationship Id="rId175" Type="http://schemas.openxmlformats.org/officeDocument/2006/relationships/hyperlink" Target="https://www.google.com/maps/search/?api=1&amp;query=241+Obrien+Rd+Seminole+FL" TargetMode="External"/><Relationship Id="rId196" Type="http://schemas.openxmlformats.org/officeDocument/2006/relationships/hyperlink" Target="https://osceolaanimalclinic.com/" TargetMode="External"/><Relationship Id="rId200" Type="http://schemas.openxmlformats.org/officeDocument/2006/relationships/hyperlink" Target="https://www.loopnet.com/Listing/2670-2690-S-Orlando-Dr-Sanford-FL/35204476/" TargetMode="External"/><Relationship Id="rId16" Type="http://schemas.openxmlformats.org/officeDocument/2006/relationships/hyperlink" Target="https://www.loopnet.com/Listing/2200-Lee-Rd-Winter-Park-FL/24836441/" TargetMode="External"/><Relationship Id="rId221" Type="http://schemas.openxmlformats.org/officeDocument/2006/relationships/hyperlink" Target="https://www.google.com/maps/search/1803+Park+Center+Dr,+FL" TargetMode="External"/><Relationship Id="rId242" Type="http://schemas.openxmlformats.org/officeDocument/2006/relationships/table" Target="../tables/table2.xml"/><Relationship Id="rId37" Type="http://schemas.openxmlformats.org/officeDocument/2006/relationships/hyperlink" Target="https://biz.wochamber.com/list/member/adventhealth-centra-care-ocoee-30983" TargetMode="External"/><Relationship Id="rId58" Type="http://schemas.openxmlformats.org/officeDocument/2006/relationships/hyperlink" Target="https://questinc.org/quest-kids-academy/" TargetMode="External"/><Relationship Id="rId79" Type="http://schemas.openxmlformats.org/officeDocument/2006/relationships/hyperlink" Target="https://vgispublic.ocpafl.org/webmapjs/?pid=292224706001030" TargetMode="External"/><Relationship Id="rId102" Type="http://schemas.openxmlformats.org/officeDocument/2006/relationships/hyperlink" Target="https://kidstherapytower.com/about-us/" TargetMode="External"/><Relationship Id="rId123" Type="http://schemas.openxmlformats.org/officeDocument/2006/relationships/hyperlink" Target="https://www.heathrowsc.com/" TargetMode="External"/><Relationship Id="rId144" Type="http://schemas.openxmlformats.org/officeDocument/2006/relationships/hyperlink" Target="https://www.google.com/maps?q=1325+Shelfer+St+Lake,+FL" TargetMode="External"/><Relationship Id="rId90" Type="http://schemas.openxmlformats.org/officeDocument/2006/relationships/hyperlink" Target="https://www.loopnet.com/Listing/1010-1020-W-Oak-St-Kissimmee-FL/31250163/" TargetMode="External"/><Relationship Id="rId165" Type="http://schemas.openxmlformats.org/officeDocument/2006/relationships/hyperlink" Target="https://www.healingpsychiatryflorida.com/offices/altamonte-springs/" TargetMode="External"/><Relationship Id="rId186" Type="http://schemas.openxmlformats.org/officeDocument/2006/relationships/hyperlink" Target="https://www.google.com/maps/search/?api=1&amp;query=816+Executive+Dr+Seminole+FL" TargetMode="External"/><Relationship Id="rId211" Type="http://schemas.openxmlformats.org/officeDocument/2006/relationships/hyperlink" Target="https://www.loopnet.com/Listing/1511-E-State-Road-434-Winter-Springs-FL/35618226/" TargetMode="External"/><Relationship Id="rId232" Type="http://schemas.openxmlformats.org/officeDocument/2006/relationships/hyperlink" Target="https://www.google.com/maps/search/3480+Polynesian+Isle+Blvd+Osceola+FL" TargetMode="External"/><Relationship Id="rId27" Type="http://schemas.openxmlformats.org/officeDocument/2006/relationships/hyperlink" Target="https://www.carecredit.com/doctor-locator/winter-garden-fl/harmony-dental-care-633hqp/" TargetMode="External"/><Relationship Id="rId48" Type="http://schemas.openxmlformats.org/officeDocument/2006/relationships/hyperlink" Target="https://www.premiercardiology.net/" TargetMode="External"/><Relationship Id="rId69" Type="http://schemas.openxmlformats.org/officeDocument/2006/relationships/hyperlink" Target="https://www.google.com/maps/search/308+Groveland+St+Orange+FL" TargetMode="External"/><Relationship Id="rId113" Type="http://schemas.openxmlformats.org/officeDocument/2006/relationships/hyperlink" Target="https://www.healthgrades.com/group-directory/fl-florida/sanford/seminole-neurology-associates-pa-xbbyxw" TargetMode="External"/><Relationship Id="rId134" Type="http://schemas.openxmlformats.org/officeDocument/2006/relationships/hyperlink" Target="https://www.adventhealth.com/locations/adventhealth-sports-med-and-rehab-lake-mary" TargetMode="External"/><Relationship Id="rId80" Type="http://schemas.openxmlformats.org/officeDocument/2006/relationships/hyperlink" Target="https://lifeskillsbehavioralhealth.com/location/orlando-outpatient/" TargetMode="External"/><Relationship Id="rId155" Type="http://schemas.openxmlformats.org/officeDocument/2006/relationships/hyperlink" Target="https://lake-square-chiropractic-p-a.wheree.com/" TargetMode="External"/><Relationship Id="rId176" Type="http://schemas.openxmlformats.org/officeDocument/2006/relationships/hyperlink" Target="https://www.abaorlando.com/" TargetMode="External"/><Relationship Id="rId197" Type="http://schemas.openxmlformats.org/officeDocument/2006/relationships/hyperlink" Target="https://maps.google.com/?cid=12525815501440194295&amp;g_mp=Cidnb29nbGUubWFwcy5wbGFjZXMudjEuUGxhY2VzLlNlYXJjaFRleHQ" TargetMode="External"/><Relationship Id="rId201" Type="http://schemas.openxmlformats.org/officeDocument/2006/relationships/hyperlink" Target="https://www.myfloridalicense.com/LicenseDetail.asp?SID=&amp;id=846B397AAE6BE1ADC895273DC593ED1F" TargetMode="External"/><Relationship Id="rId222" Type="http://schemas.openxmlformats.org/officeDocument/2006/relationships/hyperlink" Target="https://www.google.com/maps/search/7009+Dr+Phillips+Bl,+FL" TargetMode="External"/><Relationship Id="rId17" Type="http://schemas.openxmlformats.org/officeDocument/2006/relationships/hyperlink" Target="https://www.google.com/maps/search/5749+Westgate+Dr,+FL+R13" TargetMode="External"/><Relationship Id="rId38" Type="http://schemas.openxmlformats.org/officeDocument/2006/relationships/hyperlink" Target="https://quality.healthfinder.fl.gov/Facility-Provider/Profile/?LID=411051" TargetMode="External"/><Relationship Id="rId59" Type="http://schemas.openxmlformats.org/officeDocument/2006/relationships/hyperlink" Target="https://www.google.com/maps/search/2134+Kentucky+Av+Orange+FL" TargetMode="External"/><Relationship Id="rId103" Type="http://schemas.openxmlformats.org/officeDocument/2006/relationships/hyperlink" Target="https://www.google.com/maps/search/916+Bryan+St+Osceola+FL" TargetMode="External"/><Relationship Id="rId124" Type="http://schemas.openxmlformats.org/officeDocument/2006/relationships/hyperlink" Target="https://ariseautismcenter.com/" TargetMode="External"/><Relationship Id="rId70" Type="http://schemas.openxmlformats.org/officeDocument/2006/relationships/hyperlink" Target="https://www.dermgroup.net/" TargetMode="External"/><Relationship Id="rId91" Type="http://schemas.openxmlformats.org/officeDocument/2006/relationships/hyperlink" Target="https://www.google.com/maps/search/1010+W+Oak+St+Osceola+FL" TargetMode="External"/><Relationship Id="rId145" Type="http://schemas.openxmlformats.org/officeDocument/2006/relationships/hyperlink" Target="https://www.teslabiohealing.com/collections/tesla-medbed-center-leesburg-fl?_gl=1*1xto5k9*_up*MQ..*_gs*MQ..&amp;gclid=Cj0KCQiA4eHLBhCzARIsAJ2NZoJRZHoXlV2PzH6wioAFL_veuWE690gULyIChXBzgXKXzzmRF0ucLcIaAtBOEALw_wcB&amp;gbraid=0AAAABA6AXXQfB9RTa1dJXefhwUNHr8n3u" TargetMode="External"/><Relationship Id="rId166" Type="http://schemas.openxmlformats.org/officeDocument/2006/relationships/hyperlink" Target="https://altamonte-dental-care.wheree.com/" TargetMode="External"/><Relationship Id="rId187" Type="http://schemas.openxmlformats.org/officeDocument/2006/relationships/hyperlink" Target="https://www.oviedoendo.com/contact-us/" TargetMode="External"/><Relationship Id="rId1" Type="http://schemas.openxmlformats.org/officeDocument/2006/relationships/hyperlink" Target="https://www.loopnet.com/Listing/1049-Willa-Springs-Dr-Winter-Springs-FL/28712543/" TargetMode="External"/><Relationship Id="rId212" Type="http://schemas.openxmlformats.org/officeDocument/2006/relationships/hyperlink" Target="https://www.google.com/maps/search/5749+Westgate+Dr,+FL" TargetMode="External"/><Relationship Id="rId233" Type="http://schemas.openxmlformats.org/officeDocument/2006/relationships/hyperlink" Target="https://www.google.com/maps?q=454+Rinehart+Rd+Seminole,+FL" TargetMode="External"/><Relationship Id="rId28" Type="http://schemas.openxmlformats.org/officeDocument/2006/relationships/hyperlink" Target="https://biz.wochamber.com/list/member/horizons-obgyn-30930" TargetMode="External"/><Relationship Id="rId49" Type="http://schemas.openxmlformats.org/officeDocument/2006/relationships/hyperlink" Target="https://www.hcafloridahealthcare.com/locations/maitland-emergency" TargetMode="External"/><Relationship Id="rId114" Type="http://schemas.openxmlformats.org/officeDocument/2006/relationships/hyperlink" Target="https://midfloridacancercenters.com/locations/sanford/" TargetMode="External"/><Relationship Id="rId60" Type="http://schemas.openxmlformats.org/officeDocument/2006/relationships/hyperlink" Target="https://www.carecredit.com/doctor-locator/orlando-fl/hillcrest-dental-222gct/" TargetMode="External"/><Relationship Id="rId81" Type="http://schemas.openxmlformats.org/officeDocument/2006/relationships/hyperlink" Target="https://seamless.ai/b/charter-research-6612681" TargetMode="External"/><Relationship Id="rId135" Type="http://schemas.openxmlformats.org/officeDocument/2006/relationships/hyperlink" Target="https://www.bbb.org/us/fl/lake-mary/profile/hormone-replacement-therapy/rejuve-health-clinics-inc-0733-90335543" TargetMode="External"/><Relationship Id="rId156" Type="http://schemas.openxmlformats.org/officeDocument/2006/relationships/hyperlink" Target="https://www.hcafloridahealthcare.com/locations/mount-dora-emergency" TargetMode="External"/><Relationship Id="rId177" Type="http://schemas.openxmlformats.org/officeDocument/2006/relationships/hyperlink" Target="https://www.healthgrades.com/group-directory/fl-florida/winter-springs/optum-tuskawilla-x3xdcn" TargetMode="External"/><Relationship Id="rId198" Type="http://schemas.openxmlformats.org/officeDocument/2006/relationships/hyperlink" Target="http://www.townecenteranimalhospital.com/" TargetMode="External"/><Relationship Id="rId202" Type="http://schemas.openxmlformats.org/officeDocument/2006/relationships/hyperlink" Target="https://www.daisysphysicaltherapy.com/" TargetMode="External"/><Relationship Id="rId223" Type="http://schemas.openxmlformats.org/officeDocument/2006/relationships/hyperlink" Target="https://www.google.com/maps/search/100+Sybelia+Av+E,+FL" TargetMode="External"/><Relationship Id="rId18" Type="http://schemas.openxmlformats.org/officeDocument/2006/relationships/hyperlink" Target="https://www.crexi.com/properties/2285495/florida-8000-sf-office-for-sale-in-downtown-orlando" TargetMode="External"/><Relationship Id="rId39" Type="http://schemas.openxmlformats.org/officeDocument/2006/relationships/hyperlink" Target="https://search.sunbiz.org/Inquiry/CorporationSearch/SearchResults?InquiryType=EntityName&amp;InquiryDirectionType=ForwardRecord&amp;SearchTerm=OPTIMA%20HOME%20INSPECTIONS%2C%20LLC&amp;SearchNameOrder=OPTIMAILLABORATORIES%20G821190&amp;ListNameOrder=OPTIMAHOMESERVICES%20P990000974750&amp;Detail=FL.DOS.Corporations.Shared.Contracts.FilingRecord" TargetMode="External"/><Relationship Id="rId50" Type="http://schemas.openxmlformats.org/officeDocument/2006/relationships/hyperlink" Target="https://www.google.com/maps/search/1901+Lee+Rd,+FL" TargetMode="External"/><Relationship Id="rId104" Type="http://schemas.openxmlformats.org/officeDocument/2006/relationships/hyperlink" Target="https://hurtaid.com/directory/medical-provider/wolf-chiropractic-kissimmee/" TargetMode="External"/><Relationship Id="rId125" Type="http://schemas.openxmlformats.org/officeDocument/2006/relationships/hyperlink" Target="https://prc-alliance.com/locations/" TargetMode="External"/><Relationship Id="rId146" Type="http://schemas.openxmlformats.org/officeDocument/2006/relationships/hyperlink" Target="https://northcampusrehab.com/" TargetMode="External"/><Relationship Id="rId167" Type="http://schemas.openxmlformats.org/officeDocument/2006/relationships/hyperlink" Target="https://flcancer.com/location/altamonte/" TargetMode="External"/><Relationship Id="rId188" Type="http://schemas.openxmlformats.org/officeDocument/2006/relationships/hyperlink" Target="https://www.orlandohealth.com/physician-finder/alan-r-forbes-md" TargetMode="External"/><Relationship Id="rId71" Type="http://schemas.openxmlformats.org/officeDocument/2006/relationships/hyperlink" Target="https://www.cancommunityhealth.org/orlando/" TargetMode="External"/><Relationship Id="rId92" Type="http://schemas.openxmlformats.org/officeDocument/2006/relationships/hyperlink" Target="https://www.myfloridalegal.com/vicitm-services-providers/park-place-behavioral-health-care" TargetMode="External"/><Relationship Id="rId213" Type="http://schemas.openxmlformats.org/officeDocument/2006/relationships/hyperlink" Target="https://www.google.com/maps/search/2200+Lee+Rd,+FL" TargetMode="External"/><Relationship Id="rId234" Type="http://schemas.openxmlformats.org/officeDocument/2006/relationships/hyperlink" Target="https://www.google.com/maps?q=100+Waymont+Ct+Seminole,+FL" TargetMode="External"/><Relationship Id="rId2" Type="http://schemas.openxmlformats.org/officeDocument/2006/relationships/hyperlink" Target="https://www.google.com/maps/search/?api=1&amp;query=1049+Willa+Springs+Dr+Seminole+FL" TargetMode="External"/><Relationship Id="rId29" Type="http://schemas.openxmlformats.org/officeDocument/2006/relationships/hyperlink" Target="https://dentalcareatwestsideshoppes.com/" TargetMode="External"/><Relationship Id="rId40" Type="http://schemas.openxmlformats.org/officeDocument/2006/relationships/hyperlink" Target="https://quality.healthfinder.fl.gov/Facility-Provider/Profile/?LID=517292" TargetMode="External"/><Relationship Id="rId115" Type="http://schemas.openxmlformats.org/officeDocument/2006/relationships/hyperlink" Target="https://physicaltherapynow.com/locations/sanford-lake-mary/" TargetMode="External"/><Relationship Id="rId136" Type="http://schemas.openxmlformats.org/officeDocument/2006/relationships/hyperlink" Target="https://www.google.com/maps?q=405+Waymont+Ct+Seminole,+FL" TargetMode="External"/><Relationship Id="rId157" Type="http://schemas.openxmlformats.org/officeDocument/2006/relationships/hyperlink" Target="https://physiciansimaging.com/locations/mount-dora/" TargetMode="External"/><Relationship Id="rId178" Type="http://schemas.openxmlformats.org/officeDocument/2006/relationships/hyperlink" Target="https://hopedentalimplantcenter.com/location" TargetMode="External"/><Relationship Id="rId61" Type="http://schemas.openxmlformats.org/officeDocument/2006/relationships/hyperlink" Target="https://www.google.com/maps/search/3600+Formosa+Av+Orange+FL" TargetMode="External"/><Relationship Id="rId82" Type="http://schemas.openxmlformats.org/officeDocument/2006/relationships/hyperlink" Target="https://www.google.com/maps/search/1510+Colonial+Dr+E+Orange+FL" TargetMode="External"/><Relationship Id="rId199" Type="http://schemas.openxmlformats.org/officeDocument/2006/relationships/hyperlink" Target="https://www.markhamwoodsanimalhospital.com/" TargetMode="External"/><Relationship Id="rId203" Type="http://schemas.openxmlformats.org/officeDocument/2006/relationships/hyperlink" Target="https://veconline.com/locations/casselberry/" TargetMode="External"/><Relationship Id="rId19" Type="http://schemas.openxmlformats.org/officeDocument/2006/relationships/hyperlink" Target="https://www.loopnet.com/Listing/1701-W-1st-St-Sanford-FL/28259426/" TargetMode="External"/><Relationship Id="rId224" Type="http://schemas.openxmlformats.org/officeDocument/2006/relationships/hyperlink" Target="https://www.google.com/maps/search/541+Horatio+Av+E,+FL" TargetMode="External"/><Relationship Id="rId30" Type="http://schemas.openxmlformats.org/officeDocument/2006/relationships/hyperlink" Target="https://www.patientconnect365.com/Dentists/Florida/Apopka/32712/A_Soft_Touch_in_Family_Dental_Care__Dr_John_Gammichia_kvo8lh" TargetMode="External"/><Relationship Id="rId105" Type="http://schemas.openxmlformats.org/officeDocument/2006/relationships/hyperlink" Target="https://mysanitas.com/en/fl/sanitas-kissimmee-oak" TargetMode="External"/><Relationship Id="rId126" Type="http://schemas.openxmlformats.org/officeDocument/2006/relationships/hyperlink" Target="https://www.google.com/maps?q=761+Stirling+Center+Pl+Seminole,+FL" TargetMode="External"/><Relationship Id="rId147" Type="http://schemas.openxmlformats.org/officeDocument/2006/relationships/hyperlink" Target="https://www.google.com/maps/@28.8176464,-81.8774908,3a,16.9y,174.93h,85.93t/data=!3m7!1e1!3m5!1sD1bpb9_7mud9RolGKF6C9w!2e0!6shttps:%2F%2Fstreetviewpixels-pa.googleapis.com%2Fv1%2Fthumbnail%3Fcb_client%3Dmaps_sv.tactile%26w%3D900%26h%3D600%26pitch%3D4.066419333309582%26panoid%3DD1bpb9_7mud9RolGKF6C9w%26yaw%3D174.92757615331712!7i16384!8i8192?entry=ttu&amp;g_ep=EgoyMDI2MDIwMS4wIKXMDSoASAFQAw%3D%3D" TargetMode="External"/><Relationship Id="rId168" Type="http://schemas.openxmlformats.org/officeDocument/2006/relationships/hyperlink" Target="https://www.psoriasis.org/health-care-provider-directory/michael-steppie-associates-in-dermatology-altamonte-springs/" TargetMode="External"/><Relationship Id="rId51" Type="http://schemas.openxmlformats.org/officeDocument/2006/relationships/hyperlink" Target="https://knightdermatology.com/location/winter-park-fl/" TargetMode="External"/><Relationship Id="rId72" Type="http://schemas.openxmlformats.org/officeDocument/2006/relationships/hyperlink" Target="https://www.evolveorl.com/contact-us/" TargetMode="External"/><Relationship Id="rId93" Type="http://schemas.openxmlformats.org/officeDocument/2006/relationships/hyperlink" Target="https://sunshinefmwc.com/" TargetMode="External"/><Relationship Id="rId189" Type="http://schemas.openxmlformats.org/officeDocument/2006/relationships/hyperlink" Target="https://www.google.com/maps/search/?api=1&amp;query=658+Oviedo+Medical+Dr+Seminole+FL" TargetMode="External"/><Relationship Id="rId3" Type="http://schemas.openxmlformats.org/officeDocument/2006/relationships/hyperlink" Target="https://www.tdscommercialre.com/properties" TargetMode="External"/><Relationship Id="rId214" Type="http://schemas.openxmlformats.org/officeDocument/2006/relationships/hyperlink" Target="https://www.google.com/maps?q=1701+1st+St+W+Seminole,+FL" TargetMode="External"/><Relationship Id="rId235" Type="http://schemas.openxmlformats.org/officeDocument/2006/relationships/hyperlink" Target="https://www.google.com/maps?q=16831+US+Highway+441+Lake,+FL" TargetMode="External"/><Relationship Id="rId116" Type="http://schemas.openxmlformats.org/officeDocument/2006/relationships/hyperlink" Target="https://coastalmhc.com/" TargetMode="External"/><Relationship Id="rId137" Type="http://schemas.openxmlformats.org/officeDocument/2006/relationships/hyperlink" Target="https://www.google.com/maps?q=307+Lagrande+Blvd+Lake,+FL" TargetMode="External"/><Relationship Id="rId158" Type="http://schemas.openxmlformats.org/officeDocument/2006/relationships/hyperlink" Target="https://www.google.com/maps?q=3615+Lake+Center+Dr+Lake,+FL" TargetMode="External"/><Relationship Id="rId20" Type="http://schemas.openxmlformats.org/officeDocument/2006/relationships/hyperlink" Target="https://www.loopnet.com/Listing/795-Primera-Blvd-Lake-Mary-FL/15799815/" TargetMode="External"/><Relationship Id="rId41" Type="http://schemas.openxmlformats.org/officeDocument/2006/relationships/hyperlink" Target="https://www.premierfsm.com/contact/ocoee/" TargetMode="External"/><Relationship Id="rId62" Type="http://schemas.openxmlformats.org/officeDocument/2006/relationships/hyperlink" Target="https://www.adventhealth.com/find-doctor/doctor/basiem-barsoum-md-1104099456" TargetMode="External"/><Relationship Id="rId83" Type="http://schemas.openxmlformats.org/officeDocument/2006/relationships/hyperlink" Target="https://www.ajhcompletecarellc.org/contact-5" TargetMode="External"/><Relationship Id="rId179" Type="http://schemas.openxmlformats.org/officeDocument/2006/relationships/hyperlink" Target="https://www.oviedosmiles.com/our-locations" TargetMode="External"/><Relationship Id="rId190" Type="http://schemas.openxmlformats.org/officeDocument/2006/relationships/hyperlink" Target="https://www.orlandodermatologycenter.com/location/oviedo-fl" TargetMode="External"/><Relationship Id="rId204" Type="http://schemas.openxmlformats.org/officeDocument/2006/relationships/hyperlink" Target="https://https/shafferah.com/.com/" TargetMode="External"/><Relationship Id="rId225" Type="http://schemas.openxmlformats.org/officeDocument/2006/relationships/hyperlink" Target="https://www.google.com/maps/search/9401+Summit+Centre+Wa,+FL"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cpafl.org/search/parcels/details/?APPRID=5270636" TargetMode="External"/><Relationship Id="rId7" Type="http://schemas.openxmlformats.org/officeDocument/2006/relationships/drawing" Target="../drawings/drawing4.xml"/><Relationship Id="rId2" Type="http://schemas.openxmlformats.org/officeDocument/2006/relationships/hyperlink" Target="https://www.scpafl.org/search/parcels/details/?APPRID=5189374" TargetMode="External"/><Relationship Id="rId1" Type="http://schemas.openxmlformats.org/officeDocument/2006/relationships/hyperlink" Target="https://www.scpafl.org/search/parcels/details/?APPRID=5333656" TargetMode="External"/><Relationship Id="rId6" Type="http://schemas.openxmlformats.org/officeDocument/2006/relationships/hyperlink" Target="https://vgispublic.ocpafl.org/webmapjs/?pid=292212066400100" TargetMode="External"/><Relationship Id="rId5" Type="http://schemas.openxmlformats.org/officeDocument/2006/relationships/hyperlink" Target="https://search.property-appraiser.org/Search/MainSearch?pin=222529149600010030" TargetMode="External"/><Relationship Id="rId4" Type="http://schemas.openxmlformats.org/officeDocument/2006/relationships/hyperlink" Target="https://www.scpafl.org/search/parcels/details/?APPRID=5270651"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vgispublic.ocpafl.org/webmapjs/?pid=272224674704000" TargetMode="External"/><Relationship Id="rId2" Type="http://schemas.openxmlformats.org/officeDocument/2006/relationships/hyperlink" Target="https://lakecopropappr.com/property-details.aspx?AltKey=1239371" TargetMode="External"/><Relationship Id="rId1" Type="http://schemas.openxmlformats.org/officeDocument/2006/relationships/hyperlink" Target="https://vgispublic.ocpafl.org/webmapjs/?pid=292203100000060" TargetMode="External"/><Relationship Id="rId6" Type="http://schemas.openxmlformats.org/officeDocument/2006/relationships/drawing" Target="../drawings/drawing5.xml"/><Relationship Id="rId5" Type="http://schemas.openxmlformats.org/officeDocument/2006/relationships/hyperlink" Target="https://www.scpafl.org/search/parcels/details/?APPRID=5303476" TargetMode="External"/><Relationship Id="rId4" Type="http://schemas.openxmlformats.org/officeDocument/2006/relationships/hyperlink" Target="https://vgispublic.ocpafl.org/webmapjs/?pid=292128549903000"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scpafl.org/search/parcels/details/?APPRID=5296890" TargetMode="External"/><Relationship Id="rId2" Type="http://schemas.openxmlformats.org/officeDocument/2006/relationships/hyperlink" Target="https://www.scpafl.org/search/parcels/details/?APPRID=5329157" TargetMode="External"/><Relationship Id="rId1" Type="http://schemas.openxmlformats.org/officeDocument/2006/relationships/hyperlink" Target="https://vgispublic.ocpafl.org/webmapjs/?pid=292225153601030" TargetMode="External"/><Relationship Id="rId5" Type="http://schemas.openxmlformats.org/officeDocument/2006/relationships/drawing" Target="../drawings/drawing6.xml"/><Relationship Id="rId4" Type="http://schemas.openxmlformats.org/officeDocument/2006/relationships/hyperlink" Target="https://vgispublic.ocpafl.org/webmapjs/?pid=292213278401031"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www.scpafl.org/search/parcels/details/?APPRID=5367522" TargetMode="External"/><Relationship Id="rId1" Type="http://schemas.openxmlformats.org/officeDocument/2006/relationships/hyperlink" Target="https://vgispublic.ocpafl.org/webmapjs/?pid=292125651603020"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vgispublic.ocpafl.org/webmapjs/?pid=282106000000047" TargetMode="External"/><Relationship Id="rId1" Type="http://schemas.openxmlformats.org/officeDocument/2006/relationships/hyperlink" Target="https://www.scpafl.org/search/parcels/details/?APPRID=5224560" TargetMode="External"/></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https://vgispublic.ocpafl.org/webmapjs/?pid=292210882806130" TargetMode="External"/><Relationship Id="rId7" Type="http://schemas.openxmlformats.org/officeDocument/2006/relationships/hyperlink" Target="https://vgispublic.ocpafl.org/webmapjs/?pid=292224883302000" TargetMode="External"/><Relationship Id="rId2" Type="http://schemas.openxmlformats.org/officeDocument/2006/relationships/hyperlink" Target="https://vgispublic.ocpafl.org/webmapjs/?pid=292202000000062" TargetMode="External"/><Relationship Id="rId1" Type="http://schemas.openxmlformats.org/officeDocument/2006/relationships/hyperlink" Target="https://vgispublic.ocpafl.org/webmapjs/?pid=292213942902310" TargetMode="External"/><Relationship Id="rId6" Type="http://schemas.openxmlformats.org/officeDocument/2006/relationships/hyperlink" Target="https://vgispublic.ocpafl.org/webmapjs/?pid=272325583902000" TargetMode="External"/><Relationship Id="rId5" Type="http://schemas.openxmlformats.org/officeDocument/2006/relationships/hyperlink" Target="https://vgispublic.ocpafl.org/webmapjs/?pid=272223288801040" TargetMode="External"/><Relationship Id="rId4" Type="http://schemas.openxmlformats.org/officeDocument/2006/relationships/hyperlink" Target="https://vgispublic.ocpafl.org/webmapjs/?pid=28223649490100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5383-4A96-E145-A02F-7EDE5E60276C}">
  <dimension ref="A1:BD173"/>
  <sheetViews>
    <sheetView showGridLines="0" zoomScale="40" zoomScaleNormal="75" workbookViewId="0">
      <selection activeCell="Q27" sqref="Q27"/>
    </sheetView>
  </sheetViews>
  <sheetFormatPr baseColWidth="10" defaultRowHeight="16" outlineLevelCol="2"/>
  <cols>
    <col min="1" max="1" width="8.83203125" customWidth="1"/>
    <col min="2" max="2" width="6.1640625" customWidth="1"/>
    <col min="3" max="3" width="12.33203125" customWidth="1"/>
    <col min="4" max="4" width="17.33203125" customWidth="1"/>
    <col min="5" max="5" width="9" customWidth="1"/>
    <col min="6" max="6" width="11.33203125" customWidth="1"/>
    <col min="7" max="7" width="9.5" customWidth="1"/>
    <col min="8" max="8" width="34.83203125" customWidth="1"/>
    <col min="9" max="9" width="3.33203125" customWidth="1"/>
    <col min="10" max="10" width="42.33203125" customWidth="1"/>
    <col min="11" max="11" width="10.83203125" customWidth="1"/>
    <col min="12" max="12" width="40.83203125" customWidth="1"/>
    <col min="14" max="14" width="40.33203125" customWidth="1"/>
    <col min="15" max="15" width="12.1640625" customWidth="1"/>
    <col min="16" max="16" width="54" customWidth="1"/>
    <col min="17" max="17" width="12.5" bestFit="1" customWidth="1"/>
    <col min="18" max="18" width="18.1640625" customWidth="1"/>
    <col min="19" max="19" width="16.83203125" customWidth="1"/>
    <col min="20" max="20" width="14.6640625" bestFit="1" customWidth="1"/>
    <col min="21" max="21" width="20" customWidth="1"/>
    <col min="22" max="22" width="23.33203125" bestFit="1" customWidth="1"/>
    <col min="23" max="23" width="43.33203125" customWidth="1"/>
    <col min="24" max="24" width="13" hidden="1" customWidth="1"/>
    <col min="25" max="25" width="7" hidden="1" customWidth="1"/>
    <col min="26" max="26" width="12.1640625" hidden="1" customWidth="1"/>
    <col min="27" max="27" width="0" hidden="1" customWidth="1"/>
    <col min="28" max="28" width="13" hidden="1" customWidth="1"/>
    <col min="29" max="29" width="7" hidden="1" customWidth="1"/>
    <col min="30" max="30" width="12.1640625" hidden="1" customWidth="1"/>
    <col min="31" max="31" width="0" hidden="1" customWidth="1"/>
    <col min="32" max="32" width="13" hidden="1" customWidth="1"/>
    <col min="33" max="33" width="7" hidden="1" customWidth="1"/>
    <col min="34" max="34" width="12.1640625" hidden="1" customWidth="1"/>
    <col min="35" max="35" width="0" hidden="1" customWidth="1"/>
    <col min="36" max="36" width="13" hidden="1" customWidth="1"/>
    <col min="37" max="37" width="7" hidden="1" customWidth="1"/>
    <col min="38" max="38" width="12.1640625" hidden="1" customWidth="1"/>
    <col min="39" max="39" width="10.83203125" hidden="1" customWidth="1"/>
    <col min="40" max="40" width="10.83203125" hidden="1" customWidth="1" outlineLevel="2"/>
    <col min="41" max="43" width="0" hidden="1" customWidth="1" outlineLevel="2"/>
    <col min="44" max="44" width="0" hidden="1" customWidth="1" outlineLevel="2" collapsed="1"/>
    <col min="45" max="46" width="0" hidden="1" customWidth="1" outlineLevel="2"/>
    <col min="47" max="47" width="10.33203125" hidden="1" customWidth="1" outlineLevel="2"/>
    <col min="48" max="48" width="14.83203125" hidden="1" customWidth="1" outlineLevel="2"/>
    <col min="49" max="49" width="0" hidden="1" customWidth="1" outlineLevel="2"/>
    <col min="50" max="50" width="18.5" hidden="1" customWidth="1" outlineLevel="2"/>
    <col min="51" max="51" width="17.5" hidden="1" customWidth="1" outlineLevel="2"/>
    <col min="52" max="52" width="13.6640625" hidden="1" customWidth="1" outlineLevel="2"/>
    <col min="53" max="53" width="10.33203125" hidden="1" customWidth="1" outlineLevel="2"/>
    <col min="54" max="54" width="14.83203125" hidden="1" customWidth="1" outlineLevel="2"/>
    <col min="55" max="55" width="13.6640625" hidden="1" customWidth="1" outlineLevel="2"/>
    <col min="56" max="56" width="10.83203125" collapsed="1"/>
  </cols>
  <sheetData>
    <row r="1" spans="1:55" ht="107" customHeight="1">
      <c r="A1" s="379"/>
      <c r="B1" s="398" t="s">
        <v>6636</v>
      </c>
      <c r="C1" s="391"/>
      <c r="D1" s="391"/>
      <c r="E1" s="391"/>
      <c r="F1" s="391"/>
      <c r="G1" s="391"/>
      <c r="H1" s="391"/>
      <c r="I1" s="391"/>
      <c r="J1" s="391"/>
      <c r="K1" s="391"/>
      <c r="L1" s="391"/>
      <c r="M1" s="391"/>
      <c r="N1" s="391"/>
      <c r="O1" s="391"/>
      <c r="P1" s="391"/>
      <c r="Q1" s="391"/>
      <c r="R1" s="380"/>
      <c r="S1" s="380"/>
      <c r="T1" s="380"/>
      <c r="U1" s="380"/>
      <c r="V1" s="379"/>
      <c r="W1" s="379"/>
      <c r="AA1" s="379"/>
      <c r="AB1" s="379"/>
      <c r="AC1" s="379"/>
      <c r="AD1" s="379"/>
      <c r="AE1" s="379"/>
      <c r="AF1" s="415" t="s">
        <v>6224</v>
      </c>
      <c r="AG1" t="s">
        <v>6631</v>
      </c>
      <c r="AI1" s="379"/>
      <c r="AJ1" s="415" t="s">
        <v>13</v>
      </c>
      <c r="AK1" t="s">
        <v>6631</v>
      </c>
      <c r="AM1" s="379"/>
      <c r="AN1" s="415" t="s">
        <v>6224</v>
      </c>
      <c r="AO1" t="s">
        <v>6631</v>
      </c>
      <c r="AR1" s="415" t="s">
        <v>6224</v>
      </c>
      <c r="AS1" t="s">
        <v>6631</v>
      </c>
      <c r="AX1" s="415" t="s">
        <v>6224</v>
      </c>
      <c r="AY1" t="s">
        <v>6631</v>
      </c>
    </row>
    <row r="2" spans="1:55" ht="31" customHeight="1">
      <c r="A2" s="379"/>
      <c r="B2" s="399" t="s">
        <v>6638</v>
      </c>
      <c r="C2" s="389"/>
      <c r="D2" s="389"/>
      <c r="E2" s="389"/>
      <c r="F2" s="389"/>
      <c r="G2" s="389"/>
      <c r="H2" s="389"/>
      <c r="I2" s="389"/>
      <c r="J2" s="389"/>
      <c r="K2" s="389"/>
      <c r="L2" s="389"/>
      <c r="M2" s="389"/>
      <c r="N2" s="389"/>
      <c r="O2" s="389"/>
      <c r="P2" s="389"/>
      <c r="Q2" s="389"/>
      <c r="R2" s="389"/>
      <c r="S2" s="389"/>
      <c r="T2" s="389"/>
      <c r="U2" s="389"/>
      <c r="V2" s="379"/>
      <c r="W2" s="379"/>
      <c r="X2" s="415" t="s">
        <v>6224</v>
      </c>
      <c r="Y2" t="s">
        <v>6631</v>
      </c>
      <c r="AA2" s="379"/>
      <c r="AB2" s="379"/>
      <c r="AC2" s="379"/>
      <c r="AD2" s="379"/>
      <c r="AE2" s="379"/>
      <c r="AF2" s="415" t="s">
        <v>2</v>
      </c>
      <c r="AG2" t="s">
        <v>6631</v>
      </c>
      <c r="AI2" s="379"/>
      <c r="AJ2" s="415" t="s">
        <v>2</v>
      </c>
      <c r="AK2" t="s">
        <v>6631</v>
      </c>
      <c r="AM2" s="379"/>
      <c r="AN2" s="415" t="s">
        <v>13</v>
      </c>
      <c r="AO2" t="s">
        <v>6631</v>
      </c>
      <c r="AR2" s="415" t="s">
        <v>13</v>
      </c>
      <c r="AS2" t="s">
        <v>6631</v>
      </c>
      <c r="AX2" s="415" t="s">
        <v>2</v>
      </c>
      <c r="AY2" t="s">
        <v>6631</v>
      </c>
    </row>
    <row r="3" spans="1:55" ht="25" customHeight="1">
      <c r="A3" s="379"/>
      <c r="B3" s="379"/>
      <c r="C3" s="388"/>
      <c r="D3" s="379"/>
      <c r="E3" s="379"/>
      <c r="F3" s="379"/>
      <c r="G3" s="379"/>
      <c r="H3" s="379"/>
      <c r="I3" s="379"/>
      <c r="J3" s="379"/>
      <c r="K3" s="379"/>
      <c r="L3" s="379"/>
      <c r="M3" s="379"/>
      <c r="N3" s="379"/>
      <c r="O3" s="379"/>
      <c r="P3" s="379"/>
      <c r="Q3" s="379"/>
      <c r="R3" s="379"/>
      <c r="S3" s="379"/>
      <c r="T3" s="379"/>
      <c r="U3" s="379"/>
      <c r="V3" s="379"/>
      <c r="W3" s="379"/>
      <c r="X3" s="415" t="s">
        <v>13</v>
      </c>
      <c r="Y3" t="s">
        <v>6631</v>
      </c>
      <c r="AA3" s="379"/>
      <c r="AB3" s="379"/>
      <c r="AC3" s="379"/>
      <c r="AD3" s="379"/>
      <c r="AE3" s="379"/>
      <c r="AF3" s="415" t="s">
        <v>6233</v>
      </c>
      <c r="AG3" t="s">
        <v>6631</v>
      </c>
      <c r="AI3" s="379"/>
      <c r="AJ3" s="415" t="s">
        <v>6233</v>
      </c>
      <c r="AK3" t="s">
        <v>6631</v>
      </c>
      <c r="AM3" s="379"/>
      <c r="AN3" s="415" t="s">
        <v>6233</v>
      </c>
      <c r="AO3" t="s">
        <v>6631</v>
      </c>
      <c r="AR3" s="415" t="s">
        <v>6233</v>
      </c>
      <c r="AS3" t="s">
        <v>6631</v>
      </c>
      <c r="AX3" s="415" t="s">
        <v>6233</v>
      </c>
      <c r="AY3" t="s">
        <v>6631</v>
      </c>
    </row>
    <row r="4" spans="1:55" ht="28" customHeight="1">
      <c r="A4" s="379"/>
      <c r="B4" s="379"/>
      <c r="C4" s="379"/>
      <c r="D4" s="379"/>
      <c r="E4" s="379"/>
      <c r="F4" s="379"/>
      <c r="G4" s="379"/>
      <c r="H4" s="379"/>
      <c r="I4" s="379"/>
      <c r="J4" s="379"/>
      <c r="K4" s="379"/>
      <c r="L4" s="379"/>
      <c r="M4" s="379"/>
      <c r="N4" s="379"/>
      <c r="O4" s="379"/>
      <c r="P4" s="379"/>
      <c r="Q4" s="379"/>
      <c r="R4" s="379"/>
      <c r="S4" s="379"/>
      <c r="T4" s="379"/>
      <c r="U4" s="379"/>
      <c r="V4" s="379"/>
      <c r="W4" s="379"/>
      <c r="X4" s="415" t="s">
        <v>6233</v>
      </c>
      <c r="Y4" t="s">
        <v>6631</v>
      </c>
      <c r="AA4" s="379"/>
      <c r="AB4" s="379"/>
      <c r="AC4" s="379"/>
      <c r="AD4" s="379"/>
      <c r="AE4" s="379"/>
      <c r="AF4" s="415" t="s">
        <v>6199</v>
      </c>
      <c r="AG4" t="s">
        <v>6631</v>
      </c>
      <c r="AI4" s="379"/>
      <c r="AJ4" s="415" t="s">
        <v>6199</v>
      </c>
      <c r="AK4" t="s">
        <v>6631</v>
      </c>
      <c r="AM4" s="379"/>
      <c r="AN4" s="415" t="s">
        <v>6199</v>
      </c>
      <c r="AO4" t="s">
        <v>6631</v>
      </c>
      <c r="AR4" s="415" t="s">
        <v>6199</v>
      </c>
      <c r="AS4" t="s">
        <v>6631</v>
      </c>
      <c r="AX4" s="415" t="s">
        <v>6199</v>
      </c>
      <c r="AY4" t="s">
        <v>6631</v>
      </c>
    </row>
    <row r="5" spans="1:55" ht="41" customHeight="1">
      <c r="A5" s="379"/>
      <c r="B5" s="379"/>
      <c r="C5" s="379"/>
      <c r="D5" s="379"/>
      <c r="E5" s="379"/>
      <c r="F5" s="379"/>
      <c r="G5" s="381"/>
      <c r="H5" s="381"/>
      <c r="I5" s="381"/>
      <c r="J5" s="381"/>
      <c r="K5" s="382"/>
      <c r="L5" s="421" t="s">
        <v>6647</v>
      </c>
      <c r="M5" s="382"/>
      <c r="N5" s="421" t="s">
        <v>6635</v>
      </c>
      <c r="O5" s="381"/>
      <c r="P5" s="381"/>
      <c r="Q5" s="381"/>
      <c r="R5" s="381"/>
      <c r="S5" s="381"/>
      <c r="T5" s="381"/>
      <c r="U5" s="381"/>
      <c r="V5" s="381"/>
      <c r="W5" s="381"/>
      <c r="X5" s="415" t="s">
        <v>6199</v>
      </c>
      <c r="Y5" t="s">
        <v>6631</v>
      </c>
      <c r="AA5" s="381"/>
      <c r="AB5" s="381"/>
      <c r="AC5" s="381"/>
      <c r="AD5" s="381"/>
      <c r="AE5" s="381"/>
      <c r="AF5" s="415" t="s">
        <v>6320</v>
      </c>
      <c r="AG5" t="s">
        <v>6654</v>
      </c>
      <c r="AI5" s="381"/>
      <c r="AJ5" s="415" t="s">
        <v>6320</v>
      </c>
      <c r="AK5" t="s">
        <v>6654</v>
      </c>
      <c r="AM5" s="381"/>
      <c r="AN5" s="415" t="s">
        <v>2</v>
      </c>
      <c r="AO5" t="s">
        <v>6631</v>
      </c>
      <c r="AR5" s="415" t="s">
        <v>6320</v>
      </c>
      <c r="AS5" t="s">
        <v>6654</v>
      </c>
      <c r="AX5" s="415" t="s">
        <v>6320</v>
      </c>
      <c r="AY5" t="s">
        <v>6654</v>
      </c>
    </row>
    <row r="6" spans="1:55" ht="75" customHeight="1">
      <c r="A6" s="379"/>
      <c r="B6" s="379"/>
      <c r="C6" s="379"/>
      <c r="D6" s="379"/>
      <c r="E6" s="379"/>
      <c r="F6" s="379"/>
      <c r="G6" s="381"/>
      <c r="H6" s="431">
        <f>GETPIVOTDATA("Total Sales",X27)</f>
        <v>195</v>
      </c>
      <c r="I6" s="386"/>
      <c r="J6" s="432">
        <f>GETPIVOTDATA("Total Volume",X27)</f>
        <v>497397799</v>
      </c>
      <c r="K6" s="384"/>
      <c r="L6" s="429">
        <f>GETPIVOTDATA("Avg $/SF",AB27)</f>
        <v>303.31751258159119</v>
      </c>
      <c r="M6" s="383"/>
      <c r="N6" s="430">
        <f>GETPIVOTDATA("Avg Price",AB27)</f>
        <v>2550757.9435897437</v>
      </c>
      <c r="O6" s="381"/>
      <c r="P6" s="412" t="s">
        <v>6645</v>
      </c>
      <c r="Q6" s="379"/>
      <c r="R6" s="379"/>
      <c r="S6" s="379"/>
      <c r="T6" s="379"/>
      <c r="U6" s="379"/>
      <c r="V6" s="379"/>
      <c r="W6" s="381"/>
      <c r="X6" s="415" t="s">
        <v>6320</v>
      </c>
      <c r="Y6" t="s">
        <v>6654</v>
      </c>
      <c r="AA6" s="381"/>
      <c r="AB6" s="381"/>
      <c r="AC6" s="381"/>
      <c r="AD6" s="381"/>
      <c r="AE6" s="381"/>
      <c r="AI6" s="381"/>
      <c r="AM6" s="381"/>
      <c r="AN6" s="415" t="s">
        <v>6320</v>
      </c>
      <c r="AO6" t="s">
        <v>6654</v>
      </c>
    </row>
    <row r="7" spans="1:55" ht="38" customHeight="1" thickBot="1">
      <c r="A7" s="379"/>
      <c r="B7" s="379"/>
      <c r="C7" s="379"/>
      <c r="D7" s="379"/>
      <c r="E7" s="379"/>
      <c r="F7" s="379"/>
      <c r="G7" s="381"/>
      <c r="H7" s="422" t="s">
        <v>6633</v>
      </c>
      <c r="I7" s="381"/>
      <c r="J7" s="422" t="s">
        <v>6634</v>
      </c>
      <c r="K7" s="381"/>
      <c r="L7" s="421" t="s">
        <v>6642</v>
      </c>
      <c r="M7" s="382"/>
      <c r="N7" s="421" t="s">
        <v>6648</v>
      </c>
      <c r="O7" s="381"/>
      <c r="P7" s="427" t="s">
        <v>2</v>
      </c>
      <c r="Q7" s="428" t="s">
        <v>6215</v>
      </c>
      <c r="R7" s="428" t="s">
        <v>6219</v>
      </c>
      <c r="S7" s="428" t="s">
        <v>6646</v>
      </c>
      <c r="T7" s="428" t="s">
        <v>6230</v>
      </c>
      <c r="U7" s="428" t="s">
        <v>6231</v>
      </c>
      <c r="V7" s="428" t="s">
        <v>6216</v>
      </c>
      <c r="W7" s="381"/>
      <c r="AF7" s="415" t="s">
        <v>6630</v>
      </c>
      <c r="AG7" t="s">
        <v>6215</v>
      </c>
      <c r="AJ7" s="415" t="s">
        <v>6630</v>
      </c>
      <c r="AK7" t="s">
        <v>6219</v>
      </c>
      <c r="AL7" t="s">
        <v>6215</v>
      </c>
      <c r="AM7" s="381"/>
      <c r="AR7" s="415" t="s">
        <v>2</v>
      </c>
      <c r="AS7" t="s">
        <v>6230</v>
      </c>
      <c r="AT7" t="s">
        <v>6231</v>
      </c>
      <c r="AU7" t="s">
        <v>6646</v>
      </c>
      <c r="AV7" t="s">
        <v>6216</v>
      </c>
      <c r="AX7" s="415" t="s">
        <v>13</v>
      </c>
      <c r="AY7" t="s">
        <v>6230</v>
      </c>
      <c r="AZ7" t="s">
        <v>6231</v>
      </c>
      <c r="BA7" t="s">
        <v>6646</v>
      </c>
      <c r="BB7" t="s">
        <v>6216</v>
      </c>
      <c r="BC7" t="s">
        <v>6219</v>
      </c>
    </row>
    <row r="8" spans="1:55" ht="78" customHeight="1" thickTop="1">
      <c r="A8" s="379"/>
      <c r="B8" s="413" t="s">
        <v>6637</v>
      </c>
      <c r="C8" s="379"/>
      <c r="D8" s="379"/>
      <c r="E8" s="379"/>
      <c r="F8" s="379"/>
      <c r="G8" s="381"/>
      <c r="H8" s="381"/>
      <c r="I8" s="381"/>
      <c r="J8" s="381"/>
      <c r="K8" s="382"/>
      <c r="L8" s="429">
        <f>MEDIAN(SalesData[$/SF])</f>
        <v>252.32802643436469</v>
      </c>
      <c r="M8" s="383"/>
      <c r="N8" s="430">
        <f>MEDIAN(SalesData[Price])</f>
        <v>1270100</v>
      </c>
      <c r="O8" s="381"/>
      <c r="P8" s="410" t="s">
        <v>33</v>
      </c>
      <c r="Q8" s="400">
        <f>IFERROR(GETPIVOTDATA("# Sales",$X$7,"County",P8),0)</f>
        <v>68</v>
      </c>
      <c r="R8" s="401">
        <f>IFERROR(GETPIVOTDATA("Avg $/SF",$X$7,"County",P8),0)</f>
        <v>313.96409680320073</v>
      </c>
      <c r="S8" s="403">
        <f>IFERROR(GETPIVOTDATA("Avg Size",$AR$7,"County",P8),0)</f>
        <v>11020.60294117647</v>
      </c>
      <c r="T8" s="402">
        <f>IFERROR(GETPIVOTDATA("Min Price",$AR$7,"County",P8),0)</f>
        <v>344600</v>
      </c>
      <c r="U8" s="404">
        <f>IFERROR(GETPIVOTDATA("Max Price",$AR$7,"County",P8),0)</f>
        <v>15500000</v>
      </c>
      <c r="V8" s="404">
        <f>IFERROR(GETPIVOTDATA("Total Volume",$AR$7,"County",P8),0)</f>
        <v>232837900</v>
      </c>
      <c r="W8" s="381"/>
      <c r="X8" s="415" t="s">
        <v>6630</v>
      </c>
      <c r="Y8" t="s">
        <v>6219</v>
      </c>
      <c r="Z8" t="s">
        <v>6215</v>
      </c>
      <c r="AF8" s="416" t="s">
        <v>6212</v>
      </c>
      <c r="AG8">
        <v>9</v>
      </c>
      <c r="AJ8" s="418">
        <v>2020</v>
      </c>
      <c r="AK8">
        <v>268.56027863528629</v>
      </c>
      <c r="AL8">
        <v>23</v>
      </c>
      <c r="AM8" s="381"/>
      <c r="AN8" s="415" t="s">
        <v>1</v>
      </c>
      <c r="AO8" t="s">
        <v>4</v>
      </c>
      <c r="AP8" t="s">
        <v>5</v>
      </c>
      <c r="AQ8" t="s">
        <v>6651</v>
      </c>
      <c r="AR8" t="s">
        <v>184</v>
      </c>
      <c r="AS8" s="417">
        <v>210000</v>
      </c>
      <c r="AT8" s="417">
        <v>5272900</v>
      </c>
      <c r="AU8" s="419">
        <v>5066.4285714285716</v>
      </c>
      <c r="AV8" s="417">
        <v>24059200</v>
      </c>
      <c r="AX8" t="s">
        <v>6212</v>
      </c>
      <c r="AY8" s="417">
        <v>1340800</v>
      </c>
      <c r="AZ8" s="417">
        <v>15500000</v>
      </c>
      <c r="BA8" s="419">
        <v>14056</v>
      </c>
      <c r="BB8" s="417">
        <v>67023500</v>
      </c>
      <c r="BC8">
        <v>542.79918185564384</v>
      </c>
    </row>
    <row r="9" spans="1:55" ht="54" customHeight="1">
      <c r="A9" s="379"/>
      <c r="B9" s="414" t="s">
        <v>6639</v>
      </c>
      <c r="C9" s="379"/>
      <c r="D9" s="379"/>
      <c r="E9" s="379"/>
      <c r="F9" s="379"/>
      <c r="G9" s="381"/>
      <c r="H9" s="381"/>
      <c r="I9" s="381"/>
      <c r="J9" s="381"/>
      <c r="K9" s="384"/>
      <c r="L9" s="381"/>
      <c r="M9" s="381"/>
      <c r="N9" s="381"/>
      <c r="O9" s="381"/>
      <c r="P9" s="411" t="s">
        <v>20</v>
      </c>
      <c r="Q9" s="405">
        <f>IFERROR(GETPIVOTDATA("# Sales",$X$7,"County",P9),0)</f>
        <v>53</v>
      </c>
      <c r="R9" s="406">
        <f>IFERROR(GETPIVOTDATA("Avg $/SF",$X$7,"County",P9),0)</f>
        <v>245.16935797000787</v>
      </c>
      <c r="S9" s="408">
        <f>IFERROR(GETPIVOTDATA("Avg Size",$AR$7,"County",P9),0)</f>
        <v>5938.2452830188677</v>
      </c>
      <c r="T9" s="407">
        <f>IFERROR(GETPIVOTDATA("Min Price",$AR$7,"County",P9),0)</f>
        <v>250100</v>
      </c>
      <c r="U9" s="409">
        <f>IFERROR(GETPIVOTDATA("Max Price",$AR$7,"County",P9),0)</f>
        <v>9998200</v>
      </c>
      <c r="V9" s="409">
        <f>IFERROR(GETPIVOTDATA("Total Volume",$AR$7,"County",P9),0)</f>
        <v>78592500</v>
      </c>
      <c r="W9" s="381"/>
      <c r="X9" s="416" t="s">
        <v>184</v>
      </c>
      <c r="Y9">
        <v>209.55388289665132</v>
      </c>
      <c r="Z9">
        <v>21</v>
      </c>
      <c r="AF9" s="416" t="s">
        <v>26</v>
      </c>
      <c r="AG9">
        <v>125</v>
      </c>
      <c r="AJ9" s="418">
        <v>2021</v>
      </c>
      <c r="AK9">
        <v>285.97428398422414</v>
      </c>
      <c r="AL9">
        <v>47</v>
      </c>
      <c r="AM9" s="381"/>
      <c r="AN9" t="s">
        <v>1590</v>
      </c>
      <c r="AO9" s="417">
        <v>15500000</v>
      </c>
      <c r="AP9">
        <v>386.99690402476779</v>
      </c>
      <c r="AQ9" s="419">
        <v>40052</v>
      </c>
      <c r="AR9" t="s">
        <v>33</v>
      </c>
      <c r="AS9" s="417">
        <v>344600</v>
      </c>
      <c r="AT9" s="417">
        <v>15500000</v>
      </c>
      <c r="AU9" s="419">
        <v>11020.60294117647</v>
      </c>
      <c r="AV9" s="417">
        <v>232837900</v>
      </c>
      <c r="AX9" t="s">
        <v>26</v>
      </c>
      <c r="AY9" s="417">
        <v>210000</v>
      </c>
      <c r="AZ9" s="417">
        <v>5050000</v>
      </c>
      <c r="BA9" s="419">
        <v>4442.5200000000004</v>
      </c>
      <c r="BB9" s="417">
        <v>141398100</v>
      </c>
      <c r="BC9">
        <v>253.64941088214675</v>
      </c>
    </row>
    <row r="10" spans="1:55" ht="59" customHeight="1">
      <c r="A10" s="379"/>
      <c r="B10" s="379"/>
      <c r="C10" s="379"/>
      <c r="D10" s="379"/>
      <c r="E10" s="379"/>
      <c r="F10" s="379"/>
      <c r="G10" s="381"/>
      <c r="H10" s="381"/>
      <c r="I10" s="381"/>
      <c r="J10" s="381"/>
      <c r="K10" s="381"/>
      <c r="L10" s="381"/>
      <c r="M10" s="381"/>
      <c r="N10" s="381"/>
      <c r="O10" s="381"/>
      <c r="P10" s="410" t="s">
        <v>678</v>
      </c>
      <c r="Q10" s="400">
        <f>IFERROR(GETPIVOTDATA("# Sales",$X$7,"County",P10),0)</f>
        <v>23</v>
      </c>
      <c r="R10" s="401">
        <f>IFERROR(GETPIVOTDATA("Avg $/SF",$X$7,"County",P10),0)</f>
        <v>291.34204621461328</v>
      </c>
      <c r="S10" s="403">
        <f>IFERROR(GETPIVOTDATA("Avg Size",$AR$7,"County",P10),0)</f>
        <v>5727</v>
      </c>
      <c r="T10" s="402">
        <f>IFERROR(GETPIVOTDATA("Min Price",$AR$7,"County",P10),0)</f>
        <v>530000</v>
      </c>
      <c r="U10" s="404">
        <f>IFERROR(GETPIVOTDATA("Max Price",$AR$7,"County",P10),0)</f>
        <v>5150000</v>
      </c>
      <c r="V10" s="404">
        <f>IFERROR(GETPIVOTDATA("Total Volume",$AR$7,"County",P10),0)</f>
        <v>37585900</v>
      </c>
      <c r="W10" s="381"/>
      <c r="X10" s="416" t="s">
        <v>33</v>
      </c>
      <c r="Y10">
        <v>313.96409680320073</v>
      </c>
      <c r="Z10">
        <v>68</v>
      </c>
      <c r="AF10" s="416" t="s">
        <v>1519</v>
      </c>
      <c r="AG10">
        <v>31</v>
      </c>
      <c r="AJ10" s="418">
        <v>2022</v>
      </c>
      <c r="AK10">
        <v>257.13098312215755</v>
      </c>
      <c r="AL10">
        <v>32</v>
      </c>
      <c r="AM10" s="381"/>
      <c r="AN10" t="s">
        <v>455</v>
      </c>
      <c r="AO10" s="417">
        <v>15500000</v>
      </c>
      <c r="AP10">
        <v>1500.3387861775238</v>
      </c>
      <c r="AQ10" s="419">
        <v>10331</v>
      </c>
      <c r="AR10" t="s">
        <v>678</v>
      </c>
      <c r="AS10" s="417">
        <v>530000</v>
      </c>
      <c r="AT10" s="417">
        <v>5150000</v>
      </c>
      <c r="AU10" s="419">
        <v>5727</v>
      </c>
      <c r="AV10" s="417">
        <v>37585900</v>
      </c>
      <c r="AX10" t="s">
        <v>1519</v>
      </c>
      <c r="AY10" s="417">
        <v>1600000</v>
      </c>
      <c r="AZ10" s="417">
        <v>15500000</v>
      </c>
      <c r="BA10" s="419">
        <v>20013.709677419356</v>
      </c>
      <c r="BB10" s="417">
        <v>164653900</v>
      </c>
      <c r="BC10">
        <v>285.60206973628107</v>
      </c>
    </row>
    <row r="11" spans="1:55" ht="63" customHeight="1">
      <c r="A11" s="379"/>
      <c r="B11" s="379"/>
      <c r="C11" s="379"/>
      <c r="D11" s="379"/>
      <c r="E11" s="379"/>
      <c r="F11" s="379"/>
      <c r="G11" s="381"/>
      <c r="H11" s="381"/>
      <c r="I11" s="381"/>
      <c r="J11" s="381"/>
      <c r="K11" s="381"/>
      <c r="L11" s="381"/>
      <c r="M11" s="381"/>
      <c r="N11" s="381"/>
      <c r="O11" s="381"/>
      <c r="P11" s="411" t="s">
        <v>184</v>
      </c>
      <c r="Q11" s="405">
        <f>IFERROR(GETPIVOTDATA("# Sales",$X$7,"County",P11),0)</f>
        <v>21</v>
      </c>
      <c r="R11" s="406">
        <f>IFERROR(GETPIVOTDATA("Avg $/SF",$X$7,"County",P11),0)</f>
        <v>209.55388289665132</v>
      </c>
      <c r="S11" s="408">
        <f>IFERROR(GETPIVOTDATA("Avg Size",$AR$7,"County",P11),0)</f>
        <v>5066.4285714285716</v>
      </c>
      <c r="T11" s="407">
        <f>IFERROR(GETPIVOTDATA("Min Price",$AR$7,"County",P11),0)</f>
        <v>210000</v>
      </c>
      <c r="U11" s="409">
        <f>IFERROR(GETPIVOTDATA("Max Price",$AR$7,"County",P11),0)</f>
        <v>5272900</v>
      </c>
      <c r="V11" s="409">
        <f>IFERROR(GETPIVOTDATA("Total Volume",$AR$7,"County",P11),0)</f>
        <v>24059200</v>
      </c>
      <c r="W11" s="381"/>
      <c r="X11" s="416" t="s">
        <v>678</v>
      </c>
      <c r="Y11">
        <v>291.34204621461328</v>
      </c>
      <c r="Z11">
        <v>23</v>
      </c>
      <c r="AJ11" s="418">
        <v>2023</v>
      </c>
      <c r="AK11">
        <v>249.38620480320589</v>
      </c>
      <c r="AL11">
        <v>26</v>
      </c>
      <c r="AM11" s="381"/>
      <c r="AN11" t="s">
        <v>413</v>
      </c>
      <c r="AO11" s="417">
        <v>15000000</v>
      </c>
      <c r="AP11">
        <v>634.16902718471226</v>
      </c>
      <c r="AQ11" s="419">
        <v>23653</v>
      </c>
      <c r="AR11" t="s">
        <v>20</v>
      </c>
      <c r="AS11" s="417">
        <v>250100</v>
      </c>
      <c r="AT11" s="417">
        <v>9998200</v>
      </c>
      <c r="AU11" s="419">
        <v>5938.2452830188677</v>
      </c>
      <c r="AV11" s="417">
        <v>78592500</v>
      </c>
    </row>
    <row r="12" spans="1:55">
      <c r="A12" s="379"/>
      <c r="B12" s="379"/>
      <c r="C12" s="379"/>
      <c r="D12" s="379"/>
      <c r="E12" s="379"/>
      <c r="F12" s="379"/>
      <c r="G12" s="381"/>
      <c r="H12" s="381"/>
      <c r="I12" s="381"/>
      <c r="J12" s="381"/>
      <c r="K12" s="381"/>
      <c r="L12" s="381"/>
      <c r="M12" s="381"/>
      <c r="N12" s="381"/>
      <c r="O12" s="381"/>
      <c r="P12" s="381"/>
      <c r="Q12" s="381"/>
      <c r="R12" s="381"/>
      <c r="S12" s="381"/>
      <c r="T12" s="381"/>
      <c r="U12" s="381"/>
      <c r="V12" s="381"/>
      <c r="W12" s="381"/>
      <c r="X12" s="416" t="s">
        <v>20</v>
      </c>
      <c r="Y12">
        <v>245.16935797000787</v>
      </c>
      <c r="Z12">
        <v>53</v>
      </c>
      <c r="AJ12" s="418">
        <v>2024</v>
      </c>
      <c r="AK12">
        <v>263.12592280877385</v>
      </c>
      <c r="AL12">
        <v>20</v>
      </c>
      <c r="AM12" s="381"/>
      <c r="AN12" t="s">
        <v>633</v>
      </c>
      <c r="AO12" s="417">
        <v>13200000</v>
      </c>
      <c r="AP12">
        <v>470.42052744119741</v>
      </c>
      <c r="AQ12" s="419">
        <v>28060</v>
      </c>
    </row>
    <row r="13" spans="1:55">
      <c r="A13" s="379"/>
      <c r="B13" s="379"/>
      <c r="C13" s="379"/>
      <c r="D13" s="379"/>
      <c r="E13" s="379"/>
      <c r="F13" s="379"/>
      <c r="G13" s="381"/>
      <c r="H13" s="381"/>
      <c r="I13" s="381"/>
      <c r="J13" s="381"/>
      <c r="K13" s="381"/>
      <c r="L13" s="381"/>
      <c r="M13" s="381"/>
      <c r="N13" s="381"/>
      <c r="O13" s="381"/>
      <c r="P13" s="381"/>
      <c r="Q13" s="381"/>
      <c r="R13" s="381"/>
      <c r="S13" s="381"/>
      <c r="T13" s="381"/>
      <c r="U13" s="381"/>
      <c r="V13" s="381"/>
      <c r="W13" s="381"/>
      <c r="AA13" s="381"/>
      <c r="AB13" s="381"/>
      <c r="AC13" s="381"/>
      <c r="AD13" s="381"/>
      <c r="AE13" s="381"/>
      <c r="AI13" s="381"/>
      <c r="AJ13" s="418">
        <v>2025</v>
      </c>
      <c r="AK13">
        <v>344.27083305622699</v>
      </c>
      <c r="AL13">
        <v>17</v>
      </c>
      <c r="AM13" s="381"/>
      <c r="AN13" t="s">
        <v>559</v>
      </c>
      <c r="AO13" s="417">
        <v>10221900</v>
      </c>
      <c r="AP13">
        <v>651.90688775510205</v>
      </c>
      <c r="AQ13" s="419">
        <v>15680</v>
      </c>
      <c r="AU13" s="381"/>
      <c r="AV13" s="381"/>
    </row>
    <row r="14" spans="1:55" ht="17" customHeight="1">
      <c r="A14" s="379"/>
      <c r="B14" s="379"/>
      <c r="C14" s="379"/>
      <c r="D14" s="379"/>
      <c r="E14" s="379"/>
      <c r="F14" s="379"/>
      <c r="G14" s="381"/>
      <c r="H14" s="381"/>
      <c r="I14" s="381"/>
      <c r="J14" s="381"/>
      <c r="K14" s="381"/>
      <c r="L14" s="381"/>
      <c r="M14" s="381"/>
      <c r="N14" s="381"/>
      <c r="O14" s="381"/>
      <c r="P14" s="381"/>
      <c r="Q14" s="381"/>
      <c r="R14" s="381"/>
      <c r="S14" s="381"/>
      <c r="T14" s="381"/>
      <c r="U14" s="381"/>
      <c r="V14" s="381"/>
      <c r="W14" s="381"/>
      <c r="AA14" s="381"/>
      <c r="AB14" s="381"/>
      <c r="AC14" s="381"/>
      <c r="AD14" s="381"/>
      <c r="AE14" s="381"/>
      <c r="AI14" s="381"/>
      <c r="AM14" s="381"/>
      <c r="AN14" t="s">
        <v>1387</v>
      </c>
      <c r="AO14" s="417">
        <v>9998200</v>
      </c>
      <c r="AP14">
        <v>587.19680507429382</v>
      </c>
      <c r="AQ14" s="419">
        <v>17027</v>
      </c>
      <c r="AU14" s="381"/>
      <c r="AV14" s="381"/>
    </row>
    <row r="15" spans="1:55" ht="86" customHeight="1">
      <c r="A15" s="379"/>
      <c r="B15" s="379"/>
      <c r="C15" s="379"/>
      <c r="D15" s="379"/>
      <c r="E15" s="379"/>
      <c r="F15" s="379"/>
      <c r="G15" s="381"/>
      <c r="H15" s="381"/>
      <c r="I15" s="381"/>
      <c r="J15" s="381"/>
      <c r="K15" s="381"/>
      <c r="L15" s="381"/>
      <c r="M15" s="381"/>
      <c r="N15" s="381"/>
      <c r="O15" s="381"/>
      <c r="P15" s="412" t="s">
        <v>6653</v>
      </c>
      <c r="Q15" s="379"/>
      <c r="R15" s="379"/>
      <c r="S15" s="379"/>
      <c r="T15" s="379"/>
      <c r="U15" s="379"/>
      <c r="V15" s="379"/>
      <c r="W15" s="381"/>
      <c r="AA15" s="381"/>
      <c r="AB15" s="381"/>
      <c r="AC15" s="381"/>
      <c r="AD15" s="381"/>
      <c r="AE15" s="381"/>
      <c r="AI15" s="381"/>
      <c r="AM15" s="381"/>
      <c r="AN15" t="s">
        <v>427</v>
      </c>
      <c r="AO15" s="417">
        <v>7750000</v>
      </c>
      <c r="AP15">
        <v>179.94798922633973</v>
      </c>
      <c r="AQ15" s="419">
        <v>43068</v>
      </c>
      <c r="AU15" s="381"/>
      <c r="AV15" s="381"/>
    </row>
    <row r="16" spans="1:55" ht="57" customHeight="1" thickBot="1">
      <c r="A16" s="379"/>
      <c r="B16" s="379"/>
      <c r="C16" s="379"/>
      <c r="D16" s="379"/>
      <c r="E16" s="379"/>
      <c r="F16" s="379"/>
      <c r="G16" s="381"/>
      <c r="H16" s="421" t="s">
        <v>6643</v>
      </c>
      <c r="I16" s="382"/>
      <c r="J16" s="421" t="s">
        <v>6644</v>
      </c>
      <c r="K16" s="381"/>
      <c r="L16" s="381"/>
      <c r="M16" s="381"/>
      <c r="N16" s="381"/>
      <c r="O16" s="381"/>
      <c r="P16" s="427" t="s">
        <v>6214</v>
      </c>
      <c r="Q16" s="428" t="s">
        <v>6215</v>
      </c>
      <c r="R16" s="428" t="s">
        <v>6219</v>
      </c>
      <c r="S16" s="428" t="s">
        <v>6646</v>
      </c>
      <c r="T16" s="428" t="s">
        <v>6230</v>
      </c>
      <c r="U16" s="428" t="s">
        <v>6231</v>
      </c>
      <c r="V16" s="428" t="s">
        <v>6216</v>
      </c>
      <c r="W16" s="381"/>
      <c r="AA16" s="381"/>
      <c r="AB16" s="381"/>
      <c r="AC16" s="381"/>
      <c r="AD16" s="381"/>
      <c r="AE16" s="381"/>
      <c r="AI16" s="381"/>
      <c r="AM16" s="381"/>
      <c r="AN16" t="s">
        <v>239</v>
      </c>
      <c r="AO16" s="417">
        <v>7600000</v>
      </c>
      <c r="AP16">
        <v>246.90555862382638</v>
      </c>
      <c r="AQ16" s="419">
        <v>30781</v>
      </c>
      <c r="AU16" s="381"/>
      <c r="AV16" s="381"/>
    </row>
    <row r="17" spans="1:48" ht="30" thickTop="1">
      <c r="A17" s="379"/>
      <c r="B17" s="379"/>
      <c r="C17" s="379"/>
      <c r="D17" s="379"/>
      <c r="E17" s="379"/>
      <c r="F17" s="379"/>
      <c r="G17" s="381"/>
      <c r="H17" s="480" t="str">
        <f>"$"&amp;TEXT(GETPIVOTDATA("Min $/SF",AB27),"#,##0")&amp;" – $"&amp;TEXT(GETPIVOTDATA("Max $/SF",AB27),"#,##0")</f>
        <v>$45 – $1,500</v>
      </c>
      <c r="I17" s="382"/>
      <c r="J17" s="480" t="str">
        <f>TEXT(GETPIVOTDATA("Min Price",AB27),IF(GETPIVOTDATA("Min Price",AB27)&gt;=1000000,"$#,##0,,""M""","$#,##0,""K"""))&amp;" – "&amp;TEXT(GETPIVOTDATA("Max Price",AB27),IF(GETPIVOTDATA("Max Price",AB27)&gt;=1000000,"$#,##0,,""M""","$#,##0,""K"""))</f>
        <v>$210K – $33M</v>
      </c>
      <c r="K17" s="381"/>
      <c r="L17" s="381"/>
      <c r="M17" s="381"/>
      <c r="N17" s="381"/>
      <c r="O17" s="381"/>
      <c r="P17" s="410" t="s">
        <v>26</v>
      </c>
      <c r="Q17" s="400">
        <f>IFERROR(GETPIVOTDATA("# Sales",$AF$7,"Verdict",P17),0)</f>
        <v>125</v>
      </c>
      <c r="R17" s="401">
        <f>IFERROR(GETPIVOTDATA("Avg $/SF",$AX$7,"Verdict",P17),0)</f>
        <v>253.64941088214675</v>
      </c>
      <c r="S17" s="403">
        <f>IFERROR(GETPIVOTDATA("Avg Size",$AX$7,"Verdict",P17),0)</f>
        <v>4442.5200000000004</v>
      </c>
      <c r="T17" s="402">
        <f>IFERROR(GETPIVOTDATA("Min Price",$AX$7,"Verdict",P17),0)</f>
        <v>210000</v>
      </c>
      <c r="U17" s="404">
        <f>IFERROR(GETPIVOTDATA("Max Price",$AX$7,"Verdict",P17),0)</f>
        <v>5050000</v>
      </c>
      <c r="V17" s="404">
        <f>IFERROR(GETPIVOTDATA("Total Volume",$AX$7,"Verdict",P17),0)</f>
        <v>141398100</v>
      </c>
      <c r="W17" s="381"/>
      <c r="AA17" s="381"/>
      <c r="AB17" s="381"/>
      <c r="AC17" s="381"/>
      <c r="AD17" s="381"/>
      <c r="AE17" s="381"/>
      <c r="AI17" s="381"/>
      <c r="AM17" s="381"/>
      <c r="AN17" t="s">
        <v>107</v>
      </c>
      <c r="AO17" s="417">
        <v>7500000</v>
      </c>
      <c r="AP17">
        <v>441.82621502209133</v>
      </c>
      <c r="AQ17" s="419">
        <v>16975</v>
      </c>
      <c r="AU17" s="381"/>
      <c r="AV17" s="381"/>
    </row>
    <row r="18" spans="1:48" ht="34">
      <c r="A18" s="379"/>
      <c r="B18" s="379"/>
      <c r="C18" s="379"/>
      <c r="D18" s="379"/>
      <c r="E18" s="379"/>
      <c r="F18" s="379"/>
      <c r="G18" s="381"/>
      <c r="H18" s="481"/>
      <c r="I18" s="385"/>
      <c r="J18" s="481"/>
      <c r="K18" s="381"/>
      <c r="L18" s="381"/>
      <c r="M18" s="381"/>
      <c r="N18" s="381"/>
      <c r="O18" s="381"/>
      <c r="P18" s="411" t="s">
        <v>1519</v>
      </c>
      <c r="Q18" s="405">
        <f>IFERROR(GETPIVOTDATA("# Sales",$AF$7,"Verdict",P18),0)</f>
        <v>31</v>
      </c>
      <c r="R18" s="406">
        <f>IFERROR(GETPIVOTDATA("Avg $/SF",$AX$7,"Verdict",P18),0)</f>
        <v>285.60206973628107</v>
      </c>
      <c r="S18" s="408">
        <f>IFERROR(GETPIVOTDATA("Avg Size",$AX$7,"Verdict",P18),0)</f>
        <v>20013.709677419356</v>
      </c>
      <c r="T18" s="407">
        <f>IFERROR(GETPIVOTDATA("Min Price",$AX$7,"Verdict",P18),0)</f>
        <v>1600000</v>
      </c>
      <c r="U18" s="409">
        <f>IFERROR(GETPIVOTDATA("Max Price",$AX$7,"Verdict",P18),0)</f>
        <v>15500000</v>
      </c>
      <c r="V18" s="409">
        <f>IFERROR(GETPIVOTDATA("Total Volume",$AX$7,"Verdict",P18),0)</f>
        <v>164653900</v>
      </c>
      <c r="W18" s="381"/>
      <c r="AA18" s="381"/>
      <c r="AB18" s="381"/>
      <c r="AC18" s="381"/>
      <c r="AD18" s="381"/>
      <c r="AE18" s="381"/>
      <c r="AI18" s="381"/>
      <c r="AM18" s="381"/>
      <c r="AN18" t="s">
        <v>638</v>
      </c>
      <c r="AO18" s="417">
        <v>7125000</v>
      </c>
      <c r="AP18">
        <v>184.85846976104611</v>
      </c>
      <c r="AQ18" s="419">
        <v>38543</v>
      </c>
      <c r="AU18" s="381"/>
      <c r="AV18" s="381"/>
    </row>
    <row r="19" spans="1:48" ht="29">
      <c r="A19" s="379"/>
      <c r="B19" s="379"/>
      <c r="C19" s="379"/>
      <c r="D19" s="379"/>
      <c r="E19" s="379"/>
      <c r="F19" s="379"/>
      <c r="G19" s="381"/>
      <c r="H19" s="482"/>
      <c r="I19" s="381"/>
      <c r="J19" s="482"/>
      <c r="K19" s="381"/>
      <c r="L19" s="381"/>
      <c r="M19" s="381"/>
      <c r="N19" s="381"/>
      <c r="O19" s="381"/>
      <c r="P19" s="410" t="s">
        <v>6212</v>
      </c>
      <c r="Q19" s="400">
        <f>IFERROR(GETPIVOTDATA("# Sales",$AF$7,"Verdict",P19),0)</f>
        <v>9</v>
      </c>
      <c r="R19" s="401">
        <f>IFERROR(GETPIVOTDATA("Avg $/SF",$AX$7,"Verdict",P19),0)</f>
        <v>542.79918185564384</v>
      </c>
      <c r="S19" s="403">
        <f>IFERROR(GETPIVOTDATA("Avg Size",$AX$7,"Verdict",P19),0)</f>
        <v>14056</v>
      </c>
      <c r="T19" s="402">
        <f>IFERROR(GETPIVOTDATA("Min Price",$AX$7,"Verdict",P19),0)</f>
        <v>1340800</v>
      </c>
      <c r="U19" s="404">
        <f>IFERROR(GETPIVOTDATA("Max Price",$AX$7,"Verdict",P19),0)</f>
        <v>15500000</v>
      </c>
      <c r="V19" s="404">
        <f>IFERROR(GETPIVOTDATA("Total Volume",$AX$7,"Verdict",P19),0)</f>
        <v>67023500</v>
      </c>
      <c r="W19" s="381"/>
      <c r="X19" s="381"/>
      <c r="Y19" s="381"/>
      <c r="Z19" s="381"/>
      <c r="AA19" s="381"/>
      <c r="AB19" s="381"/>
      <c r="AC19" s="381"/>
      <c r="AD19" s="381"/>
      <c r="AE19" s="381"/>
      <c r="AF19" s="381"/>
      <c r="AG19" s="381"/>
      <c r="AH19" s="381"/>
      <c r="AI19" s="381"/>
      <c r="AJ19" s="381"/>
      <c r="AK19" s="381"/>
      <c r="AL19" s="381"/>
      <c r="AM19" s="381"/>
      <c r="AN19" t="s">
        <v>1583</v>
      </c>
      <c r="AO19" s="417">
        <v>7000000</v>
      </c>
      <c r="AP19">
        <v>176.76767676767676</v>
      </c>
      <c r="AQ19" s="419">
        <v>39600</v>
      </c>
      <c r="AT19" s="381"/>
      <c r="AU19" s="381"/>
      <c r="AV19" s="381"/>
    </row>
    <row r="20" spans="1:48" ht="45" customHeight="1">
      <c r="A20" s="379"/>
      <c r="B20" s="379"/>
      <c r="C20" s="379"/>
      <c r="D20" s="379"/>
      <c r="E20" s="379"/>
      <c r="F20" s="379"/>
      <c r="G20" s="381"/>
      <c r="H20" s="381"/>
      <c r="I20" s="381"/>
      <c r="J20" s="381"/>
      <c r="K20" s="381"/>
      <c r="L20" s="381"/>
      <c r="M20" s="381"/>
      <c r="N20" s="381"/>
      <c r="O20" s="381"/>
      <c r="P20" s="381"/>
      <c r="Q20" s="381"/>
      <c r="R20" s="381"/>
      <c r="S20" s="381"/>
      <c r="T20" s="381"/>
      <c r="U20" s="381"/>
      <c r="V20" s="381"/>
      <c r="W20" s="381"/>
      <c r="X20" s="415" t="s">
        <v>6224</v>
      </c>
      <c r="Y20" t="s">
        <v>6631</v>
      </c>
      <c r="Z20" s="381"/>
      <c r="AA20" s="381"/>
      <c r="AB20" s="381"/>
      <c r="AC20" s="381"/>
      <c r="AD20" s="381"/>
      <c r="AE20" s="381"/>
      <c r="AM20" s="381"/>
      <c r="AN20" t="s">
        <v>1557</v>
      </c>
      <c r="AO20" s="417">
        <v>7000000</v>
      </c>
      <c r="AP20">
        <v>152.4589449841007</v>
      </c>
      <c r="AQ20" s="419">
        <v>45914</v>
      </c>
      <c r="AT20" s="381"/>
      <c r="AU20" s="381"/>
      <c r="AV20" s="381"/>
    </row>
    <row r="21" spans="1:48" hidden="1">
      <c r="A21" s="379"/>
      <c r="B21" s="379"/>
      <c r="C21" s="379"/>
      <c r="D21" s="379"/>
      <c r="E21" s="379"/>
      <c r="F21" s="379"/>
      <c r="G21" s="381"/>
      <c r="H21" s="381"/>
      <c r="I21" s="381"/>
      <c r="J21" s="381"/>
      <c r="K21" s="381"/>
      <c r="L21" s="381"/>
      <c r="M21" s="381"/>
      <c r="N21" s="381"/>
      <c r="O21" s="381"/>
      <c r="P21" s="381"/>
      <c r="Q21" s="381"/>
      <c r="R21" s="381"/>
      <c r="S21" s="381"/>
      <c r="T21" s="381"/>
      <c r="U21" s="381"/>
      <c r="V21" s="381"/>
      <c r="W21" s="381"/>
      <c r="X21" s="415" t="s">
        <v>13</v>
      </c>
      <c r="Y21" t="s">
        <v>6631</v>
      </c>
      <c r="Z21" s="381"/>
      <c r="AA21" s="381"/>
      <c r="AB21" s="381"/>
      <c r="AC21" s="381"/>
      <c r="AD21" s="381"/>
      <c r="AE21" s="381"/>
      <c r="AM21" s="381"/>
      <c r="AN21" t="s">
        <v>540</v>
      </c>
      <c r="AO21" s="417">
        <v>6349400</v>
      </c>
      <c r="AP21">
        <v>424</v>
      </c>
      <c r="AQ21" s="419">
        <v>14975</v>
      </c>
      <c r="AT21" s="381"/>
      <c r="AU21" s="381"/>
      <c r="AV21" s="381"/>
    </row>
    <row r="22" spans="1:48" ht="20" hidden="1" customHeight="1">
      <c r="A22" s="379"/>
      <c r="B22" s="379"/>
      <c r="C22" s="379"/>
      <c r="D22" s="379"/>
      <c r="E22" s="379"/>
      <c r="F22" s="379"/>
      <c r="G22" s="381"/>
      <c r="H22" s="381"/>
      <c r="I22" s="381"/>
      <c r="J22" s="381"/>
      <c r="K22" s="381"/>
      <c r="L22" s="381"/>
      <c r="M22" s="381"/>
      <c r="N22" s="381"/>
      <c r="O22" s="381"/>
      <c r="P22" s="381"/>
      <c r="Q22" s="381"/>
      <c r="R22" s="381"/>
      <c r="S22" s="381"/>
      <c r="T22" s="381"/>
      <c r="U22" s="381"/>
      <c r="V22" s="381"/>
      <c r="W22" s="381"/>
      <c r="X22" s="415" t="s">
        <v>2</v>
      </c>
      <c r="Y22" t="s">
        <v>6631</v>
      </c>
      <c r="Z22" s="381"/>
      <c r="AA22" s="381"/>
      <c r="AB22" s="381"/>
      <c r="AC22" s="381"/>
      <c r="AD22" s="381"/>
      <c r="AE22" s="381"/>
      <c r="AM22" s="381"/>
      <c r="AN22" t="s">
        <v>1528</v>
      </c>
      <c r="AO22" s="417">
        <v>5913600</v>
      </c>
      <c r="AP22">
        <v>238.42277143893884</v>
      </c>
      <c r="AQ22" s="419">
        <v>24803</v>
      </c>
      <c r="AT22" s="381"/>
      <c r="AU22" s="381"/>
      <c r="AV22" s="381"/>
    </row>
    <row r="23" spans="1:48" ht="20" hidden="1" customHeight="1">
      <c r="A23" s="379"/>
      <c r="B23" s="379"/>
      <c r="C23" s="379"/>
      <c r="D23" s="379"/>
      <c r="E23" s="379"/>
      <c r="F23" s="379"/>
      <c r="G23" s="381"/>
      <c r="H23" s="381"/>
      <c r="I23" s="381"/>
      <c r="J23" s="381"/>
      <c r="K23" s="381"/>
      <c r="L23" s="381"/>
      <c r="M23" s="381"/>
      <c r="N23" s="381"/>
      <c r="O23" s="381"/>
      <c r="P23" s="381"/>
      <c r="Q23" s="381"/>
      <c r="R23" s="381"/>
      <c r="S23" s="381"/>
      <c r="T23" s="381"/>
      <c r="U23" s="381"/>
      <c r="V23" s="381"/>
      <c r="W23" s="381"/>
      <c r="X23" s="415" t="s">
        <v>6233</v>
      </c>
      <c r="Y23" t="s">
        <v>6631</v>
      </c>
      <c r="Z23" s="381"/>
      <c r="AA23" s="381"/>
      <c r="AB23" s="381"/>
      <c r="AC23" s="381"/>
      <c r="AD23" s="381"/>
      <c r="AE23" s="381"/>
      <c r="AM23" s="381"/>
      <c r="AN23" t="s">
        <v>1551</v>
      </c>
      <c r="AO23" s="417">
        <v>5610000</v>
      </c>
      <c r="AP23">
        <v>395.90684544812984</v>
      </c>
      <c r="AQ23" s="419">
        <v>14170</v>
      </c>
      <c r="AT23" s="381"/>
      <c r="AU23" s="381"/>
      <c r="AV23" s="381"/>
    </row>
    <row r="24" spans="1:48" ht="7" hidden="1" customHeight="1">
      <c r="A24" s="379"/>
      <c r="B24" s="379"/>
      <c r="C24" s="379"/>
      <c r="D24" s="379"/>
      <c r="E24" s="379"/>
      <c r="F24" s="379"/>
      <c r="G24" s="381"/>
      <c r="H24" s="381"/>
      <c r="I24" s="381"/>
      <c r="J24" s="381"/>
      <c r="K24" s="381"/>
      <c r="L24" s="381"/>
      <c r="M24" s="381"/>
      <c r="N24" s="381"/>
      <c r="O24" s="381"/>
      <c r="P24" s="381"/>
      <c r="Q24" s="381"/>
      <c r="R24" s="381"/>
      <c r="S24" s="381"/>
      <c r="T24" s="381"/>
      <c r="U24" s="381"/>
      <c r="V24" s="381"/>
      <c r="W24" s="381"/>
      <c r="X24" s="415" t="s">
        <v>6199</v>
      </c>
      <c r="Y24" t="s">
        <v>6631</v>
      </c>
      <c r="Z24" s="381"/>
      <c r="AA24" s="381"/>
      <c r="AB24" s="381"/>
      <c r="AC24" s="381"/>
      <c r="AD24" s="381"/>
      <c r="AE24" s="381"/>
      <c r="AM24" s="381"/>
      <c r="AN24" t="s">
        <v>1522</v>
      </c>
      <c r="AO24" s="417">
        <v>5600000</v>
      </c>
      <c r="AP24">
        <v>171.09162567596468</v>
      </c>
      <c r="AQ24" s="419">
        <v>32731</v>
      </c>
      <c r="AT24" s="381"/>
      <c r="AU24" s="381"/>
      <c r="AV24" s="381"/>
    </row>
    <row r="25" spans="1:48" ht="87" customHeight="1">
      <c r="A25" s="379"/>
      <c r="B25" s="379"/>
      <c r="C25" s="379"/>
      <c r="D25" s="379"/>
      <c r="E25" s="379"/>
      <c r="F25" s="379"/>
      <c r="G25" s="381"/>
      <c r="H25" s="381"/>
      <c r="I25" s="381"/>
      <c r="J25" s="381"/>
      <c r="K25" s="381"/>
      <c r="L25" s="381"/>
      <c r="M25" s="381"/>
      <c r="N25" s="381"/>
      <c r="O25" s="381"/>
      <c r="P25" s="412" t="s">
        <v>6649</v>
      </c>
      <c r="Q25" s="379"/>
      <c r="R25" s="379"/>
      <c r="S25" s="379"/>
      <c r="T25" s="379"/>
      <c r="U25" s="379"/>
      <c r="V25" s="379"/>
      <c r="W25" s="381"/>
      <c r="X25" s="415" t="s">
        <v>6320</v>
      </c>
      <c r="Y25" t="s">
        <v>6631</v>
      </c>
      <c r="Z25" s="381"/>
      <c r="AA25" s="381"/>
      <c r="AB25" s="381"/>
      <c r="AC25" s="381"/>
      <c r="AD25" s="381"/>
      <c r="AE25" s="381"/>
      <c r="AF25" s="381"/>
      <c r="AG25" s="381"/>
      <c r="AH25" s="381"/>
      <c r="AI25" s="381"/>
      <c r="AJ25" s="381"/>
      <c r="AK25" s="381"/>
      <c r="AL25" s="381"/>
      <c r="AM25" s="381"/>
      <c r="AN25" t="s">
        <v>1114</v>
      </c>
      <c r="AO25" s="417">
        <v>5272900</v>
      </c>
      <c r="AP25">
        <v>263.64499999999998</v>
      </c>
      <c r="AQ25" s="419">
        <v>20000</v>
      </c>
      <c r="AT25" s="381"/>
      <c r="AU25" s="381"/>
      <c r="AV25" s="381"/>
    </row>
    <row r="26" spans="1:48" ht="55" customHeight="1" thickBot="1">
      <c r="A26" s="379"/>
      <c r="B26" s="379"/>
      <c r="C26" s="379"/>
      <c r="D26" s="379"/>
      <c r="E26" s="379"/>
      <c r="F26" s="379"/>
      <c r="G26" s="381"/>
      <c r="H26" s="381"/>
      <c r="I26" s="381"/>
      <c r="J26" s="381"/>
      <c r="K26" s="381"/>
      <c r="L26" s="381"/>
      <c r="M26" s="381"/>
      <c r="N26" s="381"/>
      <c r="O26" s="381"/>
      <c r="P26" s="427" t="s">
        <v>6650</v>
      </c>
      <c r="Q26" s="428" t="s">
        <v>2</v>
      </c>
      <c r="R26" s="428" t="s">
        <v>4</v>
      </c>
      <c r="S26" s="428" t="s">
        <v>6651</v>
      </c>
      <c r="T26" s="428" t="s">
        <v>5</v>
      </c>
      <c r="U26" s="428" t="s">
        <v>6214</v>
      </c>
      <c r="V26" s="428" t="s">
        <v>6652</v>
      </c>
      <c r="W26" s="381"/>
      <c r="X26" s="381"/>
      <c r="Y26" s="381"/>
      <c r="Z26" s="381"/>
      <c r="AA26" s="381"/>
      <c r="AB26" s="381"/>
      <c r="AC26" s="381"/>
      <c r="AD26" s="381"/>
      <c r="AE26" s="381"/>
      <c r="AF26" s="381"/>
      <c r="AG26" s="381"/>
      <c r="AH26" s="381"/>
      <c r="AI26" s="381"/>
      <c r="AJ26" s="381"/>
      <c r="AK26" s="381"/>
      <c r="AL26" s="381"/>
      <c r="AM26" s="381"/>
      <c r="AN26" t="s">
        <v>677</v>
      </c>
      <c r="AO26" s="417">
        <v>5150000</v>
      </c>
      <c r="AP26">
        <v>412.66025641025641</v>
      </c>
      <c r="AQ26" s="419">
        <v>12480</v>
      </c>
      <c r="AT26" s="381"/>
      <c r="AU26" s="381"/>
      <c r="AV26" s="381"/>
    </row>
    <row r="27" spans="1:48" ht="84" customHeight="1" thickTop="1">
      <c r="A27" s="379"/>
      <c r="B27" s="379"/>
      <c r="C27" s="379"/>
      <c r="D27" s="379"/>
      <c r="E27" s="379"/>
      <c r="F27" s="379"/>
      <c r="G27" s="381"/>
      <c r="H27" s="381"/>
      <c r="I27" s="381"/>
      <c r="J27" s="381"/>
      <c r="K27" s="381"/>
      <c r="L27" s="381"/>
      <c r="M27" s="381"/>
      <c r="N27" s="381"/>
      <c r="O27" s="381"/>
      <c r="P27" s="410" t="str">
        <f>AN9</f>
        <v>7208 Sand Lake Rd W</v>
      </c>
      <c r="Q27" s="400" t="str">
        <f>INDEX(SalesData[County],MATCH(P27,SalesData[Prpty Addr],0))</f>
        <v>Orange</v>
      </c>
      <c r="R27" s="401">
        <f>AO9</f>
        <v>15500000</v>
      </c>
      <c r="S27" s="403">
        <f>AQ9</f>
        <v>40052</v>
      </c>
      <c r="T27" s="401">
        <f>AP9</f>
        <v>386.99690402476779</v>
      </c>
      <c r="U27" s="425" t="str">
        <f>INDEX(SalesData[Verdict],MATCH(P27,SalesData[Prpty Addr],0))</f>
        <v>Multi-Tenant Medical</v>
      </c>
      <c r="V27" s="423" t="str">
        <f>INDEX(SalesData[Current Tenant],MATCH(P27,SalesData[Prpty Addr],0))</f>
        <v>7208 Sand Lake - Office Complex</v>
      </c>
      <c r="W27" s="381"/>
      <c r="X27" t="s">
        <v>6216</v>
      </c>
      <c r="Y27" t="s">
        <v>6219</v>
      </c>
      <c r="Z27" t="s">
        <v>6217</v>
      </c>
      <c r="AA27" t="s">
        <v>6230</v>
      </c>
      <c r="AB27" t="s">
        <v>6231</v>
      </c>
      <c r="AC27" t="s">
        <v>6640</v>
      </c>
      <c r="AD27" t="s">
        <v>6641</v>
      </c>
      <c r="AE27" t="s">
        <v>6646</v>
      </c>
      <c r="AF27" t="s">
        <v>6632</v>
      </c>
      <c r="AG27" s="381"/>
      <c r="AH27" s="381"/>
      <c r="AI27" s="381"/>
      <c r="AJ27" s="381"/>
      <c r="AK27" s="381"/>
      <c r="AL27" s="381"/>
      <c r="AM27" s="381"/>
      <c r="AN27" t="s">
        <v>1548</v>
      </c>
      <c r="AO27" s="417">
        <v>5100000</v>
      </c>
      <c r="AP27">
        <v>389.31297709923666</v>
      </c>
      <c r="AQ27" s="419">
        <v>13100</v>
      </c>
      <c r="AT27" s="381"/>
      <c r="AU27" s="381"/>
      <c r="AV27" s="381"/>
    </row>
    <row r="28" spans="1:48" ht="113" customHeight="1">
      <c r="A28" s="379"/>
      <c r="B28" s="379"/>
      <c r="C28" s="379"/>
      <c r="D28" s="379"/>
      <c r="E28" s="379"/>
      <c r="F28" s="379"/>
      <c r="G28" s="381"/>
      <c r="H28" s="381"/>
      <c r="I28" s="381"/>
      <c r="J28" s="381"/>
      <c r="K28" s="381"/>
      <c r="L28" s="381"/>
      <c r="M28" s="381"/>
      <c r="N28" s="381"/>
      <c r="O28" s="381"/>
      <c r="P28" s="411" t="str">
        <f>AN10</f>
        <v>9401 Summit Centre Wa</v>
      </c>
      <c r="Q28" s="405" t="str">
        <f>INDEX(SalesData[County],MATCH(P28,SalesData[Prpty Addr],0))</f>
        <v>Orange</v>
      </c>
      <c r="R28" s="406">
        <f>AO10</f>
        <v>15500000</v>
      </c>
      <c r="S28" s="408">
        <f>AQ10</f>
        <v>10331</v>
      </c>
      <c r="T28" s="406">
        <f>AP10</f>
        <v>1500.3387861775238</v>
      </c>
      <c r="U28" s="426" t="str">
        <f>INDEX(SalesData[Verdict],MATCH(P28,SalesData[Prpty Addr],0))</f>
        <v>Hospitals</v>
      </c>
      <c r="V28" s="424" t="str">
        <f>INDEX(SalesData[Current Tenant],MATCH(P28,SalesData[Prpty Addr],0))</f>
        <v>**HCA Florida Maitland Emergency (Freestanding ER)** MEDICAL CENTER</v>
      </c>
      <c r="W28" s="381"/>
      <c r="X28" s="417">
        <v>497397799</v>
      </c>
      <c r="Y28">
        <v>303.31751258159119</v>
      </c>
      <c r="Z28" s="417">
        <v>2550757.9435897437</v>
      </c>
      <c r="AA28" s="417">
        <v>210000</v>
      </c>
      <c r="AB28" s="417">
        <v>33444697</v>
      </c>
      <c r="AC28">
        <v>45.304777594728172</v>
      </c>
      <c r="AD28">
        <v>1500.3387861775238</v>
      </c>
      <c r="AE28" s="419">
        <v>8917.5641025641035</v>
      </c>
      <c r="AF28">
        <v>195</v>
      </c>
      <c r="AG28" s="381"/>
      <c r="AH28" s="381"/>
      <c r="AI28" s="381"/>
      <c r="AJ28" s="381"/>
      <c r="AK28" s="381"/>
      <c r="AL28" s="381"/>
      <c r="AM28" s="381"/>
      <c r="AN28" t="s">
        <v>1281</v>
      </c>
      <c r="AO28" s="417">
        <v>5050000</v>
      </c>
      <c r="AP28">
        <v>202.46161247644631</v>
      </c>
      <c r="AQ28" s="419">
        <v>24943</v>
      </c>
      <c r="AT28" s="381"/>
      <c r="AU28" s="381"/>
      <c r="AV28" s="381"/>
    </row>
    <row r="29" spans="1:48" ht="103" customHeight="1">
      <c r="A29" s="379"/>
      <c r="B29" s="379"/>
      <c r="C29" s="379"/>
      <c r="D29" s="379"/>
      <c r="E29" s="379"/>
      <c r="F29" s="379"/>
      <c r="G29" s="381"/>
      <c r="H29" s="381"/>
      <c r="I29" s="381"/>
      <c r="J29" s="381"/>
      <c r="K29" s="381"/>
      <c r="L29" s="381"/>
      <c r="M29" s="381"/>
      <c r="N29" s="381"/>
      <c r="O29" s="381"/>
      <c r="P29" s="410" t="str">
        <f>AN11</f>
        <v>7009 Dr Phillips Bl</v>
      </c>
      <c r="Q29" s="400" t="str">
        <f>INDEX(SalesData[County],MATCH(P29,SalesData[Prpty Addr],0))</f>
        <v>Orange</v>
      </c>
      <c r="R29" s="401">
        <f>AO11</f>
        <v>15000000</v>
      </c>
      <c r="S29" s="403">
        <f>AQ11</f>
        <v>23653</v>
      </c>
      <c r="T29" s="401">
        <f>AP11</f>
        <v>634.16902718471226</v>
      </c>
      <c r="U29" s="425" t="str">
        <f>INDEX(SalesData[Verdict],MATCH(P29,SalesData[Prpty Addr],0))</f>
        <v>Multi-Tenant Medical</v>
      </c>
      <c r="V29" s="423" t="str">
        <f>INDEX(SalesData[Current Tenant],MATCH(P29,SalesData[Prpty Addr],0))</f>
        <v>Belmart LLC Dr Phillips</v>
      </c>
      <c r="W29" s="381"/>
      <c r="AA29" s="381"/>
      <c r="AB29" s="381"/>
      <c r="AC29" s="381"/>
      <c r="AD29" s="381"/>
      <c r="AE29" s="381"/>
      <c r="AF29" s="381"/>
      <c r="AG29" s="381"/>
      <c r="AH29" s="381"/>
      <c r="AI29" s="381"/>
      <c r="AJ29" s="381"/>
      <c r="AK29" s="381"/>
      <c r="AL29" s="381"/>
      <c r="AM29" s="381"/>
      <c r="AN29" t="s">
        <v>523</v>
      </c>
      <c r="AO29" s="417">
        <v>5000000</v>
      </c>
      <c r="AP29">
        <v>405.28491529545272</v>
      </c>
      <c r="AQ29" s="419">
        <v>12337</v>
      </c>
      <c r="AT29" s="381"/>
      <c r="AU29" s="381"/>
      <c r="AV29" s="381"/>
    </row>
    <row r="30" spans="1:48" ht="122" customHeight="1">
      <c r="A30" s="379"/>
      <c r="B30" s="379"/>
      <c r="C30" s="379"/>
      <c r="D30" s="379"/>
      <c r="E30" s="379"/>
      <c r="F30" s="379"/>
      <c r="G30" s="381"/>
      <c r="H30" s="381"/>
      <c r="I30" s="381"/>
      <c r="J30" s="381"/>
      <c r="K30" s="381"/>
      <c r="L30" s="381"/>
      <c r="M30" s="381"/>
      <c r="N30" s="381"/>
      <c r="O30" s="381"/>
      <c r="P30" s="411" t="str">
        <f>AN12</f>
        <v>1745 Mills Av N</v>
      </c>
      <c r="Q30" s="405" t="str">
        <f>INDEX(SalesData[County],MATCH(P30,SalesData[Prpty Addr],0))</f>
        <v>Orange</v>
      </c>
      <c r="R30" s="406">
        <f>AO12</f>
        <v>13200000</v>
      </c>
      <c r="S30" s="408">
        <f>AQ12</f>
        <v>28060</v>
      </c>
      <c r="T30" s="406">
        <f>AP12</f>
        <v>470.42052744119741</v>
      </c>
      <c r="U30" s="426" t="str">
        <f>INDEX(SalesData[Verdict],MATCH(P30,SalesData[Prpty Addr],0))</f>
        <v>Hospitals</v>
      </c>
      <c r="V30" s="424" t="str">
        <f>INDEX(SalesData[Current Tenant],MATCH(P30,SalesData[Prpty Addr],0))</f>
        <v>Central Florida Cardiology Group MEDICAL CENTER</v>
      </c>
      <c r="W30" s="381"/>
      <c r="AA30" s="381"/>
      <c r="AB30" s="381"/>
      <c r="AC30" s="381"/>
      <c r="AD30" s="381"/>
      <c r="AE30" s="381"/>
      <c r="AF30" s="381"/>
      <c r="AG30" s="381"/>
      <c r="AH30" s="381"/>
      <c r="AI30" s="381"/>
      <c r="AJ30" s="381"/>
      <c r="AK30" s="381"/>
      <c r="AL30" s="381"/>
      <c r="AM30" s="381"/>
      <c r="AN30" t="s">
        <v>1516</v>
      </c>
      <c r="AO30" s="417">
        <v>4918100</v>
      </c>
      <c r="AP30">
        <v>281.5813580671018</v>
      </c>
      <c r="AQ30" s="419">
        <v>17466</v>
      </c>
      <c r="AT30" s="381"/>
      <c r="AU30" s="381"/>
      <c r="AV30" s="381"/>
    </row>
    <row r="31" spans="1:48">
      <c r="A31" s="379"/>
      <c r="B31" s="379"/>
      <c r="C31" s="379"/>
      <c r="D31" s="379"/>
      <c r="E31" s="379"/>
      <c r="F31" s="379"/>
      <c r="G31" s="381"/>
      <c r="H31" s="381"/>
      <c r="I31" s="381"/>
      <c r="J31" s="381"/>
      <c r="K31" s="381"/>
      <c r="L31" s="381"/>
      <c r="M31" s="381"/>
      <c r="N31" s="381"/>
      <c r="O31" s="381"/>
      <c r="P31" s="381"/>
      <c r="Q31" s="381"/>
      <c r="R31" s="381"/>
      <c r="S31" s="381"/>
      <c r="T31" s="381"/>
      <c r="U31" s="381"/>
      <c r="V31" s="381"/>
      <c r="W31" s="381"/>
      <c r="AA31" s="381"/>
      <c r="AB31" s="381"/>
      <c r="AC31" s="381"/>
      <c r="AD31" s="381"/>
      <c r="AE31" s="381"/>
      <c r="AF31" s="381"/>
      <c r="AG31" s="381"/>
      <c r="AH31" s="381"/>
      <c r="AI31" s="381"/>
      <c r="AJ31" s="381"/>
      <c r="AK31" s="381"/>
      <c r="AL31" s="381"/>
      <c r="AM31" s="381"/>
      <c r="AN31" t="s">
        <v>397</v>
      </c>
      <c r="AO31" s="417">
        <v>4875000</v>
      </c>
      <c r="AP31">
        <v>221.49023171285779</v>
      </c>
      <c r="AQ31" s="419">
        <v>22010</v>
      </c>
      <c r="AT31" s="381"/>
      <c r="AU31" s="381"/>
      <c r="AV31" s="381"/>
    </row>
    <row r="32" spans="1:48" ht="12" customHeight="1">
      <c r="A32" s="379"/>
      <c r="B32" s="379"/>
      <c r="C32" s="379"/>
      <c r="D32" s="379"/>
      <c r="E32" s="379"/>
      <c r="F32" s="379"/>
      <c r="G32" s="381"/>
      <c r="H32" s="381"/>
      <c r="I32" s="381"/>
      <c r="J32" s="381"/>
      <c r="K32" s="381"/>
      <c r="L32" s="381"/>
      <c r="M32" s="381"/>
      <c r="N32" s="381"/>
      <c r="O32" s="381"/>
      <c r="P32" s="381"/>
      <c r="Q32" s="381"/>
      <c r="R32" s="381"/>
      <c r="S32" s="381"/>
      <c r="T32" s="381"/>
      <c r="U32" s="381"/>
      <c r="V32" s="381"/>
      <c r="W32" s="381"/>
      <c r="AA32" s="381"/>
      <c r="AB32" s="381"/>
      <c r="AC32" s="381"/>
      <c r="AD32" s="381"/>
      <c r="AE32" s="381"/>
      <c r="AF32" s="381"/>
      <c r="AG32" s="381"/>
      <c r="AH32" s="381"/>
      <c r="AI32" s="381"/>
      <c r="AJ32" s="381"/>
      <c r="AK32" s="381"/>
      <c r="AL32" s="381"/>
      <c r="AM32" s="381"/>
      <c r="AN32" t="s">
        <v>1573</v>
      </c>
      <c r="AO32" s="417">
        <v>4500000</v>
      </c>
      <c r="AP32">
        <v>247.25274725274724</v>
      </c>
      <c r="AQ32" s="419">
        <v>18200</v>
      </c>
      <c r="AT32" s="381"/>
      <c r="AU32" s="381"/>
      <c r="AV32" s="381"/>
    </row>
    <row r="33" spans="1:48" ht="31" customHeight="1">
      <c r="A33" s="379"/>
      <c r="B33" s="379"/>
      <c r="C33" s="379"/>
      <c r="D33" s="379"/>
      <c r="E33" s="379"/>
      <c r="F33" s="379"/>
      <c r="G33" s="381"/>
      <c r="H33" s="381"/>
      <c r="I33" s="381"/>
      <c r="J33" s="381"/>
      <c r="K33" s="381"/>
      <c r="L33" s="381"/>
      <c r="M33" s="381"/>
      <c r="N33" s="381"/>
      <c r="O33" s="381"/>
      <c r="P33" s="381"/>
      <c r="Q33" s="381"/>
      <c r="R33" s="381"/>
      <c r="S33" s="381"/>
      <c r="T33" s="381"/>
      <c r="U33" s="381"/>
      <c r="V33" s="381"/>
      <c r="W33" s="381"/>
      <c r="AA33" s="381"/>
      <c r="AB33" s="381"/>
      <c r="AC33" s="381"/>
      <c r="AD33" s="381"/>
      <c r="AE33" s="381"/>
      <c r="AF33" s="381"/>
      <c r="AG33" s="381"/>
      <c r="AH33" s="381"/>
      <c r="AI33" s="381"/>
      <c r="AJ33" s="381"/>
      <c r="AK33" s="381"/>
      <c r="AL33" s="381"/>
      <c r="AM33" s="381"/>
      <c r="AN33" t="s">
        <v>473</v>
      </c>
      <c r="AO33" s="417">
        <v>4216800</v>
      </c>
      <c r="AP33">
        <v>200.81912563101247</v>
      </c>
      <c r="AQ33" s="419">
        <v>20998</v>
      </c>
      <c r="AT33" s="381"/>
      <c r="AU33" s="381"/>
      <c r="AV33" s="381"/>
    </row>
    <row r="34" spans="1:48" ht="62" customHeight="1">
      <c r="A34" s="379"/>
      <c r="B34" s="379"/>
      <c r="C34" s="379"/>
      <c r="D34" s="379"/>
      <c r="E34" s="379"/>
      <c r="F34" s="379"/>
      <c r="G34" s="381"/>
      <c r="H34" s="381"/>
      <c r="I34" s="381"/>
      <c r="J34" s="381"/>
      <c r="K34" s="381"/>
      <c r="L34" s="381"/>
      <c r="M34" s="381"/>
      <c r="N34" s="381"/>
      <c r="O34" s="381"/>
      <c r="P34" s="381"/>
      <c r="Q34" s="381"/>
      <c r="R34" s="381"/>
      <c r="S34" s="381"/>
      <c r="T34" s="381"/>
      <c r="U34" s="381"/>
      <c r="V34" s="381"/>
      <c r="W34" s="381"/>
      <c r="AA34" s="381"/>
      <c r="AB34" s="381"/>
      <c r="AC34" s="381"/>
      <c r="AD34" s="381"/>
      <c r="AE34" s="381"/>
      <c r="AF34" s="381"/>
      <c r="AG34" s="381"/>
      <c r="AH34" s="381"/>
      <c r="AI34" s="381"/>
      <c r="AJ34" s="381"/>
      <c r="AK34" s="381"/>
      <c r="AL34" s="381"/>
      <c r="AM34" s="381"/>
      <c r="AN34" t="s">
        <v>1043</v>
      </c>
      <c r="AO34" s="417">
        <v>4100000</v>
      </c>
      <c r="AP34">
        <v>227.77777777777777</v>
      </c>
      <c r="AQ34" s="419">
        <v>18000</v>
      </c>
      <c r="AT34" s="381"/>
      <c r="AU34" s="381"/>
      <c r="AV34" s="381"/>
    </row>
    <row r="35" spans="1:48">
      <c r="A35" s="379"/>
      <c r="B35" s="379"/>
      <c r="C35" s="379"/>
      <c r="D35" s="379"/>
      <c r="E35" s="379"/>
      <c r="F35" s="379"/>
      <c r="G35" s="381"/>
      <c r="H35" s="381"/>
      <c r="I35" s="381"/>
      <c r="J35" s="381"/>
      <c r="K35" s="381"/>
      <c r="L35" s="381"/>
      <c r="M35" s="381"/>
      <c r="N35" s="381"/>
      <c r="O35" s="381"/>
      <c r="P35" s="381"/>
      <c r="Q35" s="381"/>
      <c r="R35" s="381"/>
      <c r="S35" s="381"/>
      <c r="T35" s="381"/>
      <c r="U35" s="381"/>
      <c r="V35" s="381"/>
      <c r="W35" s="381"/>
      <c r="AA35" s="381"/>
      <c r="AB35" s="381"/>
      <c r="AC35" s="381"/>
      <c r="AD35" s="381"/>
      <c r="AE35" s="381"/>
      <c r="AF35" s="381"/>
      <c r="AG35" s="381"/>
      <c r="AH35" s="381"/>
      <c r="AI35" s="381"/>
      <c r="AJ35" s="381"/>
      <c r="AK35" s="381"/>
      <c r="AL35" s="381"/>
      <c r="AM35" s="381"/>
      <c r="AN35" t="s">
        <v>383</v>
      </c>
      <c r="AO35" s="417">
        <v>4030000</v>
      </c>
      <c r="AP35">
        <v>494.59990181639665</v>
      </c>
      <c r="AQ35" s="419">
        <v>8148</v>
      </c>
      <c r="AT35" s="381"/>
      <c r="AU35" s="381"/>
      <c r="AV35" s="381"/>
    </row>
    <row r="36" spans="1:48">
      <c r="A36" s="379"/>
      <c r="B36" s="379"/>
      <c r="C36" s="379"/>
      <c r="D36" s="379"/>
      <c r="E36" s="379"/>
      <c r="F36" s="379"/>
      <c r="G36" s="381"/>
      <c r="H36" s="381"/>
      <c r="I36" s="381"/>
      <c r="J36" s="381"/>
      <c r="K36" s="381"/>
      <c r="L36" s="381"/>
      <c r="M36" s="381"/>
      <c r="N36" s="381"/>
      <c r="O36" s="381"/>
      <c r="P36" s="381"/>
      <c r="Q36" s="381"/>
      <c r="R36" s="381"/>
      <c r="S36" s="381"/>
      <c r="T36" s="381"/>
      <c r="U36" s="381"/>
      <c r="V36" s="381"/>
      <c r="W36" s="381"/>
      <c r="AA36" s="381"/>
      <c r="AB36" s="381"/>
      <c r="AC36" s="381"/>
      <c r="AD36" s="381"/>
      <c r="AE36" s="381"/>
      <c r="AF36" s="381"/>
      <c r="AG36" s="381"/>
      <c r="AH36" s="381"/>
      <c r="AI36" s="381"/>
      <c r="AJ36" s="381"/>
      <c r="AK36" s="381"/>
      <c r="AL36" s="381"/>
      <c r="AM36" s="381"/>
      <c r="AN36" t="s">
        <v>1562</v>
      </c>
      <c r="AO36" s="417">
        <v>3900000</v>
      </c>
      <c r="AP36">
        <v>185.51110688293772</v>
      </c>
      <c r="AQ36" s="419">
        <v>21023</v>
      </c>
      <c r="AT36" s="381"/>
      <c r="AU36" s="381"/>
      <c r="AV36" s="381"/>
    </row>
    <row r="37" spans="1:48" ht="95" customHeight="1">
      <c r="A37" s="379"/>
      <c r="B37" s="379"/>
      <c r="C37" s="379"/>
      <c r="D37" s="379"/>
      <c r="E37" s="379"/>
      <c r="F37" s="379"/>
      <c r="G37" s="381"/>
      <c r="H37" s="381"/>
      <c r="I37" s="381"/>
      <c r="J37" s="381"/>
      <c r="K37" s="381"/>
      <c r="L37" s="381"/>
      <c r="M37" s="381"/>
      <c r="N37" s="381"/>
      <c r="O37" s="381"/>
      <c r="P37" s="381"/>
      <c r="Q37" s="381"/>
      <c r="R37" s="381"/>
      <c r="S37" s="381"/>
      <c r="T37" s="381"/>
      <c r="U37" s="381"/>
      <c r="V37" s="381"/>
      <c r="W37" s="381"/>
      <c r="AA37" s="381"/>
      <c r="AB37" s="381"/>
      <c r="AC37" s="381"/>
      <c r="AD37" s="381"/>
      <c r="AE37" s="381"/>
      <c r="AF37" s="381"/>
      <c r="AG37" s="381"/>
      <c r="AH37" s="381"/>
      <c r="AI37" s="381"/>
      <c r="AJ37" s="381"/>
      <c r="AK37" s="381"/>
      <c r="AL37" s="381"/>
      <c r="AM37" s="381"/>
      <c r="AN37" t="s">
        <v>1554</v>
      </c>
      <c r="AO37" s="417">
        <v>3570000</v>
      </c>
      <c r="AP37">
        <v>399.41821436562992</v>
      </c>
      <c r="AQ37" s="419">
        <v>8938</v>
      </c>
      <c r="AT37" s="381"/>
      <c r="AU37" s="381"/>
      <c r="AV37" s="381"/>
    </row>
    <row r="38" spans="1:48">
      <c r="A38" s="379"/>
      <c r="B38" s="379"/>
      <c r="C38" s="379"/>
      <c r="D38" s="379"/>
      <c r="E38" s="379"/>
      <c r="F38" s="379"/>
      <c r="G38" s="381"/>
      <c r="H38" s="381"/>
      <c r="I38" s="381"/>
      <c r="J38" s="381"/>
      <c r="K38" s="381"/>
      <c r="L38" s="381"/>
      <c r="M38" s="381"/>
      <c r="N38" s="381"/>
      <c r="O38" s="381"/>
      <c r="P38" s="381"/>
      <c r="Q38" s="381"/>
      <c r="R38" s="381"/>
      <c r="S38" s="381"/>
      <c r="T38" s="381"/>
      <c r="U38" s="381"/>
      <c r="V38" s="381"/>
      <c r="W38" s="381"/>
      <c r="AA38" s="381"/>
      <c r="AB38" s="381"/>
      <c r="AC38" s="381"/>
      <c r="AD38" s="381"/>
      <c r="AE38" s="381"/>
      <c r="AF38" s="381"/>
      <c r="AG38" s="381"/>
      <c r="AH38" s="381"/>
      <c r="AI38" s="381"/>
      <c r="AJ38" s="381"/>
      <c r="AK38" s="381"/>
      <c r="AL38" s="381"/>
      <c r="AM38" s="381"/>
      <c r="AN38" t="s">
        <v>853</v>
      </c>
      <c r="AO38" s="417">
        <v>3552600</v>
      </c>
      <c r="AP38">
        <v>466.9558359621451</v>
      </c>
      <c r="AQ38" s="419">
        <v>7608</v>
      </c>
      <c r="AT38" s="381"/>
      <c r="AU38" s="381"/>
      <c r="AV38" s="381"/>
    </row>
    <row r="39" spans="1:48">
      <c r="A39" s="379"/>
      <c r="B39" s="379"/>
      <c r="C39" s="379"/>
      <c r="D39" s="379"/>
      <c r="E39" s="379"/>
      <c r="F39" s="379"/>
      <c r="G39" s="381"/>
      <c r="H39" s="381"/>
      <c r="I39" s="381"/>
      <c r="J39" s="381"/>
      <c r="K39" s="381"/>
      <c r="L39" s="381"/>
      <c r="M39" s="381"/>
      <c r="N39" s="381"/>
      <c r="O39" s="381"/>
      <c r="P39" s="381"/>
      <c r="Q39" s="381"/>
      <c r="R39" s="381"/>
      <c r="S39" s="381"/>
      <c r="T39" s="381"/>
      <c r="U39" s="381"/>
      <c r="V39" s="381"/>
      <c r="W39" s="381"/>
      <c r="AA39" s="381"/>
      <c r="AB39" s="381"/>
      <c r="AC39" s="381"/>
      <c r="AD39" s="381"/>
      <c r="AE39" s="381"/>
      <c r="AF39" s="381"/>
      <c r="AG39" s="381"/>
      <c r="AH39" s="381"/>
      <c r="AI39" s="381"/>
      <c r="AJ39" s="381"/>
      <c r="AK39" s="381"/>
      <c r="AL39" s="381"/>
      <c r="AM39" s="381"/>
      <c r="AN39" t="s">
        <v>590</v>
      </c>
      <c r="AO39" s="417">
        <v>3518200</v>
      </c>
      <c r="AP39">
        <v>396.6403607666291</v>
      </c>
      <c r="AQ39" s="419">
        <v>8870</v>
      </c>
      <c r="AT39" s="381"/>
      <c r="AU39" s="381"/>
      <c r="AV39" s="381"/>
    </row>
    <row r="40" spans="1:48" ht="15" customHeight="1">
      <c r="A40" s="379"/>
      <c r="B40" s="379"/>
      <c r="C40" s="387"/>
      <c r="D40" s="379"/>
      <c r="E40" s="379"/>
      <c r="F40" s="379"/>
      <c r="G40" s="381"/>
      <c r="H40" s="381"/>
      <c r="I40" s="381"/>
      <c r="J40" s="381"/>
      <c r="K40" s="381"/>
      <c r="L40" s="381"/>
      <c r="M40" s="381"/>
      <c r="N40" s="381"/>
      <c r="O40" s="381"/>
      <c r="P40" s="381"/>
      <c r="Q40" s="381"/>
      <c r="R40" s="381"/>
      <c r="S40" s="381"/>
      <c r="T40" s="381"/>
      <c r="U40" s="381"/>
      <c r="V40" s="381"/>
      <c r="W40" s="381"/>
      <c r="AA40" s="381"/>
      <c r="AB40" s="381"/>
      <c r="AC40" s="381"/>
      <c r="AD40" s="381"/>
      <c r="AE40" s="381"/>
      <c r="AF40" s="381"/>
      <c r="AG40" s="381"/>
      <c r="AH40" s="381"/>
      <c r="AI40" s="381"/>
      <c r="AJ40" s="381"/>
      <c r="AK40" s="381"/>
      <c r="AL40" s="381"/>
      <c r="AM40" s="381"/>
      <c r="AN40" t="s">
        <v>348</v>
      </c>
      <c r="AO40" s="417">
        <v>3499900</v>
      </c>
      <c r="AP40">
        <v>251.91823220326782</v>
      </c>
      <c r="AQ40" s="419">
        <v>13893</v>
      </c>
      <c r="AT40" s="381"/>
      <c r="AU40" s="381"/>
      <c r="AV40" s="381"/>
    </row>
    <row r="41" spans="1:48">
      <c r="AN41" t="s">
        <v>1365</v>
      </c>
      <c r="AO41" s="417">
        <v>3425000</v>
      </c>
      <c r="AP41">
        <v>267.8292148889584</v>
      </c>
      <c r="AQ41" s="419">
        <v>12788</v>
      </c>
    </row>
    <row r="42" spans="1:48">
      <c r="AN42" t="s">
        <v>355</v>
      </c>
      <c r="AO42" s="417">
        <v>3400000</v>
      </c>
      <c r="AP42">
        <v>356.24476110645429</v>
      </c>
      <c r="AQ42" s="419">
        <v>9544</v>
      </c>
    </row>
    <row r="43" spans="1:48">
      <c r="AN43" t="s">
        <v>148</v>
      </c>
      <c r="AO43" s="417">
        <v>3325000</v>
      </c>
      <c r="AP43">
        <v>433.95980161837639</v>
      </c>
      <c r="AQ43" s="419">
        <v>7662</v>
      </c>
    </row>
    <row r="44" spans="1:48" ht="64" customHeight="1">
      <c r="AN44" t="s">
        <v>1190</v>
      </c>
      <c r="AO44" s="417">
        <v>3300000</v>
      </c>
      <c r="AP44">
        <v>422.53521126760563</v>
      </c>
      <c r="AQ44" s="419">
        <v>7810</v>
      </c>
    </row>
    <row r="45" spans="1:48" ht="19">
      <c r="H45" s="392"/>
      <c r="I45" s="390"/>
      <c r="J45" s="392"/>
      <c r="AN45" t="s">
        <v>443</v>
      </c>
      <c r="AO45" s="417">
        <v>3080000</v>
      </c>
      <c r="AP45">
        <v>283.03620657967286</v>
      </c>
      <c r="AQ45" s="419">
        <v>10882</v>
      </c>
    </row>
    <row r="46" spans="1:48" ht="47">
      <c r="H46" s="393"/>
      <c r="I46" s="394"/>
      <c r="J46" s="395"/>
      <c r="AN46" t="s">
        <v>1175</v>
      </c>
      <c r="AO46" s="417">
        <v>3060000</v>
      </c>
      <c r="AP46">
        <v>278.71390837052553</v>
      </c>
      <c r="AQ46" s="419">
        <v>10979</v>
      </c>
    </row>
    <row r="47" spans="1:48">
      <c r="AN47" t="s">
        <v>1428</v>
      </c>
      <c r="AO47" s="417">
        <v>2900000</v>
      </c>
      <c r="AP47">
        <v>402.16336153099434</v>
      </c>
      <c r="AQ47" s="419">
        <v>7211</v>
      </c>
    </row>
    <row r="48" spans="1:48" ht="19">
      <c r="H48" s="392"/>
      <c r="I48" s="390"/>
      <c r="J48" s="392"/>
      <c r="AN48" t="s">
        <v>918</v>
      </c>
      <c r="AO48" s="417">
        <v>2900000</v>
      </c>
      <c r="AP48">
        <v>385.22848034006375</v>
      </c>
      <c r="AQ48" s="419">
        <v>7528</v>
      </c>
    </row>
    <row r="49" spans="8:43" ht="37">
      <c r="H49" s="396"/>
      <c r="I49" s="397"/>
      <c r="J49" s="396"/>
      <c r="AN49" t="s">
        <v>1543</v>
      </c>
      <c r="AO49" s="417">
        <v>2720000</v>
      </c>
      <c r="AP49">
        <v>408.89957907396274</v>
      </c>
      <c r="AQ49" s="419">
        <v>6652</v>
      </c>
    </row>
    <row r="50" spans="8:43">
      <c r="AN50" t="s">
        <v>313</v>
      </c>
      <c r="AO50" s="417">
        <v>2650000</v>
      </c>
      <c r="AP50">
        <v>201.67427701674276</v>
      </c>
      <c r="AQ50" s="419">
        <v>13140</v>
      </c>
    </row>
    <row r="51" spans="8:43">
      <c r="AN51" t="s">
        <v>848</v>
      </c>
      <c r="AO51" s="417">
        <v>2450000</v>
      </c>
      <c r="AP51">
        <v>418.9466484268126</v>
      </c>
      <c r="AQ51" s="419">
        <v>5848</v>
      </c>
    </row>
    <row r="52" spans="8:43">
      <c r="AN52" t="s">
        <v>1447</v>
      </c>
      <c r="AO52" s="417">
        <v>2414000</v>
      </c>
      <c r="AP52">
        <v>134.11111111111111</v>
      </c>
      <c r="AQ52" s="419">
        <v>18000</v>
      </c>
    </row>
    <row r="53" spans="8:43">
      <c r="AN53" t="s">
        <v>169</v>
      </c>
      <c r="AO53" s="417">
        <v>2375000</v>
      </c>
      <c r="AP53">
        <v>220.33583820391502</v>
      </c>
      <c r="AQ53" s="419">
        <v>10779</v>
      </c>
    </row>
    <row r="54" spans="8:43">
      <c r="AN54" t="s">
        <v>744</v>
      </c>
      <c r="AO54" s="417">
        <v>2310000</v>
      </c>
      <c r="AP54">
        <v>320.83333333333331</v>
      </c>
      <c r="AQ54" s="419">
        <v>7200</v>
      </c>
    </row>
    <row r="55" spans="8:43">
      <c r="AN55" t="s">
        <v>1510</v>
      </c>
      <c r="AO55" s="417">
        <v>2305000</v>
      </c>
      <c r="AP55">
        <v>377.25040916530276</v>
      </c>
      <c r="AQ55" s="419">
        <v>6110</v>
      </c>
    </row>
    <row r="56" spans="8:43">
      <c r="AN56" t="s">
        <v>19</v>
      </c>
      <c r="AO56" s="417">
        <v>2285000</v>
      </c>
      <c r="AP56">
        <v>223.58121330724072</v>
      </c>
      <c r="AQ56" s="419">
        <v>10220</v>
      </c>
    </row>
    <row r="57" spans="8:43">
      <c r="AN57" t="s">
        <v>1411</v>
      </c>
      <c r="AO57" s="417">
        <v>2269900</v>
      </c>
      <c r="AP57">
        <v>355.56077694235591</v>
      </c>
      <c r="AQ57" s="419">
        <v>6384</v>
      </c>
    </row>
    <row r="58" spans="8:43">
      <c r="AN58" t="s">
        <v>1180</v>
      </c>
      <c r="AO58" s="417">
        <v>2050000</v>
      </c>
      <c r="AP58">
        <v>341.66666666666669</v>
      </c>
      <c r="AQ58" s="419">
        <v>6000</v>
      </c>
    </row>
    <row r="59" spans="8:43">
      <c r="AN59" t="s">
        <v>721</v>
      </c>
      <c r="AO59" s="417">
        <v>2002800</v>
      </c>
      <c r="AP59">
        <v>302.17260108630052</v>
      </c>
      <c r="AQ59" s="419">
        <v>6628</v>
      </c>
    </row>
    <row r="60" spans="8:43">
      <c r="AN60" t="s">
        <v>420</v>
      </c>
      <c r="AO60" s="417">
        <v>2000000</v>
      </c>
      <c r="AP60">
        <v>301.7046311660884</v>
      </c>
      <c r="AQ60" s="419">
        <v>6629</v>
      </c>
    </row>
    <row r="61" spans="8:43">
      <c r="AN61" t="s">
        <v>72</v>
      </c>
      <c r="AO61" s="417">
        <v>2000000</v>
      </c>
      <c r="AP61">
        <v>351.61744022503518</v>
      </c>
      <c r="AQ61" s="419">
        <v>5688</v>
      </c>
    </row>
    <row r="62" spans="8:43">
      <c r="AN62" t="s">
        <v>1318</v>
      </c>
      <c r="AO62" s="417">
        <v>2000000</v>
      </c>
      <c r="AP62">
        <v>244.85798237022527</v>
      </c>
      <c r="AQ62" s="419">
        <v>8168</v>
      </c>
    </row>
    <row r="63" spans="8:43">
      <c r="AN63" t="s">
        <v>883</v>
      </c>
      <c r="AO63" s="417">
        <v>1991400</v>
      </c>
      <c r="AP63">
        <v>466.58856607310213</v>
      </c>
      <c r="AQ63" s="419">
        <v>4268</v>
      </c>
    </row>
    <row r="64" spans="8:43">
      <c r="AN64" t="s">
        <v>547</v>
      </c>
      <c r="AO64" s="417">
        <v>1987500</v>
      </c>
      <c r="AP64">
        <v>311.08154640788854</v>
      </c>
      <c r="AQ64" s="419">
        <v>6389</v>
      </c>
    </row>
    <row r="65" spans="40:43">
      <c r="AN65" t="s">
        <v>842</v>
      </c>
      <c r="AO65" s="417">
        <v>1800000</v>
      </c>
      <c r="AP65">
        <v>294.45444135449043</v>
      </c>
      <c r="AQ65" s="419">
        <v>6113</v>
      </c>
    </row>
    <row r="66" spans="40:43">
      <c r="AN66" t="s">
        <v>44</v>
      </c>
      <c r="AO66" s="417">
        <v>1800000</v>
      </c>
      <c r="AP66">
        <v>179.24716191993627</v>
      </c>
      <c r="AQ66" s="419">
        <v>10042</v>
      </c>
    </row>
    <row r="67" spans="40:43">
      <c r="AN67" t="s">
        <v>714</v>
      </c>
      <c r="AO67" s="417">
        <v>1800000</v>
      </c>
      <c r="AP67">
        <v>300</v>
      </c>
      <c r="AQ67" s="419">
        <v>6000</v>
      </c>
    </row>
    <row r="68" spans="40:43">
      <c r="AN68" t="s">
        <v>758</v>
      </c>
      <c r="AO68" s="417">
        <v>1745000</v>
      </c>
      <c r="AP68">
        <v>351.60185371750958</v>
      </c>
      <c r="AQ68" s="419">
        <v>4963</v>
      </c>
    </row>
    <row r="69" spans="40:43">
      <c r="AN69" t="s">
        <v>246</v>
      </c>
      <c r="AO69" s="417">
        <v>1725000</v>
      </c>
      <c r="AP69">
        <v>347.78225806451616</v>
      </c>
      <c r="AQ69" s="419">
        <v>4960</v>
      </c>
    </row>
    <row r="70" spans="40:43">
      <c r="AN70" t="s">
        <v>994</v>
      </c>
      <c r="AO70" s="417">
        <v>1650000</v>
      </c>
      <c r="AP70">
        <v>402.046783625731</v>
      </c>
      <c r="AQ70" s="419">
        <v>4104</v>
      </c>
    </row>
    <row r="71" spans="40:43">
      <c r="AN71" t="s">
        <v>341</v>
      </c>
      <c r="AO71" s="417">
        <v>1650000</v>
      </c>
      <c r="AP71">
        <v>230.06134969325154</v>
      </c>
      <c r="AQ71" s="419">
        <v>7172</v>
      </c>
    </row>
    <row r="72" spans="40:43">
      <c r="AN72" t="s">
        <v>1538</v>
      </c>
      <c r="AO72" s="417">
        <v>1600000</v>
      </c>
      <c r="AP72">
        <v>241.87452758881329</v>
      </c>
      <c r="AQ72" s="419">
        <v>6615</v>
      </c>
    </row>
    <row r="73" spans="40:43">
      <c r="AN73" t="s">
        <v>466</v>
      </c>
      <c r="AO73" s="417">
        <v>1575000</v>
      </c>
      <c r="AP73">
        <v>325.14450867052022</v>
      </c>
      <c r="AQ73" s="419">
        <v>4844</v>
      </c>
    </row>
    <row r="74" spans="40:43">
      <c r="AN74" t="s">
        <v>785</v>
      </c>
      <c r="AO74" s="417">
        <v>1570000</v>
      </c>
      <c r="AP74">
        <v>332.69760542487813</v>
      </c>
      <c r="AQ74" s="419">
        <v>4719</v>
      </c>
    </row>
    <row r="75" spans="40:43">
      <c r="AN75" t="s">
        <v>830</v>
      </c>
      <c r="AO75" s="417">
        <v>1550000</v>
      </c>
      <c r="AP75">
        <v>325.97266035751841</v>
      </c>
      <c r="AQ75" s="419">
        <v>4755</v>
      </c>
    </row>
    <row r="76" spans="40:43">
      <c r="AN76" t="s">
        <v>604</v>
      </c>
      <c r="AO76" s="417">
        <v>1550000</v>
      </c>
      <c r="AP76">
        <v>317.75317753177529</v>
      </c>
      <c r="AQ76" s="419">
        <v>4878</v>
      </c>
    </row>
    <row r="77" spans="40:43">
      <c r="AN77" t="s">
        <v>650</v>
      </c>
      <c r="AO77" s="417">
        <v>1410000</v>
      </c>
      <c r="AP77">
        <v>206.29114850036575</v>
      </c>
      <c r="AQ77" s="419">
        <v>6835</v>
      </c>
    </row>
    <row r="78" spans="40:43">
      <c r="AN78" t="s">
        <v>508</v>
      </c>
      <c r="AO78" s="417">
        <v>1400000</v>
      </c>
      <c r="AP78">
        <v>408.87850467289718</v>
      </c>
      <c r="AQ78" s="419">
        <v>3424</v>
      </c>
    </row>
    <row r="79" spans="40:43">
      <c r="AN79" t="s">
        <v>222</v>
      </c>
      <c r="AO79" s="417">
        <v>1365500</v>
      </c>
      <c r="AP79">
        <v>410.30649038461536</v>
      </c>
      <c r="AQ79" s="419">
        <v>3328</v>
      </c>
    </row>
    <row r="80" spans="40:43">
      <c r="AN80" t="s">
        <v>1194</v>
      </c>
      <c r="AO80" s="417">
        <v>1340800</v>
      </c>
      <c r="AP80">
        <v>111.71471421429762</v>
      </c>
      <c r="AQ80" s="419">
        <v>12002</v>
      </c>
    </row>
    <row r="81" spans="40:43">
      <c r="AN81" t="s">
        <v>778</v>
      </c>
      <c r="AO81" s="417">
        <v>1300000</v>
      </c>
      <c r="AP81">
        <v>324.02791625124627</v>
      </c>
      <c r="AQ81" s="419">
        <v>4012</v>
      </c>
    </row>
    <row r="82" spans="40:43">
      <c r="AN82" t="s">
        <v>701</v>
      </c>
      <c r="AO82" s="417">
        <v>1300000</v>
      </c>
      <c r="AP82">
        <v>363.73810856183547</v>
      </c>
      <c r="AQ82" s="419">
        <v>3574</v>
      </c>
    </row>
    <row r="83" spans="40:43">
      <c r="AN83" t="s">
        <v>610</v>
      </c>
      <c r="AO83" s="417">
        <v>1270100</v>
      </c>
      <c r="AP83">
        <v>257.41791649777059</v>
      </c>
      <c r="AQ83" s="419">
        <v>4934</v>
      </c>
    </row>
    <row r="84" spans="40:43">
      <c r="AN84" t="s">
        <v>685</v>
      </c>
      <c r="AO84" s="417">
        <v>1250000</v>
      </c>
      <c r="AP84">
        <v>207.95208783896192</v>
      </c>
      <c r="AQ84" s="419">
        <v>6011</v>
      </c>
    </row>
    <row r="85" spans="40:43">
      <c r="AN85" t="s">
        <v>1331</v>
      </c>
      <c r="AO85" s="417">
        <v>1225000</v>
      </c>
      <c r="AP85">
        <v>360.29411764705884</v>
      </c>
      <c r="AQ85" s="419">
        <v>3400</v>
      </c>
    </row>
    <row r="86" spans="40:43">
      <c r="AN86" t="s">
        <v>89</v>
      </c>
      <c r="AO86" s="417">
        <v>1224900</v>
      </c>
      <c r="AP86">
        <v>236.14806246385194</v>
      </c>
      <c r="AQ86" s="419">
        <v>5187</v>
      </c>
    </row>
    <row r="87" spans="40:43">
      <c r="AN87" t="s">
        <v>975</v>
      </c>
      <c r="AO87" s="417">
        <v>1200000</v>
      </c>
      <c r="AP87">
        <v>266.96329254727476</v>
      </c>
      <c r="AQ87" s="419">
        <v>4495</v>
      </c>
    </row>
    <row r="88" spans="40:43">
      <c r="AN88" t="s">
        <v>625</v>
      </c>
      <c r="AO88" s="417">
        <v>1200000</v>
      </c>
      <c r="AP88">
        <v>353.98230088495575</v>
      </c>
      <c r="AQ88" s="419">
        <v>3390</v>
      </c>
    </row>
    <row r="89" spans="40:43">
      <c r="AN89" t="s">
        <v>617</v>
      </c>
      <c r="AO89" s="417">
        <v>1200000</v>
      </c>
      <c r="AP89">
        <v>309.03940252382176</v>
      </c>
      <c r="AQ89" s="419">
        <v>3883</v>
      </c>
    </row>
    <row r="90" spans="40:43">
      <c r="AN90" t="s">
        <v>1463</v>
      </c>
      <c r="AO90" s="417">
        <v>1200000</v>
      </c>
      <c r="AP90">
        <v>216.68472372697724</v>
      </c>
      <c r="AQ90" s="419">
        <v>5538</v>
      </c>
    </row>
    <row r="91" spans="40:43">
      <c r="AN91" t="s">
        <v>1381</v>
      </c>
      <c r="AO91" s="417">
        <v>1200000</v>
      </c>
      <c r="AP91">
        <v>342.95513003715348</v>
      </c>
      <c r="AQ91" s="419">
        <v>3499</v>
      </c>
    </row>
    <row r="92" spans="40:43">
      <c r="AN92" t="s">
        <v>772</v>
      </c>
      <c r="AO92" s="417">
        <v>1186500</v>
      </c>
      <c r="AP92">
        <v>263.37402885682576</v>
      </c>
      <c r="AQ92" s="419">
        <v>4505</v>
      </c>
    </row>
    <row r="93" spans="40:43">
      <c r="AN93" t="s">
        <v>953</v>
      </c>
      <c r="AO93" s="417">
        <v>1150000</v>
      </c>
      <c r="AP93">
        <v>275.64717162032599</v>
      </c>
      <c r="AQ93" s="419">
        <v>4172</v>
      </c>
    </row>
    <row r="94" spans="40:43">
      <c r="AN94" t="s">
        <v>597</v>
      </c>
      <c r="AO94" s="417">
        <v>1150000</v>
      </c>
      <c r="AP94">
        <v>407.36804817569958</v>
      </c>
      <c r="AQ94" s="419">
        <v>2823</v>
      </c>
    </row>
    <row r="95" spans="40:43">
      <c r="AN95" t="s">
        <v>321</v>
      </c>
      <c r="AO95" s="417">
        <v>1140000</v>
      </c>
      <c r="AP95">
        <v>276.90065581734274</v>
      </c>
      <c r="AQ95" s="419">
        <v>4117</v>
      </c>
    </row>
    <row r="96" spans="40:43">
      <c r="AN96" t="s">
        <v>32</v>
      </c>
      <c r="AO96" s="417">
        <v>1100000</v>
      </c>
      <c r="AP96">
        <v>250.62656641604011</v>
      </c>
      <c r="AQ96" s="419">
        <v>4389</v>
      </c>
    </row>
    <row r="97" spans="40:43">
      <c r="AN97" t="s">
        <v>570</v>
      </c>
      <c r="AO97" s="417">
        <v>1100000</v>
      </c>
      <c r="AP97">
        <v>373.51443123938878</v>
      </c>
      <c r="AQ97" s="419">
        <v>2945</v>
      </c>
    </row>
    <row r="98" spans="40:43">
      <c r="AN98" t="s">
        <v>1084</v>
      </c>
      <c r="AO98" s="417">
        <v>1100000</v>
      </c>
      <c r="AP98">
        <v>269.60784313725492</v>
      </c>
      <c r="AQ98" s="419">
        <v>4080</v>
      </c>
    </row>
    <row r="99" spans="40:43">
      <c r="AN99" t="s">
        <v>1298</v>
      </c>
      <c r="AO99" s="417">
        <v>1040000</v>
      </c>
      <c r="AP99">
        <v>238.91569032850907</v>
      </c>
      <c r="AQ99" s="419">
        <v>4353</v>
      </c>
    </row>
    <row r="100" spans="40:43">
      <c r="AN100" t="s">
        <v>1674</v>
      </c>
      <c r="AO100" s="417">
        <v>1025000</v>
      </c>
      <c r="AP100">
        <v>229.97531972178595</v>
      </c>
      <c r="AQ100" s="419">
        <v>4457</v>
      </c>
    </row>
    <row r="101" spans="40:43">
      <c r="AN101" t="s">
        <v>737</v>
      </c>
      <c r="AO101" s="417">
        <v>1010000</v>
      </c>
      <c r="AP101">
        <v>175.49956559513467</v>
      </c>
      <c r="AQ101" s="419">
        <v>5755</v>
      </c>
    </row>
    <row r="102" spans="40:43">
      <c r="AN102" t="s">
        <v>390</v>
      </c>
      <c r="AO102" s="417">
        <v>965900</v>
      </c>
      <c r="AP102">
        <v>148.41733251382914</v>
      </c>
      <c r="AQ102" s="419">
        <v>6508</v>
      </c>
    </row>
    <row r="103" spans="40:43">
      <c r="AN103" t="s">
        <v>157</v>
      </c>
      <c r="AO103" s="417">
        <v>940000</v>
      </c>
      <c r="AP103">
        <v>109.98010998010999</v>
      </c>
      <c r="AQ103" s="419">
        <v>8547</v>
      </c>
    </row>
    <row r="104" spans="40:43">
      <c r="AN104" t="s">
        <v>140</v>
      </c>
      <c r="AO104" s="417">
        <v>925000</v>
      </c>
      <c r="AP104">
        <v>262.41134751773052</v>
      </c>
      <c r="AQ104" s="419">
        <v>3525</v>
      </c>
    </row>
    <row r="105" spans="40:43">
      <c r="AN105" t="s">
        <v>694</v>
      </c>
      <c r="AO105" s="417">
        <v>925000</v>
      </c>
      <c r="AP105">
        <v>155.46218487394958</v>
      </c>
      <c r="AQ105" s="419">
        <v>5950</v>
      </c>
    </row>
    <row r="106" spans="40:43">
      <c r="AN106" t="s">
        <v>214</v>
      </c>
      <c r="AO106" s="417">
        <v>900000</v>
      </c>
      <c r="AP106">
        <v>152.54237288135593</v>
      </c>
      <c r="AQ106" s="419">
        <v>5900</v>
      </c>
    </row>
    <row r="107" spans="40:43">
      <c r="AN107" t="s">
        <v>1186</v>
      </c>
      <c r="AO107" s="417">
        <v>900000</v>
      </c>
      <c r="AP107">
        <v>214.28571428571428</v>
      </c>
      <c r="AQ107" s="419">
        <v>4200</v>
      </c>
    </row>
    <row r="108" spans="40:43">
      <c r="AN108" t="s">
        <v>252</v>
      </c>
      <c r="AO108" s="417">
        <v>900000</v>
      </c>
      <c r="AP108">
        <v>253.52112676056339</v>
      </c>
      <c r="AQ108" s="419">
        <v>3550</v>
      </c>
    </row>
    <row r="109" spans="40:43">
      <c r="AN109" t="s">
        <v>515</v>
      </c>
      <c r="AO109" s="417">
        <v>850000</v>
      </c>
      <c r="AP109">
        <v>332.68101761252444</v>
      </c>
      <c r="AQ109" s="419">
        <v>2555</v>
      </c>
    </row>
    <row r="110" spans="40:43">
      <c r="AN110" t="s">
        <v>1337</v>
      </c>
      <c r="AO110" s="417">
        <v>850000</v>
      </c>
      <c r="AP110">
        <v>358.19637589549092</v>
      </c>
      <c r="AQ110" s="419">
        <v>2373</v>
      </c>
    </row>
    <row r="111" spans="40:43">
      <c r="AN111" t="s">
        <v>578</v>
      </c>
      <c r="AO111" s="417">
        <v>846000</v>
      </c>
      <c r="AP111">
        <v>328.0341217526173</v>
      </c>
      <c r="AQ111" s="419">
        <v>2579</v>
      </c>
    </row>
    <row r="112" spans="40:43">
      <c r="AN112" t="s">
        <v>912</v>
      </c>
      <c r="AO112" s="417">
        <v>840000</v>
      </c>
      <c r="AP112">
        <v>252.32802643436469</v>
      </c>
      <c r="AQ112" s="419">
        <v>3329</v>
      </c>
    </row>
    <row r="113" spans="40:43">
      <c r="AN113" t="s">
        <v>728</v>
      </c>
      <c r="AO113" s="417">
        <v>840000</v>
      </c>
      <c r="AP113">
        <v>271.14267269205942</v>
      </c>
      <c r="AQ113" s="419">
        <v>3098</v>
      </c>
    </row>
    <row r="114" spans="40:43">
      <c r="AN114" t="s">
        <v>1377</v>
      </c>
      <c r="AO114" s="417">
        <v>825000</v>
      </c>
      <c r="AP114">
        <v>320.5128205128205</v>
      </c>
      <c r="AQ114" s="419">
        <v>2574</v>
      </c>
    </row>
    <row r="115" spans="40:43">
      <c r="AN115" t="s">
        <v>1055</v>
      </c>
      <c r="AO115" s="417">
        <v>810000</v>
      </c>
      <c r="AP115">
        <v>322.96650717703352</v>
      </c>
      <c r="AQ115" s="419">
        <v>2508</v>
      </c>
    </row>
    <row r="116" spans="40:43">
      <c r="AN116" t="s">
        <v>123</v>
      </c>
      <c r="AO116" s="417">
        <v>800000</v>
      </c>
      <c r="AP116">
        <v>322.58064516129031</v>
      </c>
      <c r="AQ116" s="419">
        <v>2480</v>
      </c>
    </row>
    <row r="117" spans="40:43">
      <c r="AN117" t="s">
        <v>495</v>
      </c>
      <c r="AO117" s="417">
        <v>800000</v>
      </c>
      <c r="AP117">
        <v>328.54209445585218</v>
      </c>
      <c r="AQ117" s="419">
        <v>2435</v>
      </c>
    </row>
    <row r="118" spans="40:43">
      <c r="AN118" t="s">
        <v>1470</v>
      </c>
      <c r="AO118" s="417">
        <v>800000</v>
      </c>
      <c r="AP118">
        <v>150.48908954100827</v>
      </c>
      <c r="AQ118" s="419">
        <v>5316</v>
      </c>
    </row>
    <row r="119" spans="40:43">
      <c r="AN119" t="s">
        <v>824</v>
      </c>
      <c r="AO119" s="417">
        <v>800000</v>
      </c>
      <c r="AP119">
        <v>327.46623004502663</v>
      </c>
      <c r="AQ119" s="419">
        <v>2443</v>
      </c>
    </row>
    <row r="120" spans="40:43">
      <c r="AN120" t="s">
        <v>798</v>
      </c>
      <c r="AO120" s="417">
        <v>800000</v>
      </c>
      <c r="AP120">
        <v>157.82205563227461</v>
      </c>
      <c r="AQ120" s="419">
        <v>5069</v>
      </c>
    </row>
    <row r="121" spans="40:43">
      <c r="AN121" t="s">
        <v>1312</v>
      </c>
      <c r="AO121" s="417">
        <v>786000</v>
      </c>
      <c r="AP121">
        <v>123.39089481946625</v>
      </c>
      <c r="AQ121" s="419">
        <v>6370</v>
      </c>
    </row>
    <row r="122" spans="40:43">
      <c r="AN122" t="s">
        <v>1031</v>
      </c>
      <c r="AO122" s="417">
        <v>780000</v>
      </c>
      <c r="AP122">
        <v>296.01518026565464</v>
      </c>
      <c r="AQ122" s="419">
        <v>2635</v>
      </c>
    </row>
    <row r="123" spans="40:43">
      <c r="AN123" t="s">
        <v>1131</v>
      </c>
      <c r="AO123" s="417">
        <v>750000</v>
      </c>
      <c r="AP123">
        <v>157.72870662460568</v>
      </c>
      <c r="AQ123" s="419">
        <v>4755</v>
      </c>
    </row>
    <row r="124" spans="40:43">
      <c r="AN124" t="s">
        <v>1007</v>
      </c>
      <c r="AO124" s="417">
        <v>742000</v>
      </c>
      <c r="AP124">
        <v>285.38461538461536</v>
      </c>
      <c r="AQ124" s="419">
        <v>2600</v>
      </c>
    </row>
    <row r="125" spans="40:43">
      <c r="AN125" t="s">
        <v>1301</v>
      </c>
      <c r="AO125" s="417">
        <v>725000</v>
      </c>
      <c r="AP125">
        <v>170.34774436090225</v>
      </c>
      <c r="AQ125" s="419">
        <v>4256</v>
      </c>
    </row>
    <row r="126" spans="40:43">
      <c r="AN126" t="s">
        <v>1049</v>
      </c>
      <c r="AO126" s="417">
        <v>725000</v>
      </c>
      <c r="AP126">
        <v>241.66666666666666</v>
      </c>
      <c r="AQ126" s="419">
        <v>3000</v>
      </c>
    </row>
    <row r="127" spans="40:43">
      <c r="AN127" t="s">
        <v>115</v>
      </c>
      <c r="AO127" s="417">
        <v>720000</v>
      </c>
      <c r="AP127">
        <v>364.37246963562751</v>
      </c>
      <c r="AQ127" s="419">
        <v>1976</v>
      </c>
    </row>
    <row r="128" spans="40:43">
      <c r="AN128" t="s">
        <v>812</v>
      </c>
      <c r="AO128" s="417">
        <v>700000</v>
      </c>
      <c r="AP128">
        <v>326.34032634032633</v>
      </c>
      <c r="AQ128" s="419">
        <v>2145</v>
      </c>
    </row>
    <row r="129" spans="40:43">
      <c r="AN129" t="s">
        <v>1001</v>
      </c>
      <c r="AO129" s="417">
        <v>685000</v>
      </c>
      <c r="AP129">
        <v>152.22222222222223</v>
      </c>
      <c r="AQ129" s="419">
        <v>4500</v>
      </c>
    </row>
    <row r="130" spans="40:43">
      <c r="AN130" t="s">
        <v>183</v>
      </c>
      <c r="AO130" s="417">
        <v>670000</v>
      </c>
      <c r="AP130">
        <v>135.40824575586095</v>
      </c>
      <c r="AQ130" s="419">
        <v>4948</v>
      </c>
    </row>
    <row r="131" spans="40:43">
      <c r="AN131" t="s">
        <v>931</v>
      </c>
      <c r="AO131" s="417">
        <v>665000</v>
      </c>
      <c r="AP131">
        <v>295.8185053380783</v>
      </c>
      <c r="AQ131" s="419">
        <v>2248</v>
      </c>
    </row>
    <row r="132" spans="40:43">
      <c r="AN132" t="s">
        <v>1096</v>
      </c>
      <c r="AO132" s="417">
        <v>650000</v>
      </c>
      <c r="AP132">
        <v>135.41666666666666</v>
      </c>
      <c r="AQ132" s="419">
        <v>4800</v>
      </c>
    </row>
    <row r="133" spans="40:43">
      <c r="AN133" t="s">
        <v>1392</v>
      </c>
      <c r="AO133" s="417">
        <v>650000</v>
      </c>
      <c r="AP133">
        <v>253.11526479750779</v>
      </c>
      <c r="AQ133" s="419">
        <v>2568</v>
      </c>
    </row>
    <row r="134" spans="40:43">
      <c r="AN134" t="s">
        <v>364</v>
      </c>
      <c r="AO134" s="417">
        <v>649000</v>
      </c>
      <c r="AP134">
        <v>224.5674740484429</v>
      </c>
      <c r="AQ134" s="419">
        <v>2890</v>
      </c>
    </row>
    <row r="135" spans="40:43">
      <c r="AN135" t="s">
        <v>1019</v>
      </c>
      <c r="AO135" s="417">
        <v>625000</v>
      </c>
      <c r="AP135">
        <v>231.56724712856612</v>
      </c>
      <c r="AQ135" s="419">
        <v>2699</v>
      </c>
    </row>
    <row r="136" spans="40:43">
      <c r="AN136" t="s">
        <v>1435</v>
      </c>
      <c r="AO136" s="417">
        <v>625000</v>
      </c>
      <c r="AP136">
        <v>138.39681133746677</v>
      </c>
      <c r="AQ136" s="419">
        <v>4516</v>
      </c>
    </row>
    <row r="137" spans="40:43">
      <c r="AN137" t="s">
        <v>1349</v>
      </c>
      <c r="AO137" s="417">
        <v>621000</v>
      </c>
      <c r="AP137">
        <v>197.14285714285714</v>
      </c>
      <c r="AQ137" s="419">
        <v>3150</v>
      </c>
    </row>
    <row r="138" spans="40:43">
      <c r="AN138" t="s">
        <v>1074</v>
      </c>
      <c r="AO138" s="417">
        <v>620000</v>
      </c>
      <c r="AP138">
        <v>238.55328972681801</v>
      </c>
      <c r="AQ138" s="419">
        <v>2599</v>
      </c>
    </row>
    <row r="139" spans="40:43">
      <c r="AN139" t="s">
        <v>924</v>
      </c>
      <c r="AO139" s="417">
        <v>610000</v>
      </c>
      <c r="AP139">
        <v>271.35231316725981</v>
      </c>
      <c r="AQ139" s="419">
        <v>2248</v>
      </c>
    </row>
    <row r="140" spans="40:43">
      <c r="AN140" t="s">
        <v>818</v>
      </c>
      <c r="AO140" s="417">
        <v>600000</v>
      </c>
      <c r="AP140">
        <v>227.27272727272728</v>
      </c>
      <c r="AQ140" s="419">
        <v>2640</v>
      </c>
    </row>
    <row r="141" spans="40:43">
      <c r="AN141" t="s">
        <v>176</v>
      </c>
      <c r="AO141" s="417">
        <v>600000</v>
      </c>
      <c r="AP141">
        <v>173.81228273464657</v>
      </c>
      <c r="AQ141" s="419">
        <v>3452</v>
      </c>
    </row>
    <row r="142" spans="40:43">
      <c r="AN142" t="s">
        <v>63</v>
      </c>
      <c r="AO142" s="417">
        <v>592000</v>
      </c>
      <c r="AP142">
        <v>169.14285714285714</v>
      </c>
      <c r="AQ142" s="419">
        <v>3500</v>
      </c>
    </row>
    <row r="143" spans="40:43">
      <c r="AN143" t="s">
        <v>299</v>
      </c>
      <c r="AO143" s="417">
        <v>585000</v>
      </c>
      <c r="AP143">
        <v>127.45098039215686</v>
      </c>
      <c r="AQ143" s="419">
        <v>4590</v>
      </c>
    </row>
    <row r="144" spans="40:43">
      <c r="AN144" t="s">
        <v>1398</v>
      </c>
      <c r="AO144" s="417">
        <v>580000</v>
      </c>
      <c r="AP144">
        <v>239.27392739273927</v>
      </c>
      <c r="AQ144" s="419">
        <v>2424</v>
      </c>
    </row>
    <row r="145" spans="40:43">
      <c r="AN145" t="s">
        <v>1293</v>
      </c>
      <c r="AO145" s="417">
        <v>560000</v>
      </c>
      <c r="AP145">
        <v>240.13722126929673</v>
      </c>
      <c r="AQ145" s="419">
        <v>2332</v>
      </c>
    </row>
    <row r="146" spans="40:43">
      <c r="AN146" t="s">
        <v>1265</v>
      </c>
      <c r="AO146" s="417">
        <v>537000</v>
      </c>
      <c r="AP146">
        <v>224.87437185929647</v>
      </c>
      <c r="AQ146" s="419">
        <v>2388</v>
      </c>
    </row>
    <row r="147" spans="40:43">
      <c r="AN147" t="s">
        <v>1025</v>
      </c>
      <c r="AO147" s="417">
        <v>535200</v>
      </c>
      <c r="AP147">
        <v>227.06830717013153</v>
      </c>
      <c r="AQ147" s="419">
        <v>2357</v>
      </c>
    </row>
    <row r="148" spans="40:43">
      <c r="AN148" t="s">
        <v>1371</v>
      </c>
      <c r="AO148" s="417">
        <v>533000</v>
      </c>
      <c r="AP148">
        <v>221.16182572614107</v>
      </c>
      <c r="AQ148" s="419">
        <v>2410</v>
      </c>
    </row>
    <row r="149" spans="40:43">
      <c r="AN149" t="s">
        <v>806</v>
      </c>
      <c r="AO149" s="417">
        <v>530000</v>
      </c>
      <c r="AP149">
        <v>240.36281179138322</v>
      </c>
      <c r="AQ149" s="419">
        <v>2205</v>
      </c>
    </row>
    <row r="150" spans="40:43">
      <c r="AN150" t="s">
        <v>1080</v>
      </c>
      <c r="AO150" s="417">
        <v>525000</v>
      </c>
      <c r="AP150">
        <v>243.05555555555554</v>
      </c>
      <c r="AQ150" s="419">
        <v>2160</v>
      </c>
    </row>
    <row r="151" spans="40:43">
      <c r="AN151" t="s">
        <v>1343</v>
      </c>
      <c r="AO151" s="417">
        <v>514200</v>
      </c>
      <c r="AP151">
        <v>205.68</v>
      </c>
      <c r="AQ151" s="419">
        <v>2500</v>
      </c>
    </row>
    <row r="152" spans="40:43">
      <c r="AN152" t="s">
        <v>1236</v>
      </c>
      <c r="AO152" s="417">
        <v>510000</v>
      </c>
      <c r="AP152">
        <v>202.06022187004754</v>
      </c>
      <c r="AQ152" s="419">
        <v>2524</v>
      </c>
    </row>
    <row r="153" spans="40:43">
      <c r="AN153" t="s">
        <v>1497</v>
      </c>
      <c r="AO153" s="417">
        <v>500000</v>
      </c>
      <c r="AP153">
        <v>271.29679869777539</v>
      </c>
      <c r="AQ153" s="419">
        <v>1843</v>
      </c>
    </row>
    <row r="154" spans="40:43">
      <c r="AN154" t="s">
        <v>1143</v>
      </c>
      <c r="AO154" s="417">
        <v>494000</v>
      </c>
      <c r="AP154">
        <v>166.21803499327052</v>
      </c>
      <c r="AQ154" s="419">
        <v>2972</v>
      </c>
    </row>
    <row r="155" spans="40:43">
      <c r="AN155" t="s">
        <v>1287</v>
      </c>
      <c r="AO155" s="417">
        <v>486500</v>
      </c>
      <c r="AP155">
        <v>112.61574074074075</v>
      </c>
      <c r="AQ155" s="419">
        <v>4320</v>
      </c>
    </row>
    <row r="156" spans="40:43">
      <c r="AN156" t="s">
        <v>292</v>
      </c>
      <c r="AO156" s="417">
        <v>475000</v>
      </c>
      <c r="AP156">
        <v>102.81385281385282</v>
      </c>
      <c r="AQ156" s="419">
        <v>4620</v>
      </c>
    </row>
    <row r="157" spans="40:43">
      <c r="AN157" t="s">
        <v>1108</v>
      </c>
      <c r="AO157" s="417">
        <v>475000</v>
      </c>
      <c r="AP157">
        <v>193.08943089430895</v>
      </c>
      <c r="AQ157" s="419">
        <v>2460</v>
      </c>
    </row>
    <row r="158" spans="40:43">
      <c r="AN158" t="s">
        <v>1248</v>
      </c>
      <c r="AO158" s="417">
        <v>460000</v>
      </c>
      <c r="AP158">
        <v>180.39215686274511</v>
      </c>
      <c r="AQ158" s="419">
        <v>2550</v>
      </c>
    </row>
    <row r="159" spans="40:43">
      <c r="AN159" t="s">
        <v>275</v>
      </c>
      <c r="AO159" s="417">
        <v>448100</v>
      </c>
      <c r="AP159">
        <v>130.79392877991828</v>
      </c>
      <c r="AQ159" s="419">
        <v>3426</v>
      </c>
    </row>
    <row r="160" spans="40:43">
      <c r="AN160" t="s">
        <v>1210</v>
      </c>
      <c r="AO160" s="417">
        <v>420000</v>
      </c>
      <c r="AP160">
        <v>152.39477503628447</v>
      </c>
      <c r="AQ160" s="419">
        <v>2756</v>
      </c>
    </row>
    <row r="161" spans="40:43">
      <c r="AN161" t="s">
        <v>1090</v>
      </c>
      <c r="AO161" s="417">
        <v>417500</v>
      </c>
      <c r="AP161">
        <v>224.94612068965517</v>
      </c>
      <c r="AQ161" s="419">
        <v>1856</v>
      </c>
    </row>
    <row r="162" spans="40:43">
      <c r="AN162" t="s">
        <v>1242</v>
      </c>
      <c r="AO162" s="417">
        <v>400000</v>
      </c>
      <c r="AP162">
        <v>166.66666666666666</v>
      </c>
      <c r="AQ162" s="419">
        <v>2400</v>
      </c>
    </row>
    <row r="163" spans="40:43">
      <c r="AN163" t="s">
        <v>1149</v>
      </c>
      <c r="AO163" s="417">
        <v>399000</v>
      </c>
      <c r="AP163">
        <v>199.5</v>
      </c>
      <c r="AQ163" s="419">
        <v>2000</v>
      </c>
    </row>
    <row r="164" spans="40:43">
      <c r="AN164" t="s">
        <v>1120</v>
      </c>
      <c r="AO164" s="417">
        <v>390000</v>
      </c>
      <c r="AP164">
        <v>106.73234811165845</v>
      </c>
      <c r="AQ164" s="419">
        <v>3654</v>
      </c>
    </row>
    <row r="165" spans="40:43">
      <c r="AN165" t="s">
        <v>501</v>
      </c>
      <c r="AO165" s="417">
        <v>366400</v>
      </c>
      <c r="AP165">
        <v>127.39916550764951</v>
      </c>
      <c r="AQ165" s="419">
        <v>2876</v>
      </c>
    </row>
    <row r="166" spans="40:43">
      <c r="AN166" t="s">
        <v>1037</v>
      </c>
      <c r="AO166" s="417">
        <v>350000</v>
      </c>
      <c r="AP166">
        <v>171.82130584192439</v>
      </c>
      <c r="AQ166" s="419">
        <v>2037</v>
      </c>
    </row>
    <row r="167" spans="40:43">
      <c r="AN167" t="s">
        <v>1482</v>
      </c>
      <c r="AO167" s="417">
        <v>350000</v>
      </c>
      <c r="AP167">
        <v>142.3342822285482</v>
      </c>
      <c r="AQ167" s="419">
        <v>2459</v>
      </c>
    </row>
    <row r="168" spans="40:43">
      <c r="AN168" t="s">
        <v>206</v>
      </c>
      <c r="AO168" s="417">
        <v>344600</v>
      </c>
      <c r="AP168">
        <v>117.37057220708446</v>
      </c>
      <c r="AQ168" s="419">
        <v>2936</v>
      </c>
    </row>
    <row r="169" spans="40:43">
      <c r="AN169" t="s">
        <v>876</v>
      </c>
      <c r="AO169" s="417">
        <v>330000</v>
      </c>
      <c r="AP169">
        <v>165</v>
      </c>
      <c r="AQ169" s="419">
        <v>2000</v>
      </c>
    </row>
    <row r="170" spans="40:43">
      <c r="AN170" t="s">
        <v>1215</v>
      </c>
      <c r="AO170" s="417">
        <v>293000</v>
      </c>
      <c r="AP170">
        <v>127.66884531590414</v>
      </c>
      <c r="AQ170" s="419">
        <v>2295</v>
      </c>
    </row>
    <row r="171" spans="40:43">
      <c r="AN171" t="s">
        <v>1489</v>
      </c>
      <c r="AO171" s="417">
        <v>275000</v>
      </c>
      <c r="AP171">
        <v>123.87387387387388</v>
      </c>
      <c r="AQ171" s="419">
        <v>2220</v>
      </c>
    </row>
    <row r="172" spans="40:43">
      <c r="AN172" t="s">
        <v>889</v>
      </c>
      <c r="AO172" s="417">
        <v>250100</v>
      </c>
      <c r="AP172">
        <v>116.32558139534883</v>
      </c>
      <c r="AQ172" s="419">
        <v>2150</v>
      </c>
    </row>
    <row r="173" spans="40:43">
      <c r="AN173" t="s">
        <v>1161</v>
      </c>
      <c r="AO173" s="417">
        <v>210000</v>
      </c>
      <c r="AP173">
        <v>108.63942058975685</v>
      </c>
      <c r="AQ173" s="419">
        <v>1933</v>
      </c>
    </row>
  </sheetData>
  <mergeCells count="2">
    <mergeCell ref="H17:H19"/>
    <mergeCell ref="J17:J19"/>
  </mergeCells>
  <pageMargins left="0.7" right="0.7" top="0.75" bottom="0.75" header="0.3" footer="0.3"/>
  <pageSetup orientation="portrait" horizontalDpi="0" verticalDpi="0"/>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5F8A-226D-0146-9415-4710444205C8}">
  <dimension ref="A1:H90"/>
  <sheetViews>
    <sheetView tabSelected="1" topLeftCell="A41" workbookViewId="0">
      <selection activeCell="S43" sqref="S43"/>
    </sheetView>
  </sheetViews>
  <sheetFormatPr baseColWidth="10" defaultRowHeight="16" outlineLevelRow="1"/>
  <cols>
    <col min="1" max="1" width="36.6640625" customWidth="1"/>
    <col min="2" max="7" width="15" customWidth="1"/>
    <col min="8" max="8" width="0.83203125" customWidth="1"/>
  </cols>
  <sheetData>
    <row r="1" spans="1:7" ht="19">
      <c r="A1" s="433" t="s">
        <v>6660</v>
      </c>
    </row>
    <row r="3" spans="1:7">
      <c r="A3" s="434" t="s">
        <v>6661</v>
      </c>
    </row>
    <row r="5" spans="1:7" ht="17" thickBot="1">
      <c r="A5" s="444"/>
      <c r="B5" s="445">
        <v>2020</v>
      </c>
      <c r="C5" s="445">
        <v>2021</v>
      </c>
      <c r="D5" s="445">
        <v>2022</v>
      </c>
      <c r="E5" s="445">
        <v>2023</v>
      </c>
      <c r="F5" s="445">
        <v>2024</v>
      </c>
      <c r="G5" s="444" t="s">
        <v>6662</v>
      </c>
    </row>
    <row r="6" spans="1:7">
      <c r="A6" s="446" t="s">
        <v>6663</v>
      </c>
      <c r="B6" s="447">
        <v>3.5999999999999999E-3</v>
      </c>
      <c r="C6" s="447">
        <v>8.0000000000000004E-4</v>
      </c>
      <c r="D6" s="447">
        <v>1.6799999999999999E-2</v>
      </c>
      <c r="E6" s="447">
        <v>5.0299999999999997E-2</v>
      </c>
      <c r="F6" s="447">
        <v>4.58E-2</v>
      </c>
      <c r="G6" s="447">
        <v>3.9800000000000002E-2</v>
      </c>
    </row>
    <row r="7" spans="1:7">
      <c r="A7" s="448" t="s">
        <v>6664</v>
      </c>
      <c r="B7" s="449">
        <v>8.8999999999999999E-3</v>
      </c>
      <c r="C7" s="449">
        <v>1.4500000000000001E-2</v>
      </c>
      <c r="D7" s="449">
        <v>2.9499999999999998E-2</v>
      </c>
      <c r="E7" s="449">
        <v>3.9600000000000003E-2</v>
      </c>
      <c r="F7" s="449">
        <v>4.2500000000000003E-2</v>
      </c>
      <c r="G7" s="449">
        <v>4.2500000000000003E-2</v>
      </c>
    </row>
    <row r="10" spans="1:7">
      <c r="A10" s="434" t="s">
        <v>6665</v>
      </c>
    </row>
    <row r="12" spans="1:7" ht="17" thickBot="1">
      <c r="A12" s="444"/>
      <c r="B12" s="445">
        <v>2020</v>
      </c>
      <c r="C12" s="445">
        <v>2021</v>
      </c>
      <c r="D12" s="445">
        <v>2022</v>
      </c>
      <c r="E12" s="445">
        <v>2023</v>
      </c>
      <c r="F12" s="445">
        <v>2024</v>
      </c>
      <c r="G12" s="444" t="s">
        <v>6666</v>
      </c>
    </row>
    <row r="13" spans="1:7">
      <c r="A13" s="446" t="s">
        <v>6667</v>
      </c>
      <c r="B13" s="450">
        <v>1429908</v>
      </c>
      <c r="C13" s="450">
        <v>1458500</v>
      </c>
      <c r="D13" s="450">
        <v>1481321</v>
      </c>
      <c r="E13" s="450">
        <v>1492951</v>
      </c>
      <c r="F13" s="450">
        <v>1511568</v>
      </c>
      <c r="G13" s="450">
        <v>1536045</v>
      </c>
    </row>
    <row r="14" spans="1:7">
      <c r="A14" s="451" t="s">
        <v>6668</v>
      </c>
      <c r="B14" s="452">
        <v>470856</v>
      </c>
      <c r="C14" s="452">
        <v>473500</v>
      </c>
      <c r="D14" s="452">
        <v>476200</v>
      </c>
      <c r="E14" s="452">
        <v>478800</v>
      </c>
      <c r="F14" s="452">
        <v>481470</v>
      </c>
      <c r="G14" s="452">
        <v>484200</v>
      </c>
    </row>
    <row r="15" spans="1:7">
      <c r="A15" s="451" t="s">
        <v>3239</v>
      </c>
      <c r="B15" s="452">
        <v>388656</v>
      </c>
      <c r="C15" s="452">
        <v>406540</v>
      </c>
      <c r="D15" s="452">
        <v>424946</v>
      </c>
      <c r="E15" s="452">
        <v>439225</v>
      </c>
      <c r="F15" s="452">
        <v>451231</v>
      </c>
      <c r="G15" s="452">
        <v>484915</v>
      </c>
    </row>
    <row r="16" spans="1:7" ht="17" thickBot="1">
      <c r="A16" s="451" t="s">
        <v>6669</v>
      </c>
      <c r="B16" s="452">
        <v>383956</v>
      </c>
      <c r="C16" s="452">
        <v>393600</v>
      </c>
      <c r="D16" s="452">
        <v>410090</v>
      </c>
      <c r="E16" s="452">
        <v>424462</v>
      </c>
      <c r="F16" s="452">
        <v>432000</v>
      </c>
      <c r="G16" s="452">
        <v>425000</v>
      </c>
    </row>
    <row r="17" spans="1:7">
      <c r="A17" s="453" t="s">
        <v>6670</v>
      </c>
      <c r="B17" s="454">
        <f t="shared" ref="B17:G17" si="0">SUM(B13:B16)</f>
        <v>2673376</v>
      </c>
      <c r="C17" s="454">
        <f t="shared" si="0"/>
        <v>2732140</v>
      </c>
      <c r="D17" s="454">
        <f t="shared" si="0"/>
        <v>2792557</v>
      </c>
      <c r="E17" s="454">
        <f t="shared" si="0"/>
        <v>2835438</v>
      </c>
      <c r="F17" s="454">
        <f t="shared" si="0"/>
        <v>2876269</v>
      </c>
      <c r="G17" s="454">
        <f t="shared" si="0"/>
        <v>2930160</v>
      </c>
    </row>
    <row r="19" spans="1:7">
      <c r="A19" s="439" t="s">
        <v>6678</v>
      </c>
      <c r="C19" s="436">
        <f t="shared" ref="C19:G22" si="1">(C13-B13)/B13</f>
        <v>1.9995692030536229E-2</v>
      </c>
      <c r="D19" s="436">
        <f t="shared" si="1"/>
        <v>1.5646897497428865E-2</v>
      </c>
      <c r="E19" s="436">
        <f t="shared" si="1"/>
        <v>7.8511004704584619E-3</v>
      </c>
      <c r="F19" s="436">
        <f t="shared" si="1"/>
        <v>1.2469933708474022E-2</v>
      </c>
      <c r="G19" s="436">
        <f t="shared" si="1"/>
        <v>1.6193118668826015E-2</v>
      </c>
    </row>
    <row r="20" spans="1:7">
      <c r="A20" s="440" t="s">
        <v>6679</v>
      </c>
      <c r="C20" s="436">
        <f t="shared" si="1"/>
        <v>5.6153048915167274E-3</v>
      </c>
      <c r="D20" s="436">
        <f t="shared" si="1"/>
        <v>5.7022175290390711E-3</v>
      </c>
      <c r="E20" s="436">
        <f t="shared" si="1"/>
        <v>5.4598908021839566E-3</v>
      </c>
      <c r="F20" s="436">
        <f t="shared" si="1"/>
        <v>5.5764411027568921E-3</v>
      </c>
      <c r="G20" s="436">
        <f t="shared" si="1"/>
        <v>5.6701352109165678E-3</v>
      </c>
    </row>
    <row r="21" spans="1:7">
      <c r="A21" s="440" t="s">
        <v>6680</v>
      </c>
      <c r="C21" s="436">
        <f t="shared" si="1"/>
        <v>4.6014984973858628E-2</v>
      </c>
      <c r="D21" s="436">
        <f t="shared" si="1"/>
        <v>4.5274757711418312E-2</v>
      </c>
      <c r="E21" s="436">
        <f t="shared" si="1"/>
        <v>3.3601916478799662E-2</v>
      </c>
      <c r="F21" s="436">
        <f t="shared" si="1"/>
        <v>2.7334509647674882E-2</v>
      </c>
      <c r="G21" s="436">
        <f t="shared" si="1"/>
        <v>7.4649126500617197E-2</v>
      </c>
    </row>
    <row r="22" spans="1:7">
      <c r="A22" s="440" t="s">
        <v>6681</v>
      </c>
      <c r="C22" s="436">
        <f t="shared" si="1"/>
        <v>2.5117461375782642E-2</v>
      </c>
      <c r="D22" s="436">
        <f t="shared" si="1"/>
        <v>4.189532520325203E-2</v>
      </c>
      <c r="E22" s="436">
        <f t="shared" si="1"/>
        <v>3.5045965519763952E-2</v>
      </c>
      <c r="F22" s="436">
        <f t="shared" si="1"/>
        <v>1.775895133133237E-2</v>
      </c>
      <c r="G22" s="436">
        <f t="shared" si="1"/>
        <v>-1.6203703703703703E-2</v>
      </c>
    </row>
    <row r="25" spans="1:7">
      <c r="A25" s="434" t="s">
        <v>6671</v>
      </c>
    </row>
    <row r="27" spans="1:7" ht="17" thickBot="1">
      <c r="A27" s="442"/>
      <c r="B27" s="443">
        <v>2020</v>
      </c>
      <c r="C27" s="443">
        <v>2021</v>
      </c>
      <c r="D27" s="443">
        <v>2022</v>
      </c>
      <c r="E27" s="443">
        <v>2023</v>
      </c>
      <c r="F27" s="443">
        <v>2024</v>
      </c>
      <c r="G27" s="443">
        <v>2025</v>
      </c>
    </row>
    <row r="28" spans="1:7">
      <c r="A28" s="435" t="s">
        <v>6672</v>
      </c>
      <c r="B28" s="437" t="s">
        <v>6673</v>
      </c>
      <c r="C28" s="437" t="s">
        <v>6673</v>
      </c>
      <c r="D28" s="437" t="s">
        <v>6673</v>
      </c>
      <c r="E28" s="437" t="s">
        <v>6673</v>
      </c>
      <c r="F28" s="437" t="s">
        <v>6673</v>
      </c>
      <c r="G28" s="437" t="s">
        <v>6673</v>
      </c>
    </row>
    <row r="29" spans="1:7">
      <c r="A29" s="438" t="s">
        <v>6674</v>
      </c>
    </row>
    <row r="32" spans="1:7">
      <c r="A32" s="434" t="s">
        <v>6675</v>
      </c>
    </row>
    <row r="34" spans="1:7" ht="17" thickBot="1">
      <c r="A34" s="442"/>
      <c r="B34" s="443">
        <v>2020</v>
      </c>
      <c r="C34" s="443">
        <v>2021</v>
      </c>
      <c r="D34" s="443">
        <v>2022</v>
      </c>
      <c r="E34" s="443">
        <v>2023</v>
      </c>
      <c r="F34" s="443">
        <v>2024</v>
      </c>
      <c r="G34" s="443">
        <v>2025</v>
      </c>
    </row>
    <row r="35" spans="1:7">
      <c r="A35" s="435" t="s">
        <v>6676</v>
      </c>
      <c r="B35" s="437" t="s">
        <v>6673</v>
      </c>
      <c r="C35" s="437" t="s">
        <v>6673</v>
      </c>
      <c r="D35" s="437" t="s">
        <v>6673</v>
      </c>
      <c r="E35" s="437" t="s">
        <v>6673</v>
      </c>
      <c r="F35" s="437" t="s">
        <v>6673</v>
      </c>
      <c r="G35" s="437" t="s">
        <v>6673</v>
      </c>
    </row>
    <row r="36" spans="1:7">
      <c r="A36" s="438" t="s">
        <v>6677</v>
      </c>
    </row>
    <row r="38" spans="1:7">
      <c r="A38" s="455" t="s">
        <v>6682</v>
      </c>
    </row>
    <row r="39" spans="1:7">
      <c r="A39" s="456" t="s">
        <v>6683</v>
      </c>
    </row>
    <row r="40" spans="1:7">
      <c r="A40" s="457" t="s">
        <v>6684</v>
      </c>
    </row>
    <row r="41" spans="1:7">
      <c r="A41" s="457" t="s">
        <v>6685</v>
      </c>
    </row>
    <row r="42" spans="1:7">
      <c r="A42" s="441"/>
    </row>
    <row r="43" spans="1:7">
      <c r="A43" s="456" t="s">
        <v>6686</v>
      </c>
    </row>
    <row r="44" spans="1:7">
      <c r="A44" s="457" t="s">
        <v>6687</v>
      </c>
    </row>
    <row r="45" spans="1:7">
      <c r="A45" s="457" t="s">
        <v>6688</v>
      </c>
    </row>
    <row r="46" spans="1:7">
      <c r="A46" s="457" t="s">
        <v>6689</v>
      </c>
    </row>
    <row r="47" spans="1:7">
      <c r="A47" s="456" t="s">
        <v>6716</v>
      </c>
    </row>
    <row r="48" spans="1:7">
      <c r="A48" s="466" t="s">
        <v>6717</v>
      </c>
    </row>
    <row r="49" spans="1:7">
      <c r="A49" s="457"/>
    </row>
    <row r="50" spans="1:7">
      <c r="A50" s="456" t="s">
        <v>6690</v>
      </c>
    </row>
    <row r="51" spans="1:7">
      <c r="A51" s="466" t="s">
        <v>6691</v>
      </c>
    </row>
    <row r="52" spans="1:7">
      <c r="A52" s="457"/>
    </row>
    <row r="53" spans="1:7">
      <c r="A53" s="456" t="s">
        <v>6692</v>
      </c>
    </row>
    <row r="54" spans="1:7">
      <c r="A54" s="467" t="s">
        <v>6718</v>
      </c>
    </row>
    <row r="55" spans="1:7">
      <c r="A55" s="458"/>
    </row>
    <row r="56" spans="1:7" hidden="1" outlineLevel="1">
      <c r="A56" s="459" t="s">
        <v>6693</v>
      </c>
      <c r="B56" s="460">
        <f>C12</f>
        <v>2021</v>
      </c>
      <c r="C56" s="460">
        <f>D12</f>
        <v>2022</v>
      </c>
      <c r="D56" s="460">
        <f>E12</f>
        <v>2023</v>
      </c>
      <c r="E56" s="460">
        <f>F12</f>
        <v>2024</v>
      </c>
      <c r="F56" t="str">
        <f>G12</f>
        <v>2025 Est.</v>
      </c>
    </row>
    <row r="57" spans="1:7" hidden="1" outlineLevel="1">
      <c r="A57" t="s">
        <v>6667</v>
      </c>
      <c r="B57" s="461">
        <f t="shared" ref="B57:F60" si="2">C19</f>
        <v>1.9995692030536229E-2</v>
      </c>
      <c r="C57" s="461">
        <f t="shared" si="2"/>
        <v>1.5646897497428865E-2</v>
      </c>
      <c r="D57" s="461">
        <f t="shared" si="2"/>
        <v>7.8511004704584619E-3</v>
      </c>
      <c r="E57" s="461">
        <f t="shared" si="2"/>
        <v>1.2469933708474022E-2</v>
      </c>
      <c r="F57" s="461">
        <f t="shared" si="2"/>
        <v>1.6193118668826015E-2</v>
      </c>
    </row>
    <row r="58" spans="1:7" hidden="1" outlineLevel="1">
      <c r="A58" t="s">
        <v>6668</v>
      </c>
      <c r="B58" s="461">
        <f t="shared" si="2"/>
        <v>5.6153048915167274E-3</v>
      </c>
      <c r="C58" s="461">
        <f t="shared" si="2"/>
        <v>5.7022175290390711E-3</v>
      </c>
      <c r="D58" s="461">
        <f t="shared" si="2"/>
        <v>5.4598908021839566E-3</v>
      </c>
      <c r="E58" s="461">
        <f t="shared" si="2"/>
        <v>5.5764411027568921E-3</v>
      </c>
      <c r="F58" s="461">
        <f t="shared" si="2"/>
        <v>5.6701352109165678E-3</v>
      </c>
    </row>
    <row r="59" spans="1:7" hidden="1" outlineLevel="1">
      <c r="A59" t="s">
        <v>3239</v>
      </c>
      <c r="B59" s="461">
        <f t="shared" si="2"/>
        <v>4.6014984973858628E-2</v>
      </c>
      <c r="C59" s="461">
        <f t="shared" si="2"/>
        <v>4.5274757711418312E-2</v>
      </c>
      <c r="D59" s="461">
        <f t="shared" si="2"/>
        <v>3.3601916478799662E-2</v>
      </c>
      <c r="E59" s="461">
        <f t="shared" si="2"/>
        <v>2.7334509647674882E-2</v>
      </c>
      <c r="F59" s="461">
        <f t="shared" si="2"/>
        <v>7.4649126500617197E-2</v>
      </c>
    </row>
    <row r="60" spans="1:7" hidden="1" outlineLevel="1">
      <c r="A60" t="s">
        <v>6669</v>
      </c>
      <c r="B60" s="461">
        <f t="shared" si="2"/>
        <v>2.5117461375782642E-2</v>
      </c>
      <c r="C60" s="461">
        <f t="shared" si="2"/>
        <v>4.189532520325203E-2</v>
      </c>
      <c r="D60" s="461">
        <f t="shared" si="2"/>
        <v>3.5045965519763952E-2</v>
      </c>
      <c r="E60" s="461">
        <f t="shared" si="2"/>
        <v>1.775895133133237E-2</v>
      </c>
      <c r="F60" s="461">
        <f t="shared" si="2"/>
        <v>-1.6203703703703703E-2</v>
      </c>
    </row>
    <row r="61" spans="1:7" hidden="1" outlineLevel="1"/>
    <row r="62" spans="1:7" hidden="1" outlineLevel="1">
      <c r="A62" t="s">
        <v>2</v>
      </c>
      <c r="B62" s="460">
        <f t="shared" ref="B62:G67" si="3">B12</f>
        <v>2020</v>
      </c>
      <c r="C62" s="460">
        <f t="shared" si="3"/>
        <v>2021</v>
      </c>
      <c r="D62" s="460">
        <f t="shared" si="3"/>
        <v>2022</v>
      </c>
      <c r="E62" s="460">
        <f t="shared" si="3"/>
        <v>2023</v>
      </c>
      <c r="F62" s="460">
        <f t="shared" si="3"/>
        <v>2024</v>
      </c>
      <c r="G62" t="str">
        <f t="shared" si="3"/>
        <v>2025 Est.</v>
      </c>
    </row>
    <row r="63" spans="1:7" hidden="1" outlineLevel="1">
      <c r="A63" t="s">
        <v>6667</v>
      </c>
      <c r="B63" s="302">
        <f t="shared" si="3"/>
        <v>1429908</v>
      </c>
      <c r="C63" s="302">
        <f t="shared" si="3"/>
        <v>1458500</v>
      </c>
      <c r="D63" s="302">
        <f t="shared" si="3"/>
        <v>1481321</v>
      </c>
      <c r="E63" s="302">
        <f t="shared" si="3"/>
        <v>1492951</v>
      </c>
      <c r="F63" s="302">
        <f t="shared" si="3"/>
        <v>1511568</v>
      </c>
      <c r="G63" s="302">
        <f t="shared" si="3"/>
        <v>1536045</v>
      </c>
    </row>
    <row r="64" spans="1:7" hidden="1" outlineLevel="1">
      <c r="A64" t="s">
        <v>6668</v>
      </c>
      <c r="B64" s="302">
        <f t="shared" si="3"/>
        <v>470856</v>
      </c>
      <c r="C64" s="302">
        <f t="shared" si="3"/>
        <v>473500</v>
      </c>
      <c r="D64" s="302">
        <f t="shared" si="3"/>
        <v>476200</v>
      </c>
      <c r="E64" s="302">
        <f t="shared" si="3"/>
        <v>478800</v>
      </c>
      <c r="F64" s="302">
        <f t="shared" si="3"/>
        <v>481470</v>
      </c>
      <c r="G64" s="302">
        <f t="shared" si="3"/>
        <v>484200</v>
      </c>
    </row>
    <row r="65" spans="1:8" hidden="1" outlineLevel="1">
      <c r="A65" t="s">
        <v>3239</v>
      </c>
      <c r="B65" s="302">
        <f t="shared" si="3"/>
        <v>388656</v>
      </c>
      <c r="C65" s="302">
        <f t="shared" si="3"/>
        <v>406540</v>
      </c>
      <c r="D65" s="302">
        <f t="shared" si="3"/>
        <v>424946</v>
      </c>
      <c r="E65" s="302">
        <f t="shared" si="3"/>
        <v>439225</v>
      </c>
      <c r="F65" s="302">
        <f t="shared" si="3"/>
        <v>451231</v>
      </c>
      <c r="G65" s="302">
        <f t="shared" si="3"/>
        <v>484915</v>
      </c>
    </row>
    <row r="66" spans="1:8" hidden="1" outlineLevel="1">
      <c r="A66" t="s">
        <v>6669</v>
      </c>
      <c r="B66" s="302">
        <f t="shared" si="3"/>
        <v>383956</v>
      </c>
      <c r="C66" s="302">
        <f t="shared" si="3"/>
        <v>393600</v>
      </c>
      <c r="D66" s="302">
        <f t="shared" si="3"/>
        <v>410090</v>
      </c>
      <c r="E66" s="302">
        <f t="shared" si="3"/>
        <v>424462</v>
      </c>
      <c r="F66" s="302">
        <f t="shared" si="3"/>
        <v>432000</v>
      </c>
      <c r="G66" s="302">
        <f t="shared" si="3"/>
        <v>425000</v>
      </c>
    </row>
    <row r="67" spans="1:8" hidden="1" outlineLevel="1">
      <c r="A67" t="s">
        <v>6670</v>
      </c>
      <c r="B67" s="302">
        <f t="shared" si="3"/>
        <v>2673376</v>
      </c>
      <c r="C67" s="302">
        <f t="shared" si="3"/>
        <v>2732140</v>
      </c>
      <c r="D67" s="302">
        <f t="shared" si="3"/>
        <v>2792557</v>
      </c>
      <c r="E67" s="302">
        <f t="shared" si="3"/>
        <v>2835438</v>
      </c>
      <c r="F67" s="302">
        <f t="shared" si="3"/>
        <v>2876269</v>
      </c>
      <c r="G67" s="302">
        <f t="shared" si="3"/>
        <v>2930160</v>
      </c>
    </row>
    <row r="68" spans="1:8" collapsed="1"/>
    <row r="69" spans="1:8">
      <c r="A69" s="455" t="s">
        <v>6694</v>
      </c>
    </row>
    <row r="70" spans="1:8">
      <c r="A70" s="462" t="s">
        <v>6705</v>
      </c>
    </row>
    <row r="71" spans="1:8" ht="17" thickBot="1">
      <c r="A71" s="468" t="s">
        <v>6695</v>
      </c>
      <c r="B71" s="469">
        <v>2020</v>
      </c>
      <c r="C71" s="469">
        <v>2021</v>
      </c>
      <c r="D71" s="469">
        <v>2022</v>
      </c>
      <c r="E71" s="469">
        <v>2023</v>
      </c>
      <c r="F71" s="469">
        <v>2024</v>
      </c>
      <c r="G71" s="470" t="s">
        <v>6696</v>
      </c>
    </row>
    <row r="72" spans="1:8">
      <c r="A72" s="477" t="s">
        <v>6697</v>
      </c>
      <c r="B72" s="478">
        <v>2680.5929999999998</v>
      </c>
      <c r="C72" s="478">
        <v>2699.3130000000001</v>
      </c>
      <c r="D72" s="478">
        <v>2783.7669999999998</v>
      </c>
      <c r="E72" s="478">
        <v>2864.5439999999999</v>
      </c>
      <c r="F72" s="478">
        <v>2940.5129999999999</v>
      </c>
      <c r="G72" s="479">
        <f t="shared" ref="G72:G79" si="4">F72/B72-1</f>
        <v>9.6963619617002728E-2</v>
      </c>
      <c r="H72" s="465" t="s">
        <v>6708</v>
      </c>
    </row>
    <row r="73" spans="1:8">
      <c r="A73" s="471" t="s">
        <v>6698</v>
      </c>
      <c r="B73" s="472">
        <v>7667.5940000000001</v>
      </c>
      <c r="C73" s="472">
        <v>7776.6109999999999</v>
      </c>
      <c r="D73" s="472">
        <v>7973.6030000000001</v>
      </c>
      <c r="E73" s="472">
        <v>8166.11</v>
      </c>
      <c r="F73" s="472">
        <v>8344.0319999999992</v>
      </c>
      <c r="G73" s="473">
        <f t="shared" si="4"/>
        <v>8.8220372648838641E-2</v>
      </c>
      <c r="H73" s="465" t="s">
        <v>6709</v>
      </c>
    </row>
    <row r="74" spans="1:8">
      <c r="A74" s="471" t="s">
        <v>6699</v>
      </c>
      <c r="B74" s="472">
        <v>2668.3009999999999</v>
      </c>
      <c r="C74" s="472">
        <v>2706.0929999999998</v>
      </c>
      <c r="D74" s="472">
        <v>2758.7489999999998</v>
      </c>
      <c r="E74" s="472">
        <v>2818.2710000000002</v>
      </c>
      <c r="F74" s="472">
        <v>2884.7080000000001</v>
      </c>
      <c r="G74" s="473">
        <f t="shared" si="4"/>
        <v>8.1102919048488209E-2</v>
      </c>
      <c r="H74" s="465" t="s">
        <v>6710</v>
      </c>
    </row>
    <row r="75" spans="1:8">
      <c r="A75" s="471" t="s">
        <v>6700</v>
      </c>
      <c r="B75" s="472">
        <v>2568.9349999999999</v>
      </c>
      <c r="C75" s="472">
        <v>2605.7829999999999</v>
      </c>
      <c r="D75" s="472">
        <v>2660.2280000000001</v>
      </c>
      <c r="E75" s="472">
        <v>2715.7089999999998</v>
      </c>
      <c r="F75" s="472">
        <v>2763.0059999999999</v>
      </c>
      <c r="G75" s="473">
        <f t="shared" si="4"/>
        <v>7.5545313524865376E-2</v>
      </c>
      <c r="H75" s="465" t="s">
        <v>6711</v>
      </c>
    </row>
    <row r="76" spans="1:8">
      <c r="A76" s="471" t="s">
        <v>6701</v>
      </c>
      <c r="B76" s="472">
        <v>3187.97</v>
      </c>
      <c r="C76" s="472">
        <v>3230.5639999999999</v>
      </c>
      <c r="D76" s="472">
        <v>3306.2849999999999</v>
      </c>
      <c r="E76" s="472">
        <v>3374.078</v>
      </c>
      <c r="F76" s="472">
        <v>3424.56</v>
      </c>
      <c r="G76" s="473">
        <f t="shared" si="4"/>
        <v>7.4213370891194064E-2</v>
      </c>
      <c r="H76" s="465" t="s">
        <v>6712</v>
      </c>
    </row>
    <row r="77" spans="1:8">
      <c r="A77" s="471" t="s">
        <v>6702</v>
      </c>
      <c r="B77" s="472">
        <v>2021.825</v>
      </c>
      <c r="C77" s="472">
        <v>2033.6849999999999</v>
      </c>
      <c r="D77" s="472">
        <v>2077.922</v>
      </c>
      <c r="E77" s="472">
        <v>2113.9859999999999</v>
      </c>
      <c r="F77" s="472">
        <v>2150.5529999999999</v>
      </c>
      <c r="G77" s="473">
        <f t="shared" si="4"/>
        <v>6.3669209748618227E-2</v>
      </c>
      <c r="H77" s="465" t="s">
        <v>6713</v>
      </c>
    </row>
    <row r="78" spans="1:8">
      <c r="A78" s="471" t="s">
        <v>6703</v>
      </c>
      <c r="B78" s="472">
        <v>4875.6279999999997</v>
      </c>
      <c r="C78" s="472">
        <v>4949.2330000000002</v>
      </c>
      <c r="D78" s="472">
        <v>5029.933</v>
      </c>
      <c r="E78" s="472">
        <v>5102.0200000000004</v>
      </c>
      <c r="F78" s="472">
        <v>5186.9579999999996</v>
      </c>
      <c r="G78" s="473">
        <f t="shared" si="4"/>
        <v>6.3854338353951601E-2</v>
      </c>
      <c r="H78" s="465" t="s">
        <v>6714</v>
      </c>
    </row>
    <row r="79" spans="1:8" ht="17" thickBot="1">
      <c r="A79" s="474" t="s">
        <v>6704</v>
      </c>
      <c r="B79" s="475">
        <v>6133.5020000000004</v>
      </c>
      <c r="C79" s="475">
        <v>6109.2569999999996</v>
      </c>
      <c r="D79" s="475">
        <v>6211.1940000000004</v>
      </c>
      <c r="E79" s="475">
        <v>6334.5169999999998</v>
      </c>
      <c r="F79" s="475">
        <v>6457.9880000000003</v>
      </c>
      <c r="G79" s="476">
        <f t="shared" si="4"/>
        <v>5.2903871230497668E-2</v>
      </c>
      <c r="H79" s="465" t="s">
        <v>6715</v>
      </c>
    </row>
    <row r="81" spans="1:2" hidden="1" outlineLevel="1">
      <c r="A81" s="463" t="s">
        <v>6706</v>
      </c>
      <c r="B81" s="463" t="s">
        <v>6707</v>
      </c>
    </row>
    <row r="82" spans="1:2" hidden="1" outlineLevel="1">
      <c r="A82" s="458" t="s">
        <v>6708</v>
      </c>
      <c r="B82" s="464">
        <f t="shared" ref="B82:B89" si="5">G72</f>
        <v>9.6963619617002728E-2</v>
      </c>
    </row>
    <row r="83" spans="1:2" hidden="1" outlineLevel="1">
      <c r="A83" s="458" t="s">
        <v>6709</v>
      </c>
      <c r="B83" s="464">
        <f t="shared" si="5"/>
        <v>8.8220372648838641E-2</v>
      </c>
    </row>
    <row r="84" spans="1:2" hidden="1" outlineLevel="1">
      <c r="A84" s="458" t="s">
        <v>6710</v>
      </c>
      <c r="B84" s="464">
        <f t="shared" si="5"/>
        <v>8.1102919048488209E-2</v>
      </c>
    </row>
    <row r="85" spans="1:2" hidden="1" outlineLevel="1">
      <c r="A85" s="458" t="s">
        <v>6711</v>
      </c>
      <c r="B85" s="464">
        <f t="shared" si="5"/>
        <v>7.5545313524865376E-2</v>
      </c>
    </row>
    <row r="86" spans="1:2" hidden="1" outlineLevel="1">
      <c r="A86" s="458" t="s">
        <v>6712</v>
      </c>
      <c r="B86" s="464">
        <f t="shared" si="5"/>
        <v>7.4213370891194064E-2</v>
      </c>
    </row>
    <row r="87" spans="1:2" hidden="1" outlineLevel="1">
      <c r="A87" s="458" t="s">
        <v>6713</v>
      </c>
      <c r="B87" s="464">
        <f t="shared" si="5"/>
        <v>6.3669209748618227E-2</v>
      </c>
    </row>
    <row r="88" spans="1:2" hidden="1" outlineLevel="1">
      <c r="A88" s="458" t="s">
        <v>6714</v>
      </c>
      <c r="B88" s="464">
        <f t="shared" si="5"/>
        <v>6.3854338353951601E-2</v>
      </c>
    </row>
    <row r="89" spans="1:2" hidden="1" outlineLevel="1">
      <c r="A89" s="458" t="s">
        <v>6715</v>
      </c>
      <c r="B89" s="464">
        <f t="shared" si="5"/>
        <v>5.2903871230497668E-2</v>
      </c>
    </row>
    <row r="90" spans="1:2" collapsed="1"/>
  </sheetData>
  <pageMargins left="0.7" right="0.7" top="0.75" bottom="0.75" header="0.3" footer="0.3"/>
  <pageSetup orientation="portrait" horizontalDpi="0" verticalDpi="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6AD3-6E8C-AB45-9BC8-500BCA96B999}">
  <dimension ref="A1:BD173"/>
  <sheetViews>
    <sheetView showGridLines="0" topLeftCell="A3" zoomScale="57" zoomScaleNormal="75" workbookViewId="0">
      <selection activeCell="Q27" sqref="Q27"/>
    </sheetView>
  </sheetViews>
  <sheetFormatPr baseColWidth="10" defaultRowHeight="16" outlineLevelCol="2"/>
  <cols>
    <col min="1" max="1" width="8.83203125" customWidth="1"/>
    <col min="2" max="2" width="6.1640625" customWidth="1"/>
    <col min="3" max="3" width="12.33203125" customWidth="1"/>
    <col min="4" max="4" width="17.33203125" customWidth="1"/>
    <col min="5" max="5" width="9" customWidth="1"/>
    <col min="6" max="6" width="11.33203125" customWidth="1"/>
    <col min="7" max="7" width="9.5" customWidth="1"/>
    <col min="8" max="8" width="34.83203125" customWidth="1"/>
    <col min="9" max="9" width="3.33203125" customWidth="1"/>
    <col min="10" max="10" width="42.33203125" customWidth="1"/>
    <col min="11" max="11" width="10.83203125" customWidth="1"/>
    <col min="12" max="12" width="40.83203125" customWidth="1"/>
    <col min="14" max="14" width="40.33203125" customWidth="1"/>
    <col min="15" max="15" width="12.1640625" customWidth="1"/>
    <col min="16" max="16" width="54" customWidth="1"/>
    <col min="17" max="17" width="12.5" bestFit="1" customWidth="1"/>
    <col min="18" max="18" width="18.1640625" customWidth="1"/>
    <col min="19" max="19" width="16.83203125" customWidth="1"/>
    <col min="20" max="20" width="14.6640625" bestFit="1" customWidth="1"/>
    <col min="21" max="21" width="20" customWidth="1"/>
    <col min="22" max="22" width="23.33203125" bestFit="1" customWidth="1"/>
    <col min="23" max="23" width="43.33203125" customWidth="1"/>
    <col min="24" max="24" width="13" hidden="1" customWidth="1"/>
    <col min="25" max="25" width="7" hidden="1" customWidth="1"/>
    <col min="26" max="26" width="12.1640625" hidden="1" customWidth="1"/>
    <col min="27" max="27" width="0" hidden="1" customWidth="1"/>
    <col min="28" max="28" width="13" hidden="1" customWidth="1"/>
    <col min="29" max="29" width="7" hidden="1" customWidth="1"/>
    <col min="30" max="30" width="12.1640625" hidden="1" customWidth="1"/>
    <col min="31" max="31" width="0" hidden="1" customWidth="1"/>
    <col min="32" max="32" width="13" hidden="1" customWidth="1"/>
    <col min="33" max="33" width="7" hidden="1" customWidth="1"/>
    <col min="34" max="34" width="12.1640625" hidden="1" customWidth="1"/>
    <col min="35" max="35" width="0" hidden="1" customWidth="1"/>
    <col min="36" max="36" width="13" hidden="1" customWidth="1"/>
    <col min="37" max="37" width="7" hidden="1" customWidth="1"/>
    <col min="38" max="38" width="12.1640625" hidden="1" customWidth="1"/>
    <col min="39" max="39" width="10.83203125" hidden="1" customWidth="1"/>
    <col min="40" max="40" width="10.83203125" hidden="1" customWidth="1" outlineLevel="2"/>
    <col min="41" max="43" width="0" hidden="1" customWidth="1" outlineLevel="2"/>
    <col min="44" max="44" width="0" hidden="1" customWidth="1" outlineLevel="2" collapsed="1"/>
    <col min="45" max="46" width="0" hidden="1" customWidth="1" outlineLevel="2"/>
    <col min="47" max="47" width="10.33203125" hidden="1" customWidth="1" outlineLevel="2"/>
    <col min="48" max="48" width="14.83203125" hidden="1" customWidth="1" outlineLevel="2"/>
    <col min="49" max="49" width="0" hidden="1" customWidth="1" outlineLevel="2"/>
    <col min="50" max="50" width="18.5" hidden="1" customWidth="1" outlineLevel="2"/>
    <col min="51" max="51" width="17.5" hidden="1" customWidth="1" outlineLevel="2"/>
    <col min="52" max="52" width="13.6640625" hidden="1" customWidth="1" outlineLevel="2"/>
    <col min="53" max="53" width="10.33203125" hidden="1" customWidth="1" outlineLevel="2"/>
    <col min="54" max="54" width="14.83203125" hidden="1" customWidth="1" outlineLevel="2"/>
    <col min="55" max="55" width="13.6640625" hidden="1" customWidth="1" outlineLevel="2"/>
    <col min="56" max="56" width="10.83203125" collapsed="1"/>
  </cols>
  <sheetData>
    <row r="1" spans="1:55" ht="107" customHeight="1">
      <c r="A1" s="379"/>
      <c r="B1" s="398" t="s">
        <v>6636</v>
      </c>
      <c r="C1" s="391"/>
      <c r="D1" s="391"/>
      <c r="E1" s="391"/>
      <c r="F1" s="391"/>
      <c r="G1" s="391"/>
      <c r="H1" s="391"/>
      <c r="I1" s="391"/>
      <c r="J1" s="391"/>
      <c r="K1" s="391"/>
      <c r="L1" s="391"/>
      <c r="M1" s="391"/>
      <c r="N1" s="391"/>
      <c r="O1" s="391"/>
      <c r="P1" s="391"/>
      <c r="Q1" s="391"/>
      <c r="R1" s="380"/>
      <c r="S1" s="380"/>
      <c r="T1" s="380"/>
      <c r="U1" s="380"/>
      <c r="V1" s="379"/>
      <c r="W1" s="379"/>
      <c r="AA1" s="379"/>
      <c r="AB1" s="379"/>
      <c r="AC1" s="379"/>
      <c r="AD1" s="379"/>
      <c r="AE1" s="379"/>
      <c r="AF1" t="s">
        <v>6224</v>
      </c>
      <c r="AG1" t="s">
        <v>6631</v>
      </c>
      <c r="AI1" s="379"/>
      <c r="AJ1" t="s">
        <v>13</v>
      </c>
      <c r="AK1" t="s">
        <v>6631</v>
      </c>
      <c r="AM1" s="379"/>
      <c r="AN1" t="s">
        <v>6224</v>
      </c>
      <c r="AO1" t="s">
        <v>6631</v>
      </c>
      <c r="AR1" t="s">
        <v>6224</v>
      </c>
      <c r="AS1" t="s">
        <v>6631</v>
      </c>
      <c r="AX1" t="s">
        <v>6224</v>
      </c>
      <c r="AY1" t="s">
        <v>6631</v>
      </c>
    </row>
    <row r="2" spans="1:55" ht="31" customHeight="1">
      <c r="A2" s="379"/>
      <c r="B2" s="399" t="s">
        <v>6638</v>
      </c>
      <c r="C2" s="389"/>
      <c r="D2" s="389"/>
      <c r="E2" s="389"/>
      <c r="F2" s="389"/>
      <c r="G2" s="389"/>
      <c r="H2" s="389"/>
      <c r="I2" s="389"/>
      <c r="J2" s="389"/>
      <c r="K2" s="389"/>
      <c r="L2" s="389"/>
      <c r="M2" s="389"/>
      <c r="N2" s="389"/>
      <c r="O2" s="389"/>
      <c r="P2" s="389"/>
      <c r="Q2" s="389"/>
      <c r="R2" s="389"/>
      <c r="S2" s="389"/>
      <c r="T2" s="389"/>
      <c r="U2" s="389"/>
      <c r="V2" s="379"/>
      <c r="W2" s="379"/>
      <c r="X2" t="s">
        <v>6224</v>
      </c>
      <c r="Y2" t="s">
        <v>6631</v>
      </c>
      <c r="AA2" s="379"/>
      <c r="AB2" s="379"/>
      <c r="AC2" s="379"/>
      <c r="AD2" s="379"/>
      <c r="AE2" s="379"/>
      <c r="AF2" t="s">
        <v>2</v>
      </c>
      <c r="AG2" t="s">
        <v>6631</v>
      </c>
      <c r="AI2" s="379"/>
      <c r="AJ2" t="s">
        <v>2</v>
      </c>
      <c r="AK2" t="s">
        <v>6631</v>
      </c>
      <c r="AM2" s="379"/>
      <c r="AN2" t="s">
        <v>13</v>
      </c>
      <c r="AO2" t="s">
        <v>6631</v>
      </c>
      <c r="AR2" t="s">
        <v>13</v>
      </c>
      <c r="AS2" t="s">
        <v>6631</v>
      </c>
      <c r="AX2" t="s">
        <v>2</v>
      </c>
      <c r="AY2" t="s">
        <v>6631</v>
      </c>
    </row>
    <row r="3" spans="1:55" ht="25" customHeight="1">
      <c r="A3" s="379"/>
      <c r="B3" s="379"/>
      <c r="C3" s="388"/>
      <c r="D3" s="379"/>
      <c r="E3" s="379"/>
      <c r="F3" s="379"/>
      <c r="G3" s="379"/>
      <c r="H3" s="379"/>
      <c r="I3" s="379"/>
      <c r="J3" s="379"/>
      <c r="K3" s="379"/>
      <c r="L3" s="379"/>
      <c r="M3" s="379"/>
      <c r="N3" s="379"/>
      <c r="O3" s="379"/>
      <c r="P3" s="379"/>
      <c r="Q3" s="379"/>
      <c r="R3" s="379"/>
      <c r="S3" s="379"/>
      <c r="T3" s="379"/>
      <c r="U3" s="379"/>
      <c r="V3" s="379"/>
      <c r="W3" s="379"/>
      <c r="X3" t="s">
        <v>13</v>
      </c>
      <c r="Y3" t="s">
        <v>6631</v>
      </c>
      <c r="AA3" s="379"/>
      <c r="AB3" s="379"/>
      <c r="AC3" s="379"/>
      <c r="AD3" s="379"/>
      <c r="AE3" s="379"/>
      <c r="AF3" t="s">
        <v>6233</v>
      </c>
      <c r="AG3" t="s">
        <v>6631</v>
      </c>
      <c r="AI3" s="379"/>
      <c r="AJ3" t="s">
        <v>6233</v>
      </c>
      <c r="AK3" t="s">
        <v>6631</v>
      </c>
      <c r="AM3" s="379"/>
      <c r="AN3" t="s">
        <v>6233</v>
      </c>
      <c r="AO3" t="s">
        <v>6631</v>
      </c>
      <c r="AR3" t="s">
        <v>6233</v>
      </c>
      <c r="AS3" t="s">
        <v>6631</v>
      </c>
      <c r="AX3" t="s">
        <v>6233</v>
      </c>
      <c r="AY3" t="s">
        <v>6631</v>
      </c>
    </row>
    <row r="4" spans="1:55" ht="28" customHeight="1">
      <c r="A4" s="379"/>
      <c r="B4" s="379"/>
      <c r="C4" s="379"/>
      <c r="D4" s="379"/>
      <c r="E4" s="379"/>
      <c r="F4" s="379"/>
      <c r="G4" s="379"/>
      <c r="H4" s="379"/>
      <c r="I4" s="379"/>
      <c r="J4" s="379"/>
      <c r="K4" s="379"/>
      <c r="L4" s="379"/>
      <c r="M4" s="379"/>
      <c r="N4" s="379"/>
      <c r="O4" s="379"/>
      <c r="P4" s="379"/>
      <c r="Q4" s="379"/>
      <c r="R4" s="379"/>
      <c r="S4" s="379"/>
      <c r="T4" s="379"/>
      <c r="U4" s="379"/>
      <c r="V4" s="379"/>
      <c r="W4" s="379"/>
      <c r="X4" t="s">
        <v>6233</v>
      </c>
      <c r="Y4" t="s">
        <v>6631</v>
      </c>
      <c r="AA4" s="379"/>
      <c r="AB4" s="379"/>
      <c r="AC4" s="379"/>
      <c r="AD4" s="379"/>
      <c r="AE4" s="379"/>
      <c r="AF4" t="s">
        <v>6199</v>
      </c>
      <c r="AG4" t="s">
        <v>6631</v>
      </c>
      <c r="AI4" s="379"/>
      <c r="AJ4" t="s">
        <v>6199</v>
      </c>
      <c r="AK4" t="s">
        <v>6631</v>
      </c>
      <c r="AM4" s="379"/>
      <c r="AN4" t="s">
        <v>6199</v>
      </c>
      <c r="AO4" t="s">
        <v>6631</v>
      </c>
      <c r="AR4" t="s">
        <v>6199</v>
      </c>
      <c r="AS4" t="s">
        <v>6631</v>
      </c>
      <c r="AX4" t="s">
        <v>6199</v>
      </c>
      <c r="AY4" t="s">
        <v>6631</v>
      </c>
    </row>
    <row r="5" spans="1:55" ht="41" customHeight="1">
      <c r="A5" s="379"/>
      <c r="B5" s="379"/>
      <c r="C5" s="379"/>
      <c r="D5" s="379"/>
      <c r="E5" s="379"/>
      <c r="F5" s="379"/>
      <c r="G5" s="381"/>
      <c r="H5" s="381"/>
      <c r="I5" s="381"/>
      <c r="J5" s="381"/>
      <c r="K5" s="382"/>
      <c r="L5" s="421" t="s">
        <v>6647</v>
      </c>
      <c r="M5" s="382"/>
      <c r="N5" s="421" t="s">
        <v>6635</v>
      </c>
      <c r="O5" s="381"/>
      <c r="P5" s="381"/>
      <c r="Q5" s="381"/>
      <c r="R5" s="381"/>
      <c r="S5" s="381"/>
      <c r="T5" s="381"/>
      <c r="U5" s="381"/>
      <c r="V5" s="381"/>
      <c r="W5" s="381"/>
      <c r="X5" t="s">
        <v>6199</v>
      </c>
      <c r="Y5" t="s">
        <v>6631</v>
      </c>
      <c r="AA5" s="381"/>
      <c r="AB5" s="381"/>
      <c r="AC5" s="381"/>
      <c r="AD5" s="381"/>
      <c r="AE5" s="381"/>
      <c r="AF5" t="s">
        <v>6320</v>
      </c>
      <c r="AG5" t="s">
        <v>6654</v>
      </c>
      <c r="AI5" s="381"/>
      <c r="AJ5" t="s">
        <v>6320</v>
      </c>
      <c r="AK5" t="s">
        <v>6654</v>
      </c>
      <c r="AM5" s="381"/>
      <c r="AN5" t="s">
        <v>2</v>
      </c>
      <c r="AO5" t="s">
        <v>6631</v>
      </c>
      <c r="AR5" t="s">
        <v>6320</v>
      </c>
      <c r="AS5" t="s">
        <v>6654</v>
      </c>
      <c r="AX5" t="s">
        <v>6320</v>
      </c>
      <c r="AY5" t="s">
        <v>6654</v>
      </c>
    </row>
    <row r="6" spans="1:55" ht="75" customHeight="1">
      <c r="A6" s="379"/>
      <c r="B6" s="379"/>
      <c r="C6" s="379"/>
      <c r="D6" s="379"/>
      <c r="E6" s="379"/>
      <c r="F6" s="379"/>
      <c r="G6" s="381"/>
      <c r="H6" s="431">
        <f>GETPIVOTDATA("Total Sales",X27)</f>
        <v>195</v>
      </c>
      <c r="I6" s="386"/>
      <c r="J6" s="432">
        <f>GETPIVOTDATA("Total Volume",X27)</f>
        <v>497397799</v>
      </c>
      <c r="K6" s="384"/>
      <c r="L6" s="429">
        <f>GETPIVOTDATA("Avg $/SF",AB27)</f>
        <v>303.31751258159119</v>
      </c>
      <c r="M6" s="383"/>
      <c r="N6" s="430">
        <f>GETPIVOTDATA("Avg Price",AB27)</f>
        <v>2550757.9435897437</v>
      </c>
      <c r="O6" s="381"/>
      <c r="P6" s="412" t="s">
        <v>6645</v>
      </c>
      <c r="Q6" s="379"/>
      <c r="R6" s="379"/>
      <c r="S6" s="379"/>
      <c r="T6" s="379"/>
      <c r="U6" s="379"/>
      <c r="V6" s="379"/>
      <c r="W6" s="381"/>
      <c r="X6" t="s">
        <v>6320</v>
      </c>
      <c r="Y6" t="s">
        <v>6654</v>
      </c>
      <c r="AA6" s="381"/>
      <c r="AB6" s="381"/>
      <c r="AC6" s="381"/>
      <c r="AD6" s="381"/>
      <c r="AE6" s="381"/>
      <c r="AI6" s="381"/>
      <c r="AM6" s="381"/>
      <c r="AN6" t="s">
        <v>6320</v>
      </c>
      <c r="AO6" t="s">
        <v>6654</v>
      </c>
    </row>
    <row r="7" spans="1:55" ht="38" customHeight="1" thickBot="1">
      <c r="A7" s="379"/>
      <c r="B7" s="379"/>
      <c r="C7" s="379"/>
      <c r="D7" s="379"/>
      <c r="E7" s="379"/>
      <c r="F7" s="379"/>
      <c r="G7" s="381"/>
      <c r="H7" s="422" t="s">
        <v>6633</v>
      </c>
      <c r="I7" s="381"/>
      <c r="J7" s="422" t="s">
        <v>6634</v>
      </c>
      <c r="K7" s="381"/>
      <c r="L7" s="421" t="s">
        <v>6642</v>
      </c>
      <c r="M7" s="382"/>
      <c r="N7" s="421" t="s">
        <v>6648</v>
      </c>
      <c r="O7" s="381"/>
      <c r="P7" s="427" t="s">
        <v>2</v>
      </c>
      <c r="Q7" s="428" t="s">
        <v>6215</v>
      </c>
      <c r="R7" s="428" t="s">
        <v>6219</v>
      </c>
      <c r="S7" s="428" t="s">
        <v>6646</v>
      </c>
      <c r="T7" s="428" t="s">
        <v>6230</v>
      </c>
      <c r="U7" s="428" t="s">
        <v>6231</v>
      </c>
      <c r="V7" s="428" t="s">
        <v>6216</v>
      </c>
      <c r="W7" s="381"/>
      <c r="AF7" t="s">
        <v>6630</v>
      </c>
      <c r="AG7" t="s">
        <v>6215</v>
      </c>
      <c r="AJ7" t="s">
        <v>6630</v>
      </c>
      <c r="AK7" t="s">
        <v>6219</v>
      </c>
      <c r="AL7" t="s">
        <v>6215</v>
      </c>
      <c r="AM7" s="381"/>
      <c r="AR7" t="s">
        <v>2</v>
      </c>
      <c r="AS7" t="s">
        <v>6230</v>
      </c>
      <c r="AT7" t="s">
        <v>6231</v>
      </c>
      <c r="AU7" t="s">
        <v>6646</v>
      </c>
      <c r="AV7" t="s">
        <v>6216</v>
      </c>
      <c r="AX7" t="s">
        <v>13</v>
      </c>
      <c r="AY7" t="s">
        <v>6230</v>
      </c>
      <c r="AZ7" t="s">
        <v>6231</v>
      </c>
      <c r="BA7" t="s">
        <v>6646</v>
      </c>
      <c r="BB7" t="s">
        <v>6216</v>
      </c>
      <c r="BC7" t="s">
        <v>6219</v>
      </c>
    </row>
    <row r="8" spans="1:55" ht="78" customHeight="1" thickTop="1">
      <c r="A8" s="379"/>
      <c r="B8" s="413" t="s">
        <v>6637</v>
      </c>
      <c r="C8" s="379"/>
      <c r="D8" s="379"/>
      <c r="E8" s="379"/>
      <c r="F8" s="379"/>
      <c r="G8" s="381"/>
      <c r="H8" s="381"/>
      <c r="I8" s="381"/>
      <c r="J8" s="381"/>
      <c r="K8" s="382"/>
      <c r="L8" s="429">
        <f>MEDIAN(SalesData[$/SF])</f>
        <v>252.32802643436469</v>
      </c>
      <c r="M8" s="383"/>
      <c r="N8" s="430">
        <f>MEDIAN(SalesData[Price])</f>
        <v>1270100</v>
      </c>
      <c r="O8" s="381"/>
      <c r="P8" s="410" t="s">
        <v>33</v>
      </c>
      <c r="Q8" s="400">
        <f>IFERROR(GETPIVOTDATA("# Sales",$X$7,"County",P8),0)</f>
        <v>68</v>
      </c>
      <c r="R8" s="401">
        <f>IFERROR(GETPIVOTDATA("Avg $/SF",$X$7,"County",P8),0)</f>
        <v>313.96409680320073</v>
      </c>
      <c r="S8" s="403">
        <f>IFERROR(GETPIVOTDATA("Avg Size",$AR$7,"County",P8),0)</f>
        <v>11020.60294117647</v>
      </c>
      <c r="T8" s="402">
        <f>IFERROR(GETPIVOTDATA("Min Price",$AR$7,"County",P8),0)</f>
        <v>344600</v>
      </c>
      <c r="U8" s="404">
        <f>IFERROR(GETPIVOTDATA("Max Price",$AR$7,"County",P8),0)</f>
        <v>15500000</v>
      </c>
      <c r="V8" s="404">
        <f>IFERROR(GETPIVOTDATA("Total Volume",$AR$7,"County",P8),0)</f>
        <v>232837900</v>
      </c>
      <c r="W8" s="381"/>
      <c r="X8" t="s">
        <v>6630</v>
      </c>
      <c r="Y8" t="s">
        <v>6219</v>
      </c>
      <c r="Z8" t="s">
        <v>6215</v>
      </c>
      <c r="AF8" s="416" t="s">
        <v>6212</v>
      </c>
      <c r="AG8">
        <v>9</v>
      </c>
      <c r="AJ8" s="418">
        <v>2020</v>
      </c>
      <c r="AK8">
        <v>268.56027863528629</v>
      </c>
      <c r="AL8">
        <v>23</v>
      </c>
      <c r="AM8" s="381"/>
      <c r="AN8" t="s">
        <v>1</v>
      </c>
      <c r="AO8" t="s">
        <v>4</v>
      </c>
      <c r="AP8" t="s">
        <v>5</v>
      </c>
      <c r="AQ8" t="s">
        <v>6651</v>
      </c>
      <c r="AR8" t="s">
        <v>184</v>
      </c>
      <c r="AS8" s="417">
        <v>210000</v>
      </c>
      <c r="AT8" s="417">
        <v>5272900</v>
      </c>
      <c r="AU8" s="419">
        <v>5066.4285714285716</v>
      </c>
      <c r="AV8" s="417">
        <v>24059200</v>
      </c>
      <c r="AX8" t="s">
        <v>6212</v>
      </c>
      <c r="AY8" s="417">
        <v>1340800</v>
      </c>
      <c r="AZ8" s="417">
        <v>15500000</v>
      </c>
      <c r="BA8" s="419">
        <v>14056</v>
      </c>
      <c r="BB8" s="417">
        <v>67023500</v>
      </c>
      <c r="BC8">
        <v>542.79918185564384</v>
      </c>
    </row>
    <row r="9" spans="1:55" ht="54" customHeight="1">
      <c r="A9" s="379"/>
      <c r="B9" s="414" t="s">
        <v>6639</v>
      </c>
      <c r="C9" s="379"/>
      <c r="D9" s="379"/>
      <c r="E9" s="379"/>
      <c r="F9" s="379"/>
      <c r="G9" s="381"/>
      <c r="H9" s="381"/>
      <c r="I9" s="381"/>
      <c r="J9" s="381"/>
      <c r="K9" s="384"/>
      <c r="L9" s="381"/>
      <c r="M9" s="381"/>
      <c r="N9" s="381"/>
      <c r="O9" s="381"/>
      <c r="P9" s="411" t="s">
        <v>20</v>
      </c>
      <c r="Q9" s="405">
        <f>IFERROR(GETPIVOTDATA("# Sales",$X$7,"County",P9),0)</f>
        <v>53</v>
      </c>
      <c r="R9" s="406">
        <f>IFERROR(GETPIVOTDATA("Avg $/SF",$X$7,"County",P9),0)</f>
        <v>245.16935797000787</v>
      </c>
      <c r="S9" s="408">
        <f>IFERROR(GETPIVOTDATA("Avg Size",$AR$7,"County",P9),0)</f>
        <v>5938.2452830188677</v>
      </c>
      <c r="T9" s="407">
        <f>IFERROR(GETPIVOTDATA("Min Price",$AR$7,"County",P9),0)</f>
        <v>250100</v>
      </c>
      <c r="U9" s="409">
        <f>IFERROR(GETPIVOTDATA("Max Price",$AR$7,"County",P9),0)</f>
        <v>9998200</v>
      </c>
      <c r="V9" s="409">
        <f>IFERROR(GETPIVOTDATA("Total Volume",$AR$7,"County",P9),0)</f>
        <v>78592500</v>
      </c>
      <c r="W9" s="381"/>
      <c r="X9" s="416" t="s">
        <v>184</v>
      </c>
      <c r="Y9">
        <v>209.55388289665132</v>
      </c>
      <c r="Z9">
        <v>21</v>
      </c>
      <c r="AF9" s="416" t="s">
        <v>26</v>
      </c>
      <c r="AG9">
        <v>125</v>
      </c>
      <c r="AJ9" s="418">
        <v>2021</v>
      </c>
      <c r="AK9">
        <v>285.97428398422414</v>
      </c>
      <c r="AL9">
        <v>47</v>
      </c>
      <c r="AM9" s="381"/>
      <c r="AN9" t="s">
        <v>1590</v>
      </c>
      <c r="AO9" s="417">
        <v>15500000</v>
      </c>
      <c r="AP9">
        <v>386.99690402476779</v>
      </c>
      <c r="AQ9" s="419">
        <v>40052</v>
      </c>
      <c r="AR9" t="s">
        <v>33</v>
      </c>
      <c r="AS9" s="417">
        <v>344600</v>
      </c>
      <c r="AT9" s="417">
        <v>15500000</v>
      </c>
      <c r="AU9" s="419">
        <v>11020.60294117647</v>
      </c>
      <c r="AV9" s="417">
        <v>232837900</v>
      </c>
      <c r="AX9" t="s">
        <v>26</v>
      </c>
      <c r="AY9" s="417">
        <v>210000</v>
      </c>
      <c r="AZ9" s="417">
        <v>5050000</v>
      </c>
      <c r="BA9" s="419">
        <v>4442.5200000000004</v>
      </c>
      <c r="BB9" s="417">
        <v>141398100</v>
      </c>
      <c r="BC9">
        <v>253.64941088214675</v>
      </c>
    </row>
    <row r="10" spans="1:55" ht="59" customHeight="1">
      <c r="A10" s="379"/>
      <c r="B10" s="379"/>
      <c r="C10" s="379"/>
      <c r="D10" s="379"/>
      <c r="E10" s="379"/>
      <c r="F10" s="379"/>
      <c r="G10" s="381"/>
      <c r="H10" s="381"/>
      <c r="I10" s="381"/>
      <c r="J10" s="381"/>
      <c r="K10" s="381"/>
      <c r="L10" s="381"/>
      <c r="M10" s="381"/>
      <c r="N10" s="381"/>
      <c r="O10" s="381"/>
      <c r="P10" s="410" t="s">
        <v>678</v>
      </c>
      <c r="Q10" s="400">
        <f>IFERROR(GETPIVOTDATA("# Sales",$X$7,"County",P10),0)</f>
        <v>23</v>
      </c>
      <c r="R10" s="401">
        <f>IFERROR(GETPIVOTDATA("Avg $/SF",$X$7,"County",P10),0)</f>
        <v>291.34204621461328</v>
      </c>
      <c r="S10" s="403">
        <f>IFERROR(GETPIVOTDATA("Avg Size",$AR$7,"County",P10),0)</f>
        <v>5727</v>
      </c>
      <c r="T10" s="402">
        <f>IFERROR(GETPIVOTDATA("Min Price",$AR$7,"County",P10),0)</f>
        <v>530000</v>
      </c>
      <c r="U10" s="404">
        <f>IFERROR(GETPIVOTDATA("Max Price",$AR$7,"County",P10),0)</f>
        <v>5150000</v>
      </c>
      <c r="V10" s="404">
        <f>IFERROR(GETPIVOTDATA("Total Volume",$AR$7,"County",P10),0)</f>
        <v>37585900</v>
      </c>
      <c r="W10" s="381"/>
      <c r="X10" s="416" t="s">
        <v>33</v>
      </c>
      <c r="Y10">
        <v>313.96409680320073</v>
      </c>
      <c r="Z10">
        <v>68</v>
      </c>
      <c r="AF10" s="416" t="s">
        <v>1519</v>
      </c>
      <c r="AG10">
        <v>31</v>
      </c>
      <c r="AJ10" s="418">
        <v>2022</v>
      </c>
      <c r="AK10">
        <v>257.13098312215755</v>
      </c>
      <c r="AL10">
        <v>32</v>
      </c>
      <c r="AM10" s="381"/>
      <c r="AN10" t="s">
        <v>455</v>
      </c>
      <c r="AO10" s="417">
        <v>15500000</v>
      </c>
      <c r="AP10">
        <v>1500.3387861775238</v>
      </c>
      <c r="AQ10" s="419">
        <v>10331</v>
      </c>
      <c r="AR10" t="s">
        <v>678</v>
      </c>
      <c r="AS10" s="417">
        <v>530000</v>
      </c>
      <c r="AT10" s="417">
        <v>5150000</v>
      </c>
      <c r="AU10" s="419">
        <v>5727</v>
      </c>
      <c r="AV10" s="417">
        <v>37585900</v>
      </c>
      <c r="AX10" t="s">
        <v>1519</v>
      </c>
      <c r="AY10" s="417">
        <v>1600000</v>
      </c>
      <c r="AZ10" s="417">
        <v>15500000</v>
      </c>
      <c r="BA10" s="419">
        <v>20013.709677419356</v>
      </c>
      <c r="BB10" s="417">
        <v>164653900</v>
      </c>
      <c r="BC10">
        <v>285.60206973628107</v>
      </c>
    </row>
    <row r="11" spans="1:55" ht="63" customHeight="1">
      <c r="A11" s="379"/>
      <c r="B11" s="379"/>
      <c r="C11" s="379"/>
      <c r="D11" s="379"/>
      <c r="E11" s="379"/>
      <c r="F11" s="379"/>
      <c r="G11" s="381"/>
      <c r="H11" s="381"/>
      <c r="I11" s="381"/>
      <c r="J11" s="381"/>
      <c r="K11" s="381"/>
      <c r="L11" s="381"/>
      <c r="M11" s="381"/>
      <c r="N11" s="381"/>
      <c r="O11" s="381"/>
      <c r="P11" s="411" t="s">
        <v>184</v>
      </c>
      <c r="Q11" s="405">
        <f>IFERROR(GETPIVOTDATA("# Sales",$X$7,"County",P11),0)</f>
        <v>21</v>
      </c>
      <c r="R11" s="406">
        <f>IFERROR(GETPIVOTDATA("Avg $/SF",$X$7,"County",P11),0)</f>
        <v>209.55388289665132</v>
      </c>
      <c r="S11" s="408">
        <f>IFERROR(GETPIVOTDATA("Avg Size",$AR$7,"County",P11),0)</f>
        <v>5066.4285714285716</v>
      </c>
      <c r="T11" s="407">
        <f>IFERROR(GETPIVOTDATA("Min Price",$AR$7,"County",P11),0)</f>
        <v>210000</v>
      </c>
      <c r="U11" s="409">
        <f>IFERROR(GETPIVOTDATA("Max Price",$AR$7,"County",P11),0)</f>
        <v>5272900</v>
      </c>
      <c r="V11" s="409">
        <f>IFERROR(GETPIVOTDATA("Total Volume",$AR$7,"County",P11),0)</f>
        <v>24059200</v>
      </c>
      <c r="W11" s="381"/>
      <c r="X11" s="416" t="s">
        <v>678</v>
      </c>
      <c r="Y11">
        <v>291.34204621461328</v>
      </c>
      <c r="Z11">
        <v>23</v>
      </c>
      <c r="AJ11" s="418">
        <v>2023</v>
      </c>
      <c r="AK11">
        <v>249.38620480320589</v>
      </c>
      <c r="AL11">
        <v>26</v>
      </c>
      <c r="AM11" s="381"/>
      <c r="AN11" t="s">
        <v>413</v>
      </c>
      <c r="AO11" s="417">
        <v>15000000</v>
      </c>
      <c r="AP11">
        <v>634.16902718471226</v>
      </c>
      <c r="AQ11" s="419">
        <v>23653</v>
      </c>
      <c r="AR11" t="s">
        <v>20</v>
      </c>
      <c r="AS11" s="417">
        <v>250100</v>
      </c>
      <c r="AT11" s="417">
        <v>9998200</v>
      </c>
      <c r="AU11" s="419">
        <v>5938.2452830188677</v>
      </c>
      <c r="AV11" s="417">
        <v>78592500</v>
      </c>
    </row>
    <row r="12" spans="1:55">
      <c r="A12" s="379"/>
      <c r="B12" s="379"/>
      <c r="C12" s="379"/>
      <c r="D12" s="379"/>
      <c r="E12" s="379"/>
      <c r="F12" s="379"/>
      <c r="G12" s="381"/>
      <c r="H12" s="381"/>
      <c r="I12" s="381"/>
      <c r="J12" s="381"/>
      <c r="K12" s="381"/>
      <c r="L12" s="381"/>
      <c r="M12" s="381"/>
      <c r="N12" s="381"/>
      <c r="O12" s="381"/>
      <c r="P12" s="381"/>
      <c r="Q12" s="381"/>
      <c r="R12" s="381"/>
      <c r="S12" s="381"/>
      <c r="T12" s="381"/>
      <c r="U12" s="381"/>
      <c r="V12" s="381"/>
      <c r="W12" s="381"/>
      <c r="X12" s="416" t="s">
        <v>20</v>
      </c>
      <c r="Y12">
        <v>245.16935797000787</v>
      </c>
      <c r="Z12">
        <v>53</v>
      </c>
      <c r="AJ12" s="418">
        <v>2024</v>
      </c>
      <c r="AK12">
        <v>263.12592280877385</v>
      </c>
      <c r="AL12">
        <v>20</v>
      </c>
      <c r="AM12" s="381"/>
      <c r="AN12" t="s">
        <v>633</v>
      </c>
      <c r="AO12" s="417">
        <v>13200000</v>
      </c>
      <c r="AP12">
        <v>470.42052744119741</v>
      </c>
      <c r="AQ12" s="419">
        <v>28060</v>
      </c>
    </row>
    <row r="13" spans="1:55">
      <c r="A13" s="379"/>
      <c r="B13" s="379"/>
      <c r="C13" s="379"/>
      <c r="D13" s="379"/>
      <c r="E13" s="379"/>
      <c r="F13" s="379"/>
      <c r="G13" s="381"/>
      <c r="H13" s="381"/>
      <c r="I13" s="381"/>
      <c r="J13" s="381"/>
      <c r="K13" s="381"/>
      <c r="L13" s="381"/>
      <c r="M13" s="381"/>
      <c r="N13" s="381"/>
      <c r="O13" s="381"/>
      <c r="P13" s="381"/>
      <c r="Q13" s="381"/>
      <c r="R13" s="381"/>
      <c r="S13" s="381"/>
      <c r="T13" s="381"/>
      <c r="U13" s="381"/>
      <c r="V13" s="381"/>
      <c r="W13" s="381"/>
      <c r="AA13" s="381"/>
      <c r="AB13" s="381"/>
      <c r="AC13" s="381"/>
      <c r="AD13" s="381"/>
      <c r="AE13" s="381"/>
      <c r="AI13" s="381"/>
      <c r="AJ13" s="418">
        <v>2025</v>
      </c>
      <c r="AK13">
        <v>344.27083305622699</v>
      </c>
      <c r="AL13">
        <v>17</v>
      </c>
      <c r="AM13" s="381"/>
      <c r="AN13" t="s">
        <v>559</v>
      </c>
      <c r="AO13" s="417">
        <v>10221900</v>
      </c>
      <c r="AP13">
        <v>651.90688775510205</v>
      </c>
      <c r="AQ13" s="419">
        <v>15680</v>
      </c>
      <c r="AU13" s="381"/>
      <c r="AV13" s="381"/>
    </row>
    <row r="14" spans="1:55" ht="17" customHeight="1">
      <c r="A14" s="379"/>
      <c r="B14" s="379"/>
      <c r="C14" s="379"/>
      <c r="D14" s="379"/>
      <c r="E14" s="379"/>
      <c r="F14" s="379"/>
      <c r="G14" s="381"/>
      <c r="H14" s="381"/>
      <c r="I14" s="381"/>
      <c r="J14" s="381"/>
      <c r="K14" s="381"/>
      <c r="L14" s="381"/>
      <c r="M14" s="381"/>
      <c r="N14" s="381"/>
      <c r="O14" s="381"/>
      <c r="P14" s="381"/>
      <c r="Q14" s="381"/>
      <c r="R14" s="381"/>
      <c r="S14" s="381"/>
      <c r="T14" s="381"/>
      <c r="U14" s="381"/>
      <c r="V14" s="381"/>
      <c r="W14" s="381"/>
      <c r="AA14" s="381"/>
      <c r="AB14" s="381"/>
      <c r="AC14" s="381"/>
      <c r="AD14" s="381"/>
      <c r="AE14" s="381"/>
      <c r="AI14" s="381"/>
      <c r="AM14" s="381"/>
      <c r="AN14" t="s">
        <v>1387</v>
      </c>
      <c r="AO14" s="417">
        <v>9998200</v>
      </c>
      <c r="AP14">
        <v>587.19680507429382</v>
      </c>
      <c r="AQ14" s="419">
        <v>17027</v>
      </c>
      <c r="AU14" s="381"/>
      <c r="AV14" s="381"/>
    </row>
    <row r="15" spans="1:55" ht="86" customHeight="1">
      <c r="A15" s="379"/>
      <c r="B15" s="379"/>
      <c r="C15" s="379"/>
      <c r="D15" s="379"/>
      <c r="E15" s="379"/>
      <c r="F15" s="379"/>
      <c r="G15" s="381"/>
      <c r="H15" s="381"/>
      <c r="I15" s="381"/>
      <c r="J15" s="381"/>
      <c r="K15" s="381"/>
      <c r="L15" s="381"/>
      <c r="M15" s="381"/>
      <c r="N15" s="381"/>
      <c r="O15" s="381"/>
      <c r="P15" s="412" t="s">
        <v>6653</v>
      </c>
      <c r="Q15" s="379"/>
      <c r="R15" s="379"/>
      <c r="S15" s="379"/>
      <c r="T15" s="379"/>
      <c r="U15" s="379"/>
      <c r="V15" s="379"/>
      <c r="W15" s="381"/>
      <c r="AA15" s="381"/>
      <c r="AB15" s="381"/>
      <c r="AC15" s="381"/>
      <c r="AD15" s="381"/>
      <c r="AE15" s="381"/>
      <c r="AI15" s="381"/>
      <c r="AM15" s="381"/>
      <c r="AN15" t="s">
        <v>427</v>
      </c>
      <c r="AO15" s="417">
        <v>7750000</v>
      </c>
      <c r="AP15">
        <v>179.94798922633973</v>
      </c>
      <c r="AQ15" s="419">
        <v>43068</v>
      </c>
      <c r="AU15" s="381"/>
      <c r="AV15" s="381"/>
    </row>
    <row r="16" spans="1:55" ht="57" customHeight="1" thickBot="1">
      <c r="A16" s="379"/>
      <c r="B16" s="379"/>
      <c r="C16" s="379"/>
      <c r="D16" s="379"/>
      <c r="E16" s="379"/>
      <c r="F16" s="379"/>
      <c r="G16" s="381"/>
      <c r="H16" s="421" t="s">
        <v>6643</v>
      </c>
      <c r="I16" s="382"/>
      <c r="J16" s="421" t="s">
        <v>6644</v>
      </c>
      <c r="K16" s="381"/>
      <c r="L16" s="381"/>
      <c r="M16" s="381"/>
      <c r="N16" s="381"/>
      <c r="O16" s="381"/>
      <c r="P16" s="427" t="s">
        <v>6214</v>
      </c>
      <c r="Q16" s="428" t="s">
        <v>6215</v>
      </c>
      <c r="R16" s="428" t="s">
        <v>6219</v>
      </c>
      <c r="S16" s="428" t="s">
        <v>6646</v>
      </c>
      <c r="T16" s="428" t="s">
        <v>6230</v>
      </c>
      <c r="U16" s="428" t="s">
        <v>6231</v>
      </c>
      <c r="V16" s="428" t="s">
        <v>6216</v>
      </c>
      <c r="W16" s="381"/>
      <c r="AA16" s="381"/>
      <c r="AB16" s="381"/>
      <c r="AC16" s="381"/>
      <c r="AD16" s="381"/>
      <c r="AE16" s="381"/>
      <c r="AI16" s="381"/>
      <c r="AM16" s="381"/>
      <c r="AN16" t="s">
        <v>239</v>
      </c>
      <c r="AO16" s="417">
        <v>7600000</v>
      </c>
      <c r="AP16">
        <v>246.90555862382638</v>
      </c>
      <c r="AQ16" s="419">
        <v>30781</v>
      </c>
      <c r="AU16" s="381"/>
      <c r="AV16" s="381"/>
    </row>
    <row r="17" spans="1:48" ht="30" thickTop="1">
      <c r="A17" s="379"/>
      <c r="B17" s="379"/>
      <c r="C17" s="379"/>
      <c r="D17" s="379"/>
      <c r="E17" s="379"/>
      <c r="F17" s="379"/>
      <c r="G17" s="381"/>
      <c r="H17" s="480" t="str">
        <f>"$"&amp;TEXT(GETPIVOTDATA("Min $/SF",AB27),"#,##0")&amp;" – $"&amp;TEXT(GETPIVOTDATA("Max $/SF",AB27),"#,##0")</f>
        <v>$45 – $1,500</v>
      </c>
      <c r="I17" s="382"/>
      <c r="J17" s="480" t="str">
        <f>TEXT(GETPIVOTDATA("Min Price",AB27),IF(GETPIVOTDATA("Min Price",AB27)&gt;=1000000,"$#,##0,,""M""","$#,##0,""K"""))&amp;" – "&amp;TEXT(GETPIVOTDATA("Max Price",AB27),IF(GETPIVOTDATA("Max Price",AB27)&gt;=1000000,"$#,##0,,""M""","$#,##0,""K"""))</f>
        <v>$210K – $33M</v>
      </c>
      <c r="K17" s="381"/>
      <c r="L17" s="381"/>
      <c r="M17" s="381"/>
      <c r="N17" s="381"/>
      <c r="O17" s="381"/>
      <c r="P17" s="410" t="s">
        <v>26</v>
      </c>
      <c r="Q17" s="400">
        <f>IFERROR(GETPIVOTDATA("# Sales",$AF$7,"Verdict",P17),0)</f>
        <v>125</v>
      </c>
      <c r="R17" s="401">
        <f>IFERROR(GETPIVOTDATA("Avg $/SF",$AX$7,"Verdict",P17),0)</f>
        <v>253.64941088214675</v>
      </c>
      <c r="S17" s="403">
        <f>IFERROR(GETPIVOTDATA("Avg Size",$AX$7,"Verdict",P17),0)</f>
        <v>4442.5200000000004</v>
      </c>
      <c r="T17" s="402">
        <f>IFERROR(GETPIVOTDATA("Min Price",$AX$7,"Verdict",P17),0)</f>
        <v>210000</v>
      </c>
      <c r="U17" s="404">
        <f>IFERROR(GETPIVOTDATA("Max Price",$AX$7,"Verdict",P17),0)</f>
        <v>5050000</v>
      </c>
      <c r="V17" s="404">
        <f>IFERROR(GETPIVOTDATA("Total Volume",$AX$7,"Verdict",P17),0)</f>
        <v>141398100</v>
      </c>
      <c r="W17" s="381"/>
      <c r="AA17" s="381"/>
      <c r="AB17" s="381"/>
      <c r="AC17" s="381"/>
      <c r="AD17" s="381"/>
      <c r="AE17" s="381"/>
      <c r="AI17" s="381"/>
      <c r="AM17" s="381"/>
      <c r="AN17" t="s">
        <v>107</v>
      </c>
      <c r="AO17" s="417">
        <v>7500000</v>
      </c>
      <c r="AP17">
        <v>441.82621502209133</v>
      </c>
      <c r="AQ17" s="419">
        <v>16975</v>
      </c>
      <c r="AU17" s="381"/>
      <c r="AV17" s="381"/>
    </row>
    <row r="18" spans="1:48" ht="34">
      <c r="A18" s="379"/>
      <c r="B18" s="379"/>
      <c r="C18" s="379"/>
      <c r="D18" s="379"/>
      <c r="E18" s="379"/>
      <c r="F18" s="379"/>
      <c r="G18" s="381"/>
      <c r="H18" s="481"/>
      <c r="I18" s="385"/>
      <c r="J18" s="481"/>
      <c r="K18" s="381"/>
      <c r="L18" s="381"/>
      <c r="M18" s="381"/>
      <c r="N18" s="381"/>
      <c r="O18" s="381"/>
      <c r="P18" s="411" t="s">
        <v>1519</v>
      </c>
      <c r="Q18" s="405">
        <f>IFERROR(GETPIVOTDATA("# Sales",$AF$7,"Verdict",P18),0)</f>
        <v>31</v>
      </c>
      <c r="R18" s="406">
        <f>IFERROR(GETPIVOTDATA("Avg $/SF",$AX$7,"Verdict",P18),0)</f>
        <v>285.60206973628107</v>
      </c>
      <c r="S18" s="408">
        <f>IFERROR(GETPIVOTDATA("Avg Size",$AX$7,"Verdict",P18),0)</f>
        <v>20013.709677419356</v>
      </c>
      <c r="T18" s="407">
        <f>IFERROR(GETPIVOTDATA("Min Price",$AX$7,"Verdict",P18),0)</f>
        <v>1600000</v>
      </c>
      <c r="U18" s="409">
        <f>IFERROR(GETPIVOTDATA("Max Price",$AX$7,"Verdict",P18),0)</f>
        <v>15500000</v>
      </c>
      <c r="V18" s="409">
        <f>IFERROR(GETPIVOTDATA("Total Volume",$AX$7,"Verdict",P18),0)</f>
        <v>164653900</v>
      </c>
      <c r="W18" s="381"/>
      <c r="AA18" s="381"/>
      <c r="AB18" s="381"/>
      <c r="AC18" s="381"/>
      <c r="AD18" s="381"/>
      <c r="AE18" s="381"/>
      <c r="AI18" s="381"/>
      <c r="AM18" s="381"/>
      <c r="AN18" t="s">
        <v>638</v>
      </c>
      <c r="AO18" s="417">
        <v>7125000</v>
      </c>
      <c r="AP18">
        <v>184.85846976104611</v>
      </c>
      <c r="AQ18" s="419">
        <v>38543</v>
      </c>
      <c r="AU18" s="381"/>
      <c r="AV18" s="381"/>
    </row>
    <row r="19" spans="1:48" ht="29">
      <c r="A19" s="379"/>
      <c r="B19" s="379"/>
      <c r="C19" s="379"/>
      <c r="D19" s="379"/>
      <c r="E19" s="379"/>
      <c r="F19" s="379"/>
      <c r="G19" s="381"/>
      <c r="H19" s="482"/>
      <c r="I19" s="381"/>
      <c r="J19" s="482"/>
      <c r="K19" s="381"/>
      <c r="L19" s="381"/>
      <c r="M19" s="381"/>
      <c r="N19" s="381"/>
      <c r="O19" s="381"/>
      <c r="P19" s="410" t="s">
        <v>6212</v>
      </c>
      <c r="Q19" s="400">
        <f>IFERROR(GETPIVOTDATA("# Sales",$AF$7,"Verdict",P19),0)</f>
        <v>9</v>
      </c>
      <c r="R19" s="401">
        <f>IFERROR(GETPIVOTDATA("Avg $/SF",$AX$7,"Verdict",P19),0)</f>
        <v>542.79918185564384</v>
      </c>
      <c r="S19" s="403">
        <f>IFERROR(GETPIVOTDATA("Avg Size",$AX$7,"Verdict",P19),0)</f>
        <v>14056</v>
      </c>
      <c r="T19" s="402">
        <f>IFERROR(GETPIVOTDATA("Min Price",$AX$7,"Verdict",P19),0)</f>
        <v>1340800</v>
      </c>
      <c r="U19" s="404">
        <f>IFERROR(GETPIVOTDATA("Max Price",$AX$7,"Verdict",P19),0)</f>
        <v>15500000</v>
      </c>
      <c r="V19" s="404">
        <f>IFERROR(GETPIVOTDATA("Total Volume",$AX$7,"Verdict",P19),0)</f>
        <v>67023500</v>
      </c>
      <c r="W19" s="381"/>
      <c r="X19" s="381"/>
      <c r="Y19" s="381"/>
      <c r="Z19" s="381"/>
      <c r="AA19" s="381"/>
      <c r="AB19" s="381"/>
      <c r="AC19" s="381"/>
      <c r="AD19" s="381"/>
      <c r="AE19" s="381"/>
      <c r="AF19" s="381"/>
      <c r="AG19" s="381"/>
      <c r="AH19" s="381"/>
      <c r="AI19" s="381"/>
      <c r="AJ19" s="381"/>
      <c r="AK19" s="381"/>
      <c r="AL19" s="381"/>
      <c r="AM19" s="381"/>
      <c r="AN19" t="s">
        <v>1583</v>
      </c>
      <c r="AO19" s="417">
        <v>7000000</v>
      </c>
      <c r="AP19">
        <v>176.76767676767676</v>
      </c>
      <c r="AQ19" s="419">
        <v>39600</v>
      </c>
      <c r="AT19" s="381"/>
      <c r="AU19" s="381"/>
      <c r="AV19" s="381"/>
    </row>
    <row r="20" spans="1:48" ht="45" customHeight="1">
      <c r="A20" s="379"/>
      <c r="B20" s="379"/>
      <c r="C20" s="379"/>
      <c r="D20" s="379"/>
      <c r="E20" s="379"/>
      <c r="F20" s="379"/>
      <c r="G20" s="381"/>
      <c r="H20" s="381"/>
      <c r="I20" s="381"/>
      <c r="J20" s="381"/>
      <c r="K20" s="381"/>
      <c r="L20" s="381"/>
      <c r="M20" s="381"/>
      <c r="N20" s="381"/>
      <c r="O20" s="381"/>
      <c r="P20" s="381"/>
      <c r="Q20" s="381"/>
      <c r="R20" s="381"/>
      <c r="S20" s="381"/>
      <c r="T20" s="381"/>
      <c r="U20" s="381"/>
      <c r="V20" s="381"/>
      <c r="W20" s="381"/>
      <c r="X20" t="s">
        <v>6224</v>
      </c>
      <c r="Y20" t="s">
        <v>6631</v>
      </c>
      <c r="Z20" s="381"/>
      <c r="AA20" s="381"/>
      <c r="AB20" s="381"/>
      <c r="AC20" s="381"/>
      <c r="AD20" s="381"/>
      <c r="AE20" s="381"/>
      <c r="AM20" s="381"/>
      <c r="AN20" t="s">
        <v>1557</v>
      </c>
      <c r="AO20" s="417">
        <v>7000000</v>
      </c>
      <c r="AP20">
        <v>152.4589449841007</v>
      </c>
      <c r="AQ20" s="419">
        <v>45914</v>
      </c>
      <c r="AT20" s="381"/>
      <c r="AU20" s="381"/>
      <c r="AV20" s="381"/>
    </row>
    <row r="21" spans="1:48" hidden="1">
      <c r="A21" s="379"/>
      <c r="B21" s="379"/>
      <c r="C21" s="379"/>
      <c r="D21" s="379"/>
      <c r="E21" s="379"/>
      <c r="F21" s="379"/>
      <c r="G21" s="381"/>
      <c r="H21" s="381"/>
      <c r="I21" s="381"/>
      <c r="J21" s="381"/>
      <c r="K21" s="381"/>
      <c r="L21" s="381"/>
      <c r="M21" s="381"/>
      <c r="N21" s="381"/>
      <c r="O21" s="381"/>
      <c r="P21" s="381"/>
      <c r="Q21" s="381"/>
      <c r="R21" s="381"/>
      <c r="S21" s="381"/>
      <c r="T21" s="381"/>
      <c r="U21" s="381"/>
      <c r="V21" s="381"/>
      <c r="W21" s="381"/>
      <c r="X21" t="s">
        <v>13</v>
      </c>
      <c r="Y21" t="s">
        <v>6631</v>
      </c>
      <c r="Z21" s="381"/>
      <c r="AA21" s="381"/>
      <c r="AB21" s="381"/>
      <c r="AC21" s="381"/>
      <c r="AD21" s="381"/>
      <c r="AE21" s="381"/>
      <c r="AM21" s="381"/>
      <c r="AN21" t="s">
        <v>540</v>
      </c>
      <c r="AO21" s="417">
        <v>6349400</v>
      </c>
      <c r="AP21">
        <v>424</v>
      </c>
      <c r="AQ21" s="419">
        <v>14975</v>
      </c>
      <c r="AT21" s="381"/>
      <c r="AU21" s="381"/>
      <c r="AV21" s="381"/>
    </row>
    <row r="22" spans="1:48" ht="20" hidden="1" customHeight="1">
      <c r="A22" s="379"/>
      <c r="B22" s="379"/>
      <c r="C22" s="379"/>
      <c r="D22" s="379"/>
      <c r="E22" s="379"/>
      <c r="F22" s="379"/>
      <c r="G22" s="381"/>
      <c r="H22" s="381"/>
      <c r="I22" s="381"/>
      <c r="J22" s="381"/>
      <c r="K22" s="381"/>
      <c r="L22" s="381"/>
      <c r="M22" s="381"/>
      <c r="N22" s="381"/>
      <c r="O22" s="381"/>
      <c r="P22" s="381"/>
      <c r="Q22" s="381"/>
      <c r="R22" s="381"/>
      <c r="S22" s="381"/>
      <c r="T22" s="381"/>
      <c r="U22" s="381"/>
      <c r="V22" s="381"/>
      <c r="W22" s="381"/>
      <c r="X22" t="s">
        <v>2</v>
      </c>
      <c r="Y22" t="s">
        <v>6631</v>
      </c>
      <c r="Z22" s="381"/>
      <c r="AA22" s="381"/>
      <c r="AB22" s="381"/>
      <c r="AC22" s="381"/>
      <c r="AD22" s="381"/>
      <c r="AE22" s="381"/>
      <c r="AM22" s="381"/>
      <c r="AN22" t="s">
        <v>1528</v>
      </c>
      <c r="AO22" s="417">
        <v>5913600</v>
      </c>
      <c r="AP22">
        <v>238.42277143893884</v>
      </c>
      <c r="AQ22" s="419">
        <v>24803</v>
      </c>
      <c r="AT22" s="381"/>
      <c r="AU22" s="381"/>
      <c r="AV22" s="381"/>
    </row>
    <row r="23" spans="1:48" ht="20" hidden="1" customHeight="1">
      <c r="A23" s="379"/>
      <c r="B23" s="379"/>
      <c r="C23" s="379"/>
      <c r="D23" s="379"/>
      <c r="E23" s="379"/>
      <c r="F23" s="379"/>
      <c r="G23" s="381"/>
      <c r="H23" s="381"/>
      <c r="I23" s="381"/>
      <c r="J23" s="381"/>
      <c r="K23" s="381"/>
      <c r="L23" s="381"/>
      <c r="M23" s="381"/>
      <c r="N23" s="381"/>
      <c r="O23" s="381"/>
      <c r="P23" s="381"/>
      <c r="Q23" s="381"/>
      <c r="R23" s="381"/>
      <c r="S23" s="381"/>
      <c r="T23" s="381"/>
      <c r="U23" s="381"/>
      <c r="V23" s="381"/>
      <c r="W23" s="381"/>
      <c r="X23" t="s">
        <v>6233</v>
      </c>
      <c r="Y23" t="s">
        <v>6631</v>
      </c>
      <c r="Z23" s="381"/>
      <c r="AA23" s="381"/>
      <c r="AB23" s="381"/>
      <c r="AC23" s="381"/>
      <c r="AD23" s="381"/>
      <c r="AE23" s="381"/>
      <c r="AM23" s="381"/>
      <c r="AN23" t="s">
        <v>1551</v>
      </c>
      <c r="AO23" s="417">
        <v>5610000</v>
      </c>
      <c r="AP23">
        <v>395.90684544812984</v>
      </c>
      <c r="AQ23" s="419">
        <v>14170</v>
      </c>
      <c r="AT23" s="381"/>
      <c r="AU23" s="381"/>
      <c r="AV23" s="381"/>
    </row>
    <row r="24" spans="1:48" ht="7" hidden="1" customHeight="1">
      <c r="A24" s="379"/>
      <c r="B24" s="379"/>
      <c r="C24" s="379"/>
      <c r="D24" s="379"/>
      <c r="E24" s="379"/>
      <c r="F24" s="379"/>
      <c r="G24" s="381"/>
      <c r="H24" s="381"/>
      <c r="I24" s="381"/>
      <c r="J24" s="381"/>
      <c r="K24" s="381"/>
      <c r="L24" s="381"/>
      <c r="M24" s="381"/>
      <c r="N24" s="381"/>
      <c r="O24" s="381"/>
      <c r="P24" s="381"/>
      <c r="Q24" s="381"/>
      <c r="R24" s="381"/>
      <c r="S24" s="381"/>
      <c r="T24" s="381"/>
      <c r="U24" s="381"/>
      <c r="V24" s="381"/>
      <c r="W24" s="381"/>
      <c r="X24" t="s">
        <v>6199</v>
      </c>
      <c r="Y24" t="s">
        <v>6631</v>
      </c>
      <c r="Z24" s="381"/>
      <c r="AA24" s="381"/>
      <c r="AB24" s="381"/>
      <c r="AC24" s="381"/>
      <c r="AD24" s="381"/>
      <c r="AE24" s="381"/>
      <c r="AM24" s="381"/>
      <c r="AN24" t="s">
        <v>1522</v>
      </c>
      <c r="AO24" s="417">
        <v>5600000</v>
      </c>
      <c r="AP24">
        <v>171.09162567596468</v>
      </c>
      <c r="AQ24" s="419">
        <v>32731</v>
      </c>
      <c r="AT24" s="381"/>
      <c r="AU24" s="381"/>
      <c r="AV24" s="381"/>
    </row>
    <row r="25" spans="1:48" ht="87" customHeight="1">
      <c r="A25" s="379"/>
      <c r="B25" s="379"/>
      <c r="C25" s="379"/>
      <c r="D25" s="379"/>
      <c r="E25" s="379"/>
      <c r="F25" s="379"/>
      <c r="G25" s="381"/>
      <c r="H25" s="381"/>
      <c r="I25" s="381"/>
      <c r="J25" s="381"/>
      <c r="K25" s="381"/>
      <c r="L25" s="381"/>
      <c r="M25" s="381"/>
      <c r="N25" s="381"/>
      <c r="O25" s="381"/>
      <c r="P25" s="412" t="s">
        <v>6649</v>
      </c>
      <c r="Q25" s="379"/>
      <c r="R25" s="379"/>
      <c r="S25" s="379"/>
      <c r="T25" s="379"/>
      <c r="U25" s="379"/>
      <c r="V25" s="379"/>
      <c r="W25" s="381"/>
      <c r="X25" t="s">
        <v>6320</v>
      </c>
      <c r="Y25" t="s">
        <v>6631</v>
      </c>
      <c r="Z25" s="381"/>
      <c r="AA25" s="381"/>
      <c r="AB25" s="381"/>
      <c r="AC25" s="381"/>
      <c r="AD25" s="381"/>
      <c r="AE25" s="381"/>
      <c r="AF25" s="381"/>
      <c r="AG25" s="381"/>
      <c r="AH25" s="381"/>
      <c r="AI25" s="381"/>
      <c r="AJ25" s="381"/>
      <c r="AK25" s="381"/>
      <c r="AL25" s="381"/>
      <c r="AM25" s="381"/>
      <c r="AN25" t="s">
        <v>1114</v>
      </c>
      <c r="AO25" s="417">
        <v>5272900</v>
      </c>
      <c r="AP25">
        <v>263.64499999999998</v>
      </c>
      <c r="AQ25" s="419">
        <v>20000</v>
      </c>
      <c r="AT25" s="381"/>
      <c r="AU25" s="381"/>
      <c r="AV25" s="381"/>
    </row>
    <row r="26" spans="1:48" ht="55" customHeight="1" thickBot="1">
      <c r="A26" s="379"/>
      <c r="B26" s="379"/>
      <c r="C26" s="379"/>
      <c r="D26" s="379"/>
      <c r="E26" s="379"/>
      <c r="F26" s="379"/>
      <c r="G26" s="381"/>
      <c r="H26" s="381"/>
      <c r="I26" s="381"/>
      <c r="J26" s="381"/>
      <c r="K26" s="381"/>
      <c r="L26" s="381"/>
      <c r="M26" s="381"/>
      <c r="N26" s="381"/>
      <c r="O26" s="381"/>
      <c r="P26" s="427" t="s">
        <v>6650</v>
      </c>
      <c r="Q26" s="428" t="s">
        <v>2</v>
      </c>
      <c r="R26" s="428" t="s">
        <v>4</v>
      </c>
      <c r="S26" s="428" t="s">
        <v>6651</v>
      </c>
      <c r="T26" s="428" t="s">
        <v>5</v>
      </c>
      <c r="U26" s="428" t="s">
        <v>6214</v>
      </c>
      <c r="V26" s="428" t="s">
        <v>6652</v>
      </c>
      <c r="W26" s="381"/>
      <c r="X26" s="381"/>
      <c r="Y26" s="381"/>
      <c r="Z26" s="381"/>
      <c r="AA26" s="381"/>
      <c r="AB26" s="381"/>
      <c r="AC26" s="381"/>
      <c r="AD26" s="381"/>
      <c r="AE26" s="381"/>
      <c r="AF26" s="381"/>
      <c r="AG26" s="381"/>
      <c r="AH26" s="381"/>
      <c r="AI26" s="381"/>
      <c r="AJ26" s="381"/>
      <c r="AK26" s="381"/>
      <c r="AL26" s="381"/>
      <c r="AM26" s="381"/>
      <c r="AN26" t="s">
        <v>677</v>
      </c>
      <c r="AO26" s="417">
        <v>5150000</v>
      </c>
      <c r="AP26">
        <v>412.66025641025641</v>
      </c>
      <c r="AQ26" s="419">
        <v>12480</v>
      </c>
      <c r="AT26" s="381"/>
      <c r="AU26" s="381"/>
      <c r="AV26" s="381"/>
    </row>
    <row r="27" spans="1:48" ht="84" customHeight="1" thickTop="1">
      <c r="A27" s="379"/>
      <c r="B27" s="379"/>
      <c r="C27" s="379"/>
      <c r="D27" s="379"/>
      <c r="E27" s="379"/>
      <c r="F27" s="379"/>
      <c r="G27" s="381"/>
      <c r="H27" s="381"/>
      <c r="I27" s="381"/>
      <c r="J27" s="381"/>
      <c r="K27" s="381"/>
      <c r="L27" s="381"/>
      <c r="M27" s="381"/>
      <c r="N27" s="381"/>
      <c r="O27" s="381"/>
      <c r="P27" s="410" t="str">
        <f>AN9</f>
        <v>7208 Sand Lake Rd W</v>
      </c>
      <c r="Q27" s="400" t="str">
        <f>INDEX(SalesData[County],MATCH(P27,SalesData[Prpty Addr],0))</f>
        <v>Orange</v>
      </c>
      <c r="R27" s="401">
        <f>AO9</f>
        <v>15500000</v>
      </c>
      <c r="S27" s="403">
        <f>AQ9</f>
        <v>40052</v>
      </c>
      <c r="T27" s="401">
        <f>AP9</f>
        <v>386.99690402476779</v>
      </c>
      <c r="U27" s="425" t="str">
        <f>INDEX(SalesData[Verdict],MATCH(P27,SalesData[Prpty Addr],0))</f>
        <v>Multi-Tenant Medical</v>
      </c>
      <c r="V27" s="423" t="str">
        <f>INDEX(SalesData[Current Tenant],MATCH(P27,SalesData[Prpty Addr],0))</f>
        <v>7208 Sand Lake - Office Complex</v>
      </c>
      <c r="W27" s="381"/>
      <c r="X27" t="s">
        <v>6216</v>
      </c>
      <c r="Y27" t="s">
        <v>6219</v>
      </c>
      <c r="Z27" t="s">
        <v>6217</v>
      </c>
      <c r="AA27" t="s">
        <v>6230</v>
      </c>
      <c r="AB27" t="s">
        <v>6231</v>
      </c>
      <c r="AC27" t="s">
        <v>6640</v>
      </c>
      <c r="AD27" t="s">
        <v>6641</v>
      </c>
      <c r="AE27" t="s">
        <v>6646</v>
      </c>
      <c r="AF27" t="s">
        <v>6632</v>
      </c>
      <c r="AG27" s="381"/>
      <c r="AH27" s="381"/>
      <c r="AI27" s="381"/>
      <c r="AJ27" s="381"/>
      <c r="AK27" s="381"/>
      <c r="AL27" s="381"/>
      <c r="AM27" s="381"/>
      <c r="AN27" t="s">
        <v>1548</v>
      </c>
      <c r="AO27" s="417">
        <v>5100000</v>
      </c>
      <c r="AP27">
        <v>389.31297709923666</v>
      </c>
      <c r="AQ27" s="419">
        <v>13100</v>
      </c>
      <c r="AT27" s="381"/>
      <c r="AU27" s="381"/>
      <c r="AV27" s="381"/>
    </row>
    <row r="28" spans="1:48" ht="113" customHeight="1">
      <c r="A28" s="379"/>
      <c r="B28" s="379"/>
      <c r="C28" s="379"/>
      <c r="D28" s="379"/>
      <c r="E28" s="379"/>
      <c r="F28" s="379"/>
      <c r="G28" s="381"/>
      <c r="H28" s="381"/>
      <c r="I28" s="381"/>
      <c r="J28" s="381"/>
      <c r="K28" s="381"/>
      <c r="L28" s="381"/>
      <c r="M28" s="381"/>
      <c r="N28" s="381"/>
      <c r="O28" s="381"/>
      <c r="P28" s="411" t="str">
        <f>AN10</f>
        <v>9401 Summit Centre Wa</v>
      </c>
      <c r="Q28" s="405" t="str">
        <f>INDEX(SalesData[County],MATCH(P28,SalesData[Prpty Addr],0))</f>
        <v>Orange</v>
      </c>
      <c r="R28" s="406">
        <f>AO10</f>
        <v>15500000</v>
      </c>
      <c r="S28" s="408">
        <f>AQ10</f>
        <v>10331</v>
      </c>
      <c r="T28" s="406">
        <f>AP10</f>
        <v>1500.3387861775238</v>
      </c>
      <c r="U28" s="426" t="str">
        <f>INDEX(SalesData[Verdict],MATCH(P28,SalesData[Prpty Addr],0))</f>
        <v>Hospitals</v>
      </c>
      <c r="V28" s="424" t="str">
        <f>INDEX(SalesData[Current Tenant],MATCH(P28,SalesData[Prpty Addr],0))</f>
        <v>**HCA Florida Maitland Emergency (Freestanding ER)** MEDICAL CENTER</v>
      </c>
      <c r="W28" s="381"/>
      <c r="X28" s="417">
        <v>497397799</v>
      </c>
      <c r="Y28">
        <v>303.31751258159119</v>
      </c>
      <c r="Z28" s="417">
        <v>2550757.9435897437</v>
      </c>
      <c r="AA28" s="417">
        <v>210000</v>
      </c>
      <c r="AB28" s="417">
        <v>33444697</v>
      </c>
      <c r="AC28">
        <v>45.304777594728172</v>
      </c>
      <c r="AD28">
        <v>1500.3387861775238</v>
      </c>
      <c r="AE28" s="419">
        <v>8917.5641025641035</v>
      </c>
      <c r="AF28">
        <v>195</v>
      </c>
      <c r="AG28" s="381"/>
      <c r="AH28" s="381"/>
      <c r="AI28" s="381"/>
      <c r="AJ28" s="381"/>
      <c r="AK28" s="381"/>
      <c r="AL28" s="381"/>
      <c r="AM28" s="381"/>
      <c r="AN28" t="s">
        <v>1281</v>
      </c>
      <c r="AO28" s="417">
        <v>5050000</v>
      </c>
      <c r="AP28">
        <v>202.46161247644631</v>
      </c>
      <c r="AQ28" s="419">
        <v>24943</v>
      </c>
      <c r="AT28" s="381"/>
      <c r="AU28" s="381"/>
      <c r="AV28" s="381"/>
    </row>
    <row r="29" spans="1:48" ht="103" customHeight="1">
      <c r="A29" s="379"/>
      <c r="B29" s="379"/>
      <c r="C29" s="379"/>
      <c r="D29" s="379"/>
      <c r="E29" s="379"/>
      <c r="F29" s="379"/>
      <c r="G29" s="381"/>
      <c r="H29" s="381"/>
      <c r="I29" s="381"/>
      <c r="J29" s="381"/>
      <c r="K29" s="381"/>
      <c r="L29" s="381"/>
      <c r="M29" s="381"/>
      <c r="N29" s="381"/>
      <c r="O29" s="381"/>
      <c r="P29" s="410" t="str">
        <f>AN11</f>
        <v>7009 Dr Phillips Bl</v>
      </c>
      <c r="Q29" s="400" t="str">
        <f>INDEX(SalesData[County],MATCH(P29,SalesData[Prpty Addr],0))</f>
        <v>Orange</v>
      </c>
      <c r="R29" s="401">
        <f>AO11</f>
        <v>15000000</v>
      </c>
      <c r="S29" s="403">
        <f>AQ11</f>
        <v>23653</v>
      </c>
      <c r="T29" s="401">
        <f>AP11</f>
        <v>634.16902718471226</v>
      </c>
      <c r="U29" s="425" t="str">
        <f>INDEX(SalesData[Verdict],MATCH(P29,SalesData[Prpty Addr],0))</f>
        <v>Multi-Tenant Medical</v>
      </c>
      <c r="V29" s="423" t="str">
        <f>INDEX(SalesData[Current Tenant],MATCH(P29,SalesData[Prpty Addr],0))</f>
        <v>Belmart LLC Dr Phillips</v>
      </c>
      <c r="W29" s="381"/>
      <c r="AA29" s="381"/>
      <c r="AB29" s="381"/>
      <c r="AC29" s="381"/>
      <c r="AD29" s="381"/>
      <c r="AE29" s="381"/>
      <c r="AF29" s="381"/>
      <c r="AG29" s="381"/>
      <c r="AH29" s="381"/>
      <c r="AI29" s="381"/>
      <c r="AJ29" s="381"/>
      <c r="AK29" s="381"/>
      <c r="AL29" s="381"/>
      <c r="AM29" s="381"/>
      <c r="AN29" t="s">
        <v>523</v>
      </c>
      <c r="AO29" s="417">
        <v>5000000</v>
      </c>
      <c r="AP29">
        <v>405.28491529545272</v>
      </c>
      <c r="AQ29" s="419">
        <v>12337</v>
      </c>
      <c r="AT29" s="381"/>
      <c r="AU29" s="381"/>
      <c r="AV29" s="381"/>
    </row>
    <row r="30" spans="1:48" ht="122" customHeight="1">
      <c r="A30" s="379"/>
      <c r="B30" s="379"/>
      <c r="C30" s="379"/>
      <c r="D30" s="379"/>
      <c r="E30" s="379"/>
      <c r="F30" s="379"/>
      <c r="G30" s="381"/>
      <c r="H30" s="381"/>
      <c r="I30" s="381"/>
      <c r="J30" s="381"/>
      <c r="K30" s="381"/>
      <c r="L30" s="381"/>
      <c r="M30" s="381"/>
      <c r="N30" s="381"/>
      <c r="O30" s="381"/>
      <c r="P30" s="411" t="str">
        <f>AN12</f>
        <v>1745 Mills Av N</v>
      </c>
      <c r="Q30" s="405" t="str">
        <f>INDEX(SalesData[County],MATCH(P30,SalesData[Prpty Addr],0))</f>
        <v>Orange</v>
      </c>
      <c r="R30" s="406">
        <f>AO12</f>
        <v>13200000</v>
      </c>
      <c r="S30" s="408">
        <f>AQ12</f>
        <v>28060</v>
      </c>
      <c r="T30" s="406">
        <f>AP12</f>
        <v>470.42052744119741</v>
      </c>
      <c r="U30" s="426" t="str">
        <f>INDEX(SalesData[Verdict],MATCH(P30,SalesData[Prpty Addr],0))</f>
        <v>Hospitals</v>
      </c>
      <c r="V30" s="424" t="str">
        <f>INDEX(SalesData[Current Tenant],MATCH(P30,SalesData[Prpty Addr],0))</f>
        <v>Central Florida Cardiology Group MEDICAL CENTER</v>
      </c>
      <c r="W30" s="381"/>
      <c r="AA30" s="381"/>
      <c r="AB30" s="381"/>
      <c r="AC30" s="381"/>
      <c r="AD30" s="381"/>
      <c r="AE30" s="381"/>
      <c r="AF30" s="381"/>
      <c r="AG30" s="381"/>
      <c r="AH30" s="381"/>
      <c r="AI30" s="381"/>
      <c r="AJ30" s="381"/>
      <c r="AK30" s="381"/>
      <c r="AL30" s="381"/>
      <c r="AM30" s="381"/>
      <c r="AN30" t="s">
        <v>1516</v>
      </c>
      <c r="AO30" s="417">
        <v>4918100</v>
      </c>
      <c r="AP30">
        <v>281.5813580671018</v>
      </c>
      <c r="AQ30" s="419">
        <v>17466</v>
      </c>
      <c r="AT30" s="381"/>
      <c r="AU30" s="381"/>
      <c r="AV30" s="381"/>
    </row>
    <row r="31" spans="1:48">
      <c r="A31" s="379"/>
      <c r="B31" s="379"/>
      <c r="C31" s="379"/>
      <c r="D31" s="379"/>
      <c r="E31" s="379"/>
      <c r="F31" s="379"/>
      <c r="G31" s="381"/>
      <c r="H31" s="381"/>
      <c r="I31" s="381"/>
      <c r="J31" s="381"/>
      <c r="K31" s="381"/>
      <c r="L31" s="381"/>
      <c r="M31" s="381"/>
      <c r="N31" s="381"/>
      <c r="O31" s="381"/>
      <c r="P31" s="381"/>
      <c r="Q31" s="381"/>
      <c r="R31" s="381"/>
      <c r="S31" s="381"/>
      <c r="T31" s="381"/>
      <c r="U31" s="381"/>
      <c r="V31" s="381"/>
      <c r="W31" s="381"/>
      <c r="AA31" s="381"/>
      <c r="AB31" s="381"/>
      <c r="AC31" s="381"/>
      <c r="AD31" s="381"/>
      <c r="AE31" s="381"/>
      <c r="AF31" s="381"/>
      <c r="AG31" s="381"/>
      <c r="AH31" s="381"/>
      <c r="AI31" s="381"/>
      <c r="AJ31" s="381"/>
      <c r="AK31" s="381"/>
      <c r="AL31" s="381"/>
      <c r="AM31" s="381"/>
      <c r="AN31" t="s">
        <v>397</v>
      </c>
      <c r="AO31" s="417">
        <v>4875000</v>
      </c>
      <c r="AP31">
        <v>221.49023171285779</v>
      </c>
      <c r="AQ31" s="419">
        <v>22010</v>
      </c>
      <c r="AT31" s="381"/>
      <c r="AU31" s="381"/>
      <c r="AV31" s="381"/>
    </row>
    <row r="32" spans="1:48" ht="12" customHeight="1">
      <c r="A32" s="379"/>
      <c r="B32" s="379"/>
      <c r="C32" s="379"/>
      <c r="D32" s="379"/>
      <c r="E32" s="379"/>
      <c r="F32" s="379"/>
      <c r="G32" s="381"/>
      <c r="H32" s="381"/>
      <c r="I32" s="381"/>
      <c r="J32" s="381"/>
      <c r="K32" s="381"/>
      <c r="L32" s="381"/>
      <c r="M32" s="381"/>
      <c r="N32" s="381"/>
      <c r="O32" s="381"/>
      <c r="P32" s="381"/>
      <c r="Q32" s="381"/>
      <c r="R32" s="381"/>
      <c r="S32" s="381"/>
      <c r="T32" s="381"/>
      <c r="U32" s="381"/>
      <c r="V32" s="381"/>
      <c r="W32" s="381"/>
      <c r="AA32" s="381"/>
      <c r="AB32" s="381"/>
      <c r="AC32" s="381"/>
      <c r="AD32" s="381"/>
      <c r="AE32" s="381"/>
      <c r="AF32" s="381"/>
      <c r="AG32" s="381"/>
      <c r="AH32" s="381"/>
      <c r="AI32" s="381"/>
      <c r="AJ32" s="381"/>
      <c r="AK32" s="381"/>
      <c r="AL32" s="381"/>
      <c r="AM32" s="381"/>
      <c r="AN32" t="s">
        <v>1573</v>
      </c>
      <c r="AO32" s="417">
        <v>4500000</v>
      </c>
      <c r="AP32">
        <v>247.25274725274724</v>
      </c>
      <c r="AQ32" s="419">
        <v>18200</v>
      </c>
      <c r="AT32" s="381"/>
      <c r="AU32" s="381"/>
      <c r="AV32" s="381"/>
    </row>
    <row r="33" spans="1:48" ht="31" customHeight="1">
      <c r="A33" s="379"/>
      <c r="B33" s="379"/>
      <c r="C33" s="379"/>
      <c r="D33" s="379"/>
      <c r="E33" s="379"/>
      <c r="F33" s="379"/>
      <c r="G33" s="381"/>
      <c r="H33" s="381"/>
      <c r="I33" s="381"/>
      <c r="J33" s="381"/>
      <c r="K33" s="381"/>
      <c r="L33" s="381"/>
      <c r="M33" s="381"/>
      <c r="N33" s="381"/>
      <c r="O33" s="381"/>
      <c r="P33" s="381"/>
      <c r="Q33" s="381"/>
      <c r="R33" s="381"/>
      <c r="S33" s="381"/>
      <c r="T33" s="381"/>
      <c r="U33" s="381"/>
      <c r="V33" s="381"/>
      <c r="W33" s="381"/>
      <c r="AA33" s="381"/>
      <c r="AB33" s="381"/>
      <c r="AC33" s="381"/>
      <c r="AD33" s="381"/>
      <c r="AE33" s="381"/>
      <c r="AF33" s="381"/>
      <c r="AG33" s="381"/>
      <c r="AH33" s="381"/>
      <c r="AI33" s="381"/>
      <c r="AJ33" s="381"/>
      <c r="AK33" s="381"/>
      <c r="AL33" s="381"/>
      <c r="AM33" s="381"/>
      <c r="AN33" t="s">
        <v>473</v>
      </c>
      <c r="AO33" s="417">
        <v>4216800</v>
      </c>
      <c r="AP33">
        <v>200.81912563101247</v>
      </c>
      <c r="AQ33" s="419">
        <v>20998</v>
      </c>
      <c r="AT33" s="381"/>
      <c r="AU33" s="381"/>
      <c r="AV33" s="381"/>
    </row>
    <row r="34" spans="1:48" ht="62" customHeight="1">
      <c r="A34" s="379"/>
      <c r="B34" s="379"/>
      <c r="C34" s="379"/>
      <c r="D34" s="379"/>
      <c r="E34" s="379"/>
      <c r="F34" s="379"/>
      <c r="G34" s="381"/>
      <c r="H34" s="381"/>
      <c r="I34" s="381"/>
      <c r="J34" s="381"/>
      <c r="K34" s="381"/>
      <c r="L34" s="381"/>
      <c r="M34" s="381"/>
      <c r="N34" s="381"/>
      <c r="O34" s="381"/>
      <c r="P34" s="381"/>
      <c r="Q34" s="381"/>
      <c r="R34" s="381"/>
      <c r="S34" s="381"/>
      <c r="T34" s="381"/>
      <c r="U34" s="381"/>
      <c r="V34" s="381"/>
      <c r="W34" s="381"/>
      <c r="AA34" s="381"/>
      <c r="AB34" s="381"/>
      <c r="AC34" s="381"/>
      <c r="AD34" s="381"/>
      <c r="AE34" s="381"/>
      <c r="AF34" s="381"/>
      <c r="AG34" s="381"/>
      <c r="AH34" s="381"/>
      <c r="AI34" s="381"/>
      <c r="AJ34" s="381"/>
      <c r="AK34" s="381"/>
      <c r="AL34" s="381"/>
      <c r="AM34" s="381"/>
      <c r="AN34" t="s">
        <v>1043</v>
      </c>
      <c r="AO34" s="417">
        <v>4100000</v>
      </c>
      <c r="AP34">
        <v>227.77777777777777</v>
      </c>
      <c r="AQ34" s="419">
        <v>18000</v>
      </c>
      <c r="AT34" s="381"/>
      <c r="AU34" s="381"/>
      <c r="AV34" s="381"/>
    </row>
    <row r="35" spans="1:48">
      <c r="A35" s="379"/>
      <c r="B35" s="379"/>
      <c r="C35" s="379"/>
      <c r="D35" s="379"/>
      <c r="E35" s="379"/>
      <c r="F35" s="379"/>
      <c r="G35" s="381"/>
      <c r="H35" s="381"/>
      <c r="I35" s="381"/>
      <c r="J35" s="381"/>
      <c r="K35" s="381"/>
      <c r="L35" s="381"/>
      <c r="M35" s="381"/>
      <c r="N35" s="381"/>
      <c r="O35" s="381"/>
      <c r="P35" s="381"/>
      <c r="Q35" s="381"/>
      <c r="R35" s="381"/>
      <c r="S35" s="381"/>
      <c r="T35" s="381"/>
      <c r="U35" s="381"/>
      <c r="V35" s="381"/>
      <c r="W35" s="381"/>
      <c r="AA35" s="381"/>
      <c r="AB35" s="381"/>
      <c r="AC35" s="381"/>
      <c r="AD35" s="381"/>
      <c r="AE35" s="381"/>
      <c r="AF35" s="381"/>
      <c r="AG35" s="381"/>
      <c r="AH35" s="381"/>
      <c r="AI35" s="381"/>
      <c r="AJ35" s="381"/>
      <c r="AK35" s="381"/>
      <c r="AL35" s="381"/>
      <c r="AM35" s="381"/>
      <c r="AN35" t="s">
        <v>383</v>
      </c>
      <c r="AO35" s="417">
        <v>4030000</v>
      </c>
      <c r="AP35">
        <v>494.59990181639665</v>
      </c>
      <c r="AQ35" s="419">
        <v>8148</v>
      </c>
      <c r="AT35" s="381"/>
      <c r="AU35" s="381"/>
      <c r="AV35" s="381"/>
    </row>
    <row r="36" spans="1:48">
      <c r="A36" s="379"/>
      <c r="B36" s="379"/>
      <c r="C36" s="379"/>
      <c r="D36" s="379"/>
      <c r="E36" s="379"/>
      <c r="F36" s="379"/>
      <c r="G36" s="381"/>
      <c r="H36" s="381"/>
      <c r="I36" s="381"/>
      <c r="J36" s="381"/>
      <c r="K36" s="381"/>
      <c r="L36" s="381"/>
      <c r="M36" s="381"/>
      <c r="N36" s="381"/>
      <c r="O36" s="381"/>
      <c r="P36" s="381"/>
      <c r="Q36" s="381"/>
      <c r="R36" s="381"/>
      <c r="S36" s="381"/>
      <c r="T36" s="381"/>
      <c r="U36" s="381"/>
      <c r="V36" s="381"/>
      <c r="W36" s="381"/>
      <c r="AA36" s="381"/>
      <c r="AB36" s="381"/>
      <c r="AC36" s="381"/>
      <c r="AD36" s="381"/>
      <c r="AE36" s="381"/>
      <c r="AF36" s="381"/>
      <c r="AG36" s="381"/>
      <c r="AH36" s="381"/>
      <c r="AI36" s="381"/>
      <c r="AJ36" s="381"/>
      <c r="AK36" s="381"/>
      <c r="AL36" s="381"/>
      <c r="AM36" s="381"/>
      <c r="AN36" t="s">
        <v>1562</v>
      </c>
      <c r="AO36" s="417">
        <v>3900000</v>
      </c>
      <c r="AP36">
        <v>185.51110688293772</v>
      </c>
      <c r="AQ36" s="419">
        <v>21023</v>
      </c>
      <c r="AT36" s="381"/>
      <c r="AU36" s="381"/>
      <c r="AV36" s="381"/>
    </row>
    <row r="37" spans="1:48" ht="95" customHeight="1">
      <c r="A37" s="379"/>
      <c r="B37" s="379"/>
      <c r="C37" s="379"/>
      <c r="D37" s="379"/>
      <c r="E37" s="379"/>
      <c r="F37" s="379"/>
      <c r="G37" s="381"/>
      <c r="H37" s="381"/>
      <c r="I37" s="381"/>
      <c r="J37" s="381"/>
      <c r="K37" s="381"/>
      <c r="L37" s="381"/>
      <c r="M37" s="381"/>
      <c r="N37" s="381"/>
      <c r="O37" s="381"/>
      <c r="P37" s="381"/>
      <c r="Q37" s="381"/>
      <c r="R37" s="381"/>
      <c r="S37" s="381"/>
      <c r="T37" s="381"/>
      <c r="U37" s="381"/>
      <c r="V37" s="381"/>
      <c r="W37" s="381"/>
      <c r="AA37" s="381"/>
      <c r="AB37" s="381"/>
      <c r="AC37" s="381"/>
      <c r="AD37" s="381"/>
      <c r="AE37" s="381"/>
      <c r="AF37" s="381"/>
      <c r="AG37" s="381"/>
      <c r="AH37" s="381"/>
      <c r="AI37" s="381"/>
      <c r="AJ37" s="381"/>
      <c r="AK37" s="381"/>
      <c r="AL37" s="381"/>
      <c r="AM37" s="381"/>
      <c r="AN37" t="s">
        <v>1554</v>
      </c>
      <c r="AO37" s="417">
        <v>3570000</v>
      </c>
      <c r="AP37">
        <v>399.41821436562992</v>
      </c>
      <c r="AQ37" s="419">
        <v>8938</v>
      </c>
      <c r="AT37" s="381"/>
      <c r="AU37" s="381"/>
      <c r="AV37" s="381"/>
    </row>
    <row r="38" spans="1:48">
      <c r="A38" s="379"/>
      <c r="B38" s="379"/>
      <c r="C38" s="379"/>
      <c r="D38" s="379"/>
      <c r="E38" s="379"/>
      <c r="F38" s="379"/>
      <c r="G38" s="381"/>
      <c r="H38" s="381"/>
      <c r="I38" s="381"/>
      <c r="J38" s="381"/>
      <c r="K38" s="381"/>
      <c r="L38" s="381"/>
      <c r="M38" s="381"/>
      <c r="N38" s="381"/>
      <c r="O38" s="381"/>
      <c r="P38" s="381"/>
      <c r="Q38" s="381"/>
      <c r="R38" s="381"/>
      <c r="S38" s="381"/>
      <c r="T38" s="381"/>
      <c r="U38" s="381"/>
      <c r="V38" s="381"/>
      <c r="W38" s="381"/>
      <c r="AA38" s="381"/>
      <c r="AB38" s="381"/>
      <c r="AC38" s="381"/>
      <c r="AD38" s="381"/>
      <c r="AE38" s="381"/>
      <c r="AF38" s="381"/>
      <c r="AG38" s="381"/>
      <c r="AH38" s="381"/>
      <c r="AI38" s="381"/>
      <c r="AJ38" s="381"/>
      <c r="AK38" s="381"/>
      <c r="AL38" s="381"/>
      <c r="AM38" s="381"/>
      <c r="AN38" t="s">
        <v>853</v>
      </c>
      <c r="AO38" s="417">
        <v>3552600</v>
      </c>
      <c r="AP38">
        <v>466.9558359621451</v>
      </c>
      <c r="AQ38" s="419">
        <v>7608</v>
      </c>
      <c r="AT38" s="381"/>
      <c r="AU38" s="381"/>
      <c r="AV38" s="381"/>
    </row>
    <row r="39" spans="1:48">
      <c r="A39" s="379"/>
      <c r="B39" s="379"/>
      <c r="C39" s="379"/>
      <c r="D39" s="379"/>
      <c r="E39" s="379"/>
      <c r="F39" s="379"/>
      <c r="G39" s="381"/>
      <c r="H39" s="381"/>
      <c r="I39" s="381"/>
      <c r="J39" s="381"/>
      <c r="K39" s="381"/>
      <c r="L39" s="381"/>
      <c r="M39" s="381"/>
      <c r="N39" s="381"/>
      <c r="O39" s="381"/>
      <c r="P39" s="381"/>
      <c r="Q39" s="381"/>
      <c r="R39" s="381"/>
      <c r="S39" s="381"/>
      <c r="T39" s="381"/>
      <c r="U39" s="381"/>
      <c r="V39" s="381"/>
      <c r="W39" s="381"/>
      <c r="AA39" s="381"/>
      <c r="AB39" s="381"/>
      <c r="AC39" s="381"/>
      <c r="AD39" s="381"/>
      <c r="AE39" s="381"/>
      <c r="AF39" s="381"/>
      <c r="AG39" s="381"/>
      <c r="AH39" s="381"/>
      <c r="AI39" s="381"/>
      <c r="AJ39" s="381"/>
      <c r="AK39" s="381"/>
      <c r="AL39" s="381"/>
      <c r="AM39" s="381"/>
      <c r="AN39" t="s">
        <v>590</v>
      </c>
      <c r="AO39" s="417">
        <v>3518200</v>
      </c>
      <c r="AP39">
        <v>396.6403607666291</v>
      </c>
      <c r="AQ39" s="419">
        <v>8870</v>
      </c>
      <c r="AT39" s="381"/>
      <c r="AU39" s="381"/>
      <c r="AV39" s="381"/>
    </row>
    <row r="40" spans="1:48" ht="15" customHeight="1">
      <c r="A40" s="379"/>
      <c r="B40" s="379"/>
      <c r="C40" s="387"/>
      <c r="D40" s="379"/>
      <c r="E40" s="379"/>
      <c r="F40" s="379"/>
      <c r="G40" s="381"/>
      <c r="H40" s="381"/>
      <c r="I40" s="381"/>
      <c r="J40" s="381"/>
      <c r="K40" s="381"/>
      <c r="L40" s="381"/>
      <c r="M40" s="381"/>
      <c r="N40" s="381"/>
      <c r="O40" s="381"/>
      <c r="P40" s="381"/>
      <c r="Q40" s="381"/>
      <c r="R40" s="381"/>
      <c r="S40" s="381"/>
      <c r="T40" s="381"/>
      <c r="U40" s="381"/>
      <c r="V40" s="381"/>
      <c r="W40" s="381"/>
      <c r="AA40" s="381"/>
      <c r="AB40" s="381"/>
      <c r="AC40" s="381"/>
      <c r="AD40" s="381"/>
      <c r="AE40" s="381"/>
      <c r="AF40" s="381"/>
      <c r="AG40" s="381"/>
      <c r="AH40" s="381"/>
      <c r="AI40" s="381"/>
      <c r="AJ40" s="381"/>
      <c r="AK40" s="381"/>
      <c r="AL40" s="381"/>
      <c r="AM40" s="381"/>
      <c r="AN40" t="s">
        <v>348</v>
      </c>
      <c r="AO40" s="417">
        <v>3499900</v>
      </c>
      <c r="AP40">
        <v>251.91823220326782</v>
      </c>
      <c r="AQ40" s="419">
        <v>13893</v>
      </c>
      <c r="AT40" s="381"/>
      <c r="AU40" s="381"/>
      <c r="AV40" s="381"/>
    </row>
    <row r="41" spans="1:48">
      <c r="AN41" t="s">
        <v>1365</v>
      </c>
      <c r="AO41" s="417">
        <v>3425000</v>
      </c>
      <c r="AP41">
        <v>267.8292148889584</v>
      </c>
      <c r="AQ41" s="419">
        <v>12788</v>
      </c>
    </row>
    <row r="42" spans="1:48">
      <c r="AN42" t="s">
        <v>355</v>
      </c>
      <c r="AO42" s="417">
        <v>3400000</v>
      </c>
      <c r="AP42">
        <v>356.24476110645429</v>
      </c>
      <c r="AQ42" s="419">
        <v>9544</v>
      </c>
    </row>
    <row r="43" spans="1:48">
      <c r="AN43" t="s">
        <v>148</v>
      </c>
      <c r="AO43" s="417">
        <v>3325000</v>
      </c>
      <c r="AP43">
        <v>433.95980161837639</v>
      </c>
      <c r="AQ43" s="419">
        <v>7662</v>
      </c>
    </row>
    <row r="44" spans="1:48" ht="64" customHeight="1">
      <c r="AN44" t="s">
        <v>1190</v>
      </c>
      <c r="AO44" s="417">
        <v>3300000</v>
      </c>
      <c r="AP44">
        <v>422.53521126760563</v>
      </c>
      <c r="AQ44" s="419">
        <v>7810</v>
      </c>
    </row>
    <row r="45" spans="1:48" ht="19">
      <c r="H45" s="392"/>
      <c r="I45" s="390"/>
      <c r="J45" s="392"/>
      <c r="AN45" t="s">
        <v>443</v>
      </c>
      <c r="AO45" s="417">
        <v>3080000</v>
      </c>
      <c r="AP45">
        <v>283.03620657967286</v>
      </c>
      <c r="AQ45" s="419">
        <v>10882</v>
      </c>
    </row>
    <row r="46" spans="1:48" ht="47">
      <c r="H46" s="393"/>
      <c r="I46" s="394"/>
      <c r="J46" s="395"/>
      <c r="AN46" t="s">
        <v>1175</v>
      </c>
      <c r="AO46" s="417">
        <v>3060000</v>
      </c>
      <c r="AP46">
        <v>278.71390837052553</v>
      </c>
      <c r="AQ46" s="419">
        <v>10979</v>
      </c>
    </row>
    <row r="47" spans="1:48">
      <c r="AN47" t="s">
        <v>1428</v>
      </c>
      <c r="AO47" s="417">
        <v>2900000</v>
      </c>
      <c r="AP47">
        <v>402.16336153099434</v>
      </c>
      <c r="AQ47" s="419">
        <v>7211</v>
      </c>
    </row>
    <row r="48" spans="1:48" ht="19">
      <c r="H48" s="392"/>
      <c r="I48" s="390"/>
      <c r="J48" s="392"/>
      <c r="AN48" t="s">
        <v>918</v>
      </c>
      <c r="AO48" s="417">
        <v>2900000</v>
      </c>
      <c r="AP48">
        <v>385.22848034006375</v>
      </c>
      <c r="AQ48" s="419">
        <v>7528</v>
      </c>
    </row>
    <row r="49" spans="8:43" ht="37">
      <c r="H49" s="396"/>
      <c r="I49" s="397"/>
      <c r="J49" s="396"/>
      <c r="AN49" t="s">
        <v>1543</v>
      </c>
      <c r="AO49" s="417">
        <v>2720000</v>
      </c>
      <c r="AP49">
        <v>408.89957907396274</v>
      </c>
      <c r="AQ49" s="419">
        <v>6652</v>
      </c>
    </row>
    <row r="50" spans="8:43">
      <c r="AN50" t="s">
        <v>313</v>
      </c>
      <c r="AO50" s="417">
        <v>2650000</v>
      </c>
      <c r="AP50">
        <v>201.67427701674276</v>
      </c>
      <c r="AQ50" s="419">
        <v>13140</v>
      </c>
    </row>
    <row r="51" spans="8:43">
      <c r="AN51" t="s">
        <v>848</v>
      </c>
      <c r="AO51" s="417">
        <v>2450000</v>
      </c>
      <c r="AP51">
        <v>418.9466484268126</v>
      </c>
      <c r="AQ51" s="419">
        <v>5848</v>
      </c>
    </row>
    <row r="52" spans="8:43">
      <c r="AN52" t="s">
        <v>1447</v>
      </c>
      <c r="AO52" s="417">
        <v>2414000</v>
      </c>
      <c r="AP52">
        <v>134.11111111111111</v>
      </c>
      <c r="AQ52" s="419">
        <v>18000</v>
      </c>
    </row>
    <row r="53" spans="8:43">
      <c r="AN53" t="s">
        <v>169</v>
      </c>
      <c r="AO53" s="417">
        <v>2375000</v>
      </c>
      <c r="AP53">
        <v>220.33583820391502</v>
      </c>
      <c r="AQ53" s="419">
        <v>10779</v>
      </c>
    </row>
    <row r="54" spans="8:43">
      <c r="AN54" t="s">
        <v>744</v>
      </c>
      <c r="AO54" s="417">
        <v>2310000</v>
      </c>
      <c r="AP54">
        <v>320.83333333333331</v>
      </c>
      <c r="AQ54" s="419">
        <v>7200</v>
      </c>
    </row>
    <row r="55" spans="8:43">
      <c r="AN55" t="s">
        <v>1510</v>
      </c>
      <c r="AO55" s="417">
        <v>2305000</v>
      </c>
      <c r="AP55">
        <v>377.25040916530276</v>
      </c>
      <c r="AQ55" s="419">
        <v>6110</v>
      </c>
    </row>
    <row r="56" spans="8:43">
      <c r="AN56" t="s">
        <v>19</v>
      </c>
      <c r="AO56" s="417">
        <v>2285000</v>
      </c>
      <c r="AP56">
        <v>223.58121330724072</v>
      </c>
      <c r="AQ56" s="419">
        <v>10220</v>
      </c>
    </row>
    <row r="57" spans="8:43">
      <c r="AN57" t="s">
        <v>1411</v>
      </c>
      <c r="AO57" s="417">
        <v>2269900</v>
      </c>
      <c r="AP57">
        <v>355.56077694235591</v>
      </c>
      <c r="AQ57" s="419">
        <v>6384</v>
      </c>
    </row>
    <row r="58" spans="8:43">
      <c r="AN58" t="s">
        <v>1180</v>
      </c>
      <c r="AO58" s="417">
        <v>2050000</v>
      </c>
      <c r="AP58">
        <v>341.66666666666669</v>
      </c>
      <c r="AQ58" s="419">
        <v>6000</v>
      </c>
    </row>
    <row r="59" spans="8:43">
      <c r="AN59" t="s">
        <v>721</v>
      </c>
      <c r="AO59" s="417">
        <v>2002800</v>
      </c>
      <c r="AP59">
        <v>302.17260108630052</v>
      </c>
      <c r="AQ59" s="419">
        <v>6628</v>
      </c>
    </row>
    <row r="60" spans="8:43">
      <c r="AN60" t="s">
        <v>420</v>
      </c>
      <c r="AO60" s="417">
        <v>2000000</v>
      </c>
      <c r="AP60">
        <v>301.7046311660884</v>
      </c>
      <c r="AQ60" s="419">
        <v>6629</v>
      </c>
    </row>
    <row r="61" spans="8:43">
      <c r="AN61" t="s">
        <v>72</v>
      </c>
      <c r="AO61" s="417">
        <v>2000000</v>
      </c>
      <c r="AP61">
        <v>351.61744022503518</v>
      </c>
      <c r="AQ61" s="419">
        <v>5688</v>
      </c>
    </row>
    <row r="62" spans="8:43">
      <c r="AN62" t="s">
        <v>1318</v>
      </c>
      <c r="AO62" s="417">
        <v>2000000</v>
      </c>
      <c r="AP62">
        <v>244.85798237022527</v>
      </c>
      <c r="AQ62" s="419">
        <v>8168</v>
      </c>
    </row>
    <row r="63" spans="8:43">
      <c r="AN63" t="s">
        <v>883</v>
      </c>
      <c r="AO63" s="417">
        <v>1991400</v>
      </c>
      <c r="AP63">
        <v>466.58856607310213</v>
      </c>
      <c r="AQ63" s="419">
        <v>4268</v>
      </c>
    </row>
    <row r="64" spans="8:43">
      <c r="AN64" t="s">
        <v>547</v>
      </c>
      <c r="AO64" s="417">
        <v>1987500</v>
      </c>
      <c r="AP64">
        <v>311.08154640788854</v>
      </c>
      <c r="AQ64" s="419">
        <v>6389</v>
      </c>
    </row>
    <row r="65" spans="40:43">
      <c r="AN65" t="s">
        <v>842</v>
      </c>
      <c r="AO65" s="417">
        <v>1800000</v>
      </c>
      <c r="AP65">
        <v>294.45444135449043</v>
      </c>
      <c r="AQ65" s="419">
        <v>6113</v>
      </c>
    </row>
    <row r="66" spans="40:43">
      <c r="AN66" t="s">
        <v>44</v>
      </c>
      <c r="AO66" s="417">
        <v>1800000</v>
      </c>
      <c r="AP66">
        <v>179.24716191993627</v>
      </c>
      <c r="AQ66" s="419">
        <v>10042</v>
      </c>
    </row>
    <row r="67" spans="40:43">
      <c r="AN67" t="s">
        <v>714</v>
      </c>
      <c r="AO67" s="417">
        <v>1800000</v>
      </c>
      <c r="AP67">
        <v>300</v>
      </c>
      <c r="AQ67" s="419">
        <v>6000</v>
      </c>
    </row>
    <row r="68" spans="40:43">
      <c r="AN68" t="s">
        <v>758</v>
      </c>
      <c r="AO68" s="417">
        <v>1745000</v>
      </c>
      <c r="AP68">
        <v>351.60185371750958</v>
      </c>
      <c r="AQ68" s="419">
        <v>4963</v>
      </c>
    </row>
    <row r="69" spans="40:43">
      <c r="AN69" t="s">
        <v>246</v>
      </c>
      <c r="AO69" s="417">
        <v>1725000</v>
      </c>
      <c r="AP69">
        <v>347.78225806451616</v>
      </c>
      <c r="AQ69" s="419">
        <v>4960</v>
      </c>
    </row>
    <row r="70" spans="40:43">
      <c r="AN70" t="s">
        <v>994</v>
      </c>
      <c r="AO70" s="417">
        <v>1650000</v>
      </c>
      <c r="AP70">
        <v>402.046783625731</v>
      </c>
      <c r="AQ70" s="419">
        <v>4104</v>
      </c>
    </row>
    <row r="71" spans="40:43">
      <c r="AN71" t="s">
        <v>341</v>
      </c>
      <c r="AO71" s="417">
        <v>1650000</v>
      </c>
      <c r="AP71">
        <v>230.06134969325154</v>
      </c>
      <c r="AQ71" s="419">
        <v>7172</v>
      </c>
    </row>
    <row r="72" spans="40:43">
      <c r="AN72" t="s">
        <v>1538</v>
      </c>
      <c r="AO72" s="417">
        <v>1600000</v>
      </c>
      <c r="AP72">
        <v>241.87452758881329</v>
      </c>
      <c r="AQ72" s="419">
        <v>6615</v>
      </c>
    </row>
    <row r="73" spans="40:43">
      <c r="AN73" t="s">
        <v>466</v>
      </c>
      <c r="AO73" s="417">
        <v>1575000</v>
      </c>
      <c r="AP73">
        <v>325.14450867052022</v>
      </c>
      <c r="AQ73" s="419">
        <v>4844</v>
      </c>
    </row>
    <row r="74" spans="40:43">
      <c r="AN74" t="s">
        <v>785</v>
      </c>
      <c r="AO74" s="417">
        <v>1570000</v>
      </c>
      <c r="AP74">
        <v>332.69760542487813</v>
      </c>
      <c r="AQ74" s="419">
        <v>4719</v>
      </c>
    </row>
    <row r="75" spans="40:43">
      <c r="AN75" t="s">
        <v>830</v>
      </c>
      <c r="AO75" s="417">
        <v>1550000</v>
      </c>
      <c r="AP75">
        <v>325.97266035751841</v>
      </c>
      <c r="AQ75" s="419">
        <v>4755</v>
      </c>
    </row>
    <row r="76" spans="40:43">
      <c r="AN76" t="s">
        <v>604</v>
      </c>
      <c r="AO76" s="417">
        <v>1550000</v>
      </c>
      <c r="AP76">
        <v>317.75317753177529</v>
      </c>
      <c r="AQ76" s="419">
        <v>4878</v>
      </c>
    </row>
    <row r="77" spans="40:43">
      <c r="AN77" t="s">
        <v>650</v>
      </c>
      <c r="AO77" s="417">
        <v>1410000</v>
      </c>
      <c r="AP77">
        <v>206.29114850036575</v>
      </c>
      <c r="AQ77" s="419">
        <v>6835</v>
      </c>
    </row>
    <row r="78" spans="40:43">
      <c r="AN78" t="s">
        <v>508</v>
      </c>
      <c r="AO78" s="417">
        <v>1400000</v>
      </c>
      <c r="AP78">
        <v>408.87850467289718</v>
      </c>
      <c r="AQ78" s="419">
        <v>3424</v>
      </c>
    </row>
    <row r="79" spans="40:43">
      <c r="AN79" t="s">
        <v>222</v>
      </c>
      <c r="AO79" s="417">
        <v>1365500</v>
      </c>
      <c r="AP79">
        <v>410.30649038461536</v>
      </c>
      <c r="AQ79" s="419">
        <v>3328</v>
      </c>
    </row>
    <row r="80" spans="40:43">
      <c r="AN80" t="s">
        <v>1194</v>
      </c>
      <c r="AO80" s="417">
        <v>1340800</v>
      </c>
      <c r="AP80">
        <v>111.71471421429762</v>
      </c>
      <c r="AQ80" s="419">
        <v>12002</v>
      </c>
    </row>
    <row r="81" spans="40:43">
      <c r="AN81" t="s">
        <v>778</v>
      </c>
      <c r="AO81" s="417">
        <v>1300000</v>
      </c>
      <c r="AP81">
        <v>324.02791625124627</v>
      </c>
      <c r="AQ81" s="419">
        <v>4012</v>
      </c>
    </row>
    <row r="82" spans="40:43">
      <c r="AN82" t="s">
        <v>701</v>
      </c>
      <c r="AO82" s="417">
        <v>1300000</v>
      </c>
      <c r="AP82">
        <v>363.73810856183547</v>
      </c>
      <c r="AQ82" s="419">
        <v>3574</v>
      </c>
    </row>
    <row r="83" spans="40:43">
      <c r="AN83" t="s">
        <v>610</v>
      </c>
      <c r="AO83" s="417">
        <v>1270100</v>
      </c>
      <c r="AP83">
        <v>257.41791649777059</v>
      </c>
      <c r="AQ83" s="419">
        <v>4934</v>
      </c>
    </row>
    <row r="84" spans="40:43">
      <c r="AN84" t="s">
        <v>685</v>
      </c>
      <c r="AO84" s="417">
        <v>1250000</v>
      </c>
      <c r="AP84">
        <v>207.95208783896192</v>
      </c>
      <c r="AQ84" s="419">
        <v>6011</v>
      </c>
    </row>
    <row r="85" spans="40:43">
      <c r="AN85" t="s">
        <v>1331</v>
      </c>
      <c r="AO85" s="417">
        <v>1225000</v>
      </c>
      <c r="AP85">
        <v>360.29411764705884</v>
      </c>
      <c r="AQ85" s="419">
        <v>3400</v>
      </c>
    </row>
    <row r="86" spans="40:43">
      <c r="AN86" t="s">
        <v>89</v>
      </c>
      <c r="AO86" s="417">
        <v>1224900</v>
      </c>
      <c r="AP86">
        <v>236.14806246385194</v>
      </c>
      <c r="AQ86" s="419">
        <v>5187</v>
      </c>
    </row>
    <row r="87" spans="40:43">
      <c r="AN87" t="s">
        <v>975</v>
      </c>
      <c r="AO87" s="417">
        <v>1200000</v>
      </c>
      <c r="AP87">
        <v>266.96329254727476</v>
      </c>
      <c r="AQ87" s="419">
        <v>4495</v>
      </c>
    </row>
    <row r="88" spans="40:43">
      <c r="AN88" t="s">
        <v>625</v>
      </c>
      <c r="AO88" s="417">
        <v>1200000</v>
      </c>
      <c r="AP88">
        <v>353.98230088495575</v>
      </c>
      <c r="AQ88" s="419">
        <v>3390</v>
      </c>
    </row>
    <row r="89" spans="40:43">
      <c r="AN89" t="s">
        <v>617</v>
      </c>
      <c r="AO89" s="417">
        <v>1200000</v>
      </c>
      <c r="AP89">
        <v>309.03940252382176</v>
      </c>
      <c r="AQ89" s="419">
        <v>3883</v>
      </c>
    </row>
    <row r="90" spans="40:43">
      <c r="AN90" t="s">
        <v>1463</v>
      </c>
      <c r="AO90" s="417">
        <v>1200000</v>
      </c>
      <c r="AP90">
        <v>216.68472372697724</v>
      </c>
      <c r="AQ90" s="419">
        <v>5538</v>
      </c>
    </row>
    <row r="91" spans="40:43">
      <c r="AN91" t="s">
        <v>1381</v>
      </c>
      <c r="AO91" s="417">
        <v>1200000</v>
      </c>
      <c r="AP91">
        <v>342.95513003715348</v>
      </c>
      <c r="AQ91" s="419">
        <v>3499</v>
      </c>
    </row>
    <row r="92" spans="40:43">
      <c r="AN92" t="s">
        <v>772</v>
      </c>
      <c r="AO92" s="417">
        <v>1186500</v>
      </c>
      <c r="AP92">
        <v>263.37402885682576</v>
      </c>
      <c r="AQ92" s="419">
        <v>4505</v>
      </c>
    </row>
    <row r="93" spans="40:43">
      <c r="AN93" t="s">
        <v>953</v>
      </c>
      <c r="AO93" s="417">
        <v>1150000</v>
      </c>
      <c r="AP93">
        <v>275.64717162032599</v>
      </c>
      <c r="AQ93" s="419">
        <v>4172</v>
      </c>
    </row>
    <row r="94" spans="40:43">
      <c r="AN94" t="s">
        <v>597</v>
      </c>
      <c r="AO94" s="417">
        <v>1150000</v>
      </c>
      <c r="AP94">
        <v>407.36804817569958</v>
      </c>
      <c r="AQ94" s="419">
        <v>2823</v>
      </c>
    </row>
    <row r="95" spans="40:43">
      <c r="AN95" t="s">
        <v>321</v>
      </c>
      <c r="AO95" s="417">
        <v>1140000</v>
      </c>
      <c r="AP95">
        <v>276.90065581734274</v>
      </c>
      <c r="AQ95" s="419">
        <v>4117</v>
      </c>
    </row>
    <row r="96" spans="40:43">
      <c r="AN96" t="s">
        <v>32</v>
      </c>
      <c r="AO96" s="417">
        <v>1100000</v>
      </c>
      <c r="AP96">
        <v>250.62656641604011</v>
      </c>
      <c r="AQ96" s="419">
        <v>4389</v>
      </c>
    </row>
    <row r="97" spans="40:43">
      <c r="AN97" t="s">
        <v>570</v>
      </c>
      <c r="AO97" s="417">
        <v>1100000</v>
      </c>
      <c r="AP97">
        <v>373.51443123938878</v>
      </c>
      <c r="AQ97" s="419">
        <v>2945</v>
      </c>
    </row>
    <row r="98" spans="40:43">
      <c r="AN98" t="s">
        <v>1084</v>
      </c>
      <c r="AO98" s="417">
        <v>1100000</v>
      </c>
      <c r="AP98">
        <v>269.60784313725492</v>
      </c>
      <c r="AQ98" s="419">
        <v>4080</v>
      </c>
    </row>
    <row r="99" spans="40:43">
      <c r="AN99" t="s">
        <v>1298</v>
      </c>
      <c r="AO99" s="417">
        <v>1040000</v>
      </c>
      <c r="AP99">
        <v>238.91569032850907</v>
      </c>
      <c r="AQ99" s="419">
        <v>4353</v>
      </c>
    </row>
    <row r="100" spans="40:43">
      <c r="AN100" t="s">
        <v>1674</v>
      </c>
      <c r="AO100" s="417">
        <v>1025000</v>
      </c>
      <c r="AP100">
        <v>229.97531972178595</v>
      </c>
      <c r="AQ100" s="419">
        <v>4457</v>
      </c>
    </row>
    <row r="101" spans="40:43">
      <c r="AN101" t="s">
        <v>737</v>
      </c>
      <c r="AO101" s="417">
        <v>1010000</v>
      </c>
      <c r="AP101">
        <v>175.49956559513467</v>
      </c>
      <c r="AQ101" s="419">
        <v>5755</v>
      </c>
    </row>
    <row r="102" spans="40:43">
      <c r="AN102" t="s">
        <v>390</v>
      </c>
      <c r="AO102" s="417">
        <v>965900</v>
      </c>
      <c r="AP102">
        <v>148.41733251382914</v>
      </c>
      <c r="AQ102" s="419">
        <v>6508</v>
      </c>
    </row>
    <row r="103" spans="40:43">
      <c r="AN103" t="s">
        <v>157</v>
      </c>
      <c r="AO103" s="417">
        <v>940000</v>
      </c>
      <c r="AP103">
        <v>109.98010998010999</v>
      </c>
      <c r="AQ103" s="419">
        <v>8547</v>
      </c>
    </row>
    <row r="104" spans="40:43">
      <c r="AN104" t="s">
        <v>140</v>
      </c>
      <c r="AO104" s="417">
        <v>925000</v>
      </c>
      <c r="AP104">
        <v>262.41134751773052</v>
      </c>
      <c r="AQ104" s="419">
        <v>3525</v>
      </c>
    </row>
    <row r="105" spans="40:43">
      <c r="AN105" t="s">
        <v>694</v>
      </c>
      <c r="AO105" s="417">
        <v>925000</v>
      </c>
      <c r="AP105">
        <v>155.46218487394958</v>
      </c>
      <c r="AQ105" s="419">
        <v>5950</v>
      </c>
    </row>
    <row r="106" spans="40:43">
      <c r="AN106" t="s">
        <v>214</v>
      </c>
      <c r="AO106" s="417">
        <v>900000</v>
      </c>
      <c r="AP106">
        <v>152.54237288135593</v>
      </c>
      <c r="AQ106" s="419">
        <v>5900</v>
      </c>
    </row>
    <row r="107" spans="40:43">
      <c r="AN107" t="s">
        <v>1186</v>
      </c>
      <c r="AO107" s="417">
        <v>900000</v>
      </c>
      <c r="AP107">
        <v>214.28571428571428</v>
      </c>
      <c r="AQ107" s="419">
        <v>4200</v>
      </c>
    </row>
    <row r="108" spans="40:43">
      <c r="AN108" t="s">
        <v>252</v>
      </c>
      <c r="AO108" s="417">
        <v>900000</v>
      </c>
      <c r="AP108">
        <v>253.52112676056339</v>
      </c>
      <c r="AQ108" s="419">
        <v>3550</v>
      </c>
    </row>
    <row r="109" spans="40:43">
      <c r="AN109" t="s">
        <v>515</v>
      </c>
      <c r="AO109" s="417">
        <v>850000</v>
      </c>
      <c r="AP109">
        <v>332.68101761252444</v>
      </c>
      <c r="AQ109" s="419">
        <v>2555</v>
      </c>
    </row>
    <row r="110" spans="40:43">
      <c r="AN110" t="s">
        <v>1337</v>
      </c>
      <c r="AO110" s="417">
        <v>850000</v>
      </c>
      <c r="AP110">
        <v>358.19637589549092</v>
      </c>
      <c r="AQ110" s="419">
        <v>2373</v>
      </c>
    </row>
    <row r="111" spans="40:43">
      <c r="AN111" t="s">
        <v>578</v>
      </c>
      <c r="AO111" s="417">
        <v>846000</v>
      </c>
      <c r="AP111">
        <v>328.0341217526173</v>
      </c>
      <c r="AQ111" s="419">
        <v>2579</v>
      </c>
    </row>
    <row r="112" spans="40:43">
      <c r="AN112" t="s">
        <v>912</v>
      </c>
      <c r="AO112" s="417">
        <v>840000</v>
      </c>
      <c r="AP112">
        <v>252.32802643436469</v>
      </c>
      <c r="AQ112" s="419">
        <v>3329</v>
      </c>
    </row>
    <row r="113" spans="40:43">
      <c r="AN113" t="s">
        <v>728</v>
      </c>
      <c r="AO113" s="417">
        <v>840000</v>
      </c>
      <c r="AP113">
        <v>271.14267269205942</v>
      </c>
      <c r="AQ113" s="419">
        <v>3098</v>
      </c>
    </row>
    <row r="114" spans="40:43">
      <c r="AN114" t="s">
        <v>1377</v>
      </c>
      <c r="AO114" s="417">
        <v>825000</v>
      </c>
      <c r="AP114">
        <v>320.5128205128205</v>
      </c>
      <c r="AQ114" s="419">
        <v>2574</v>
      </c>
    </row>
    <row r="115" spans="40:43">
      <c r="AN115" t="s">
        <v>1055</v>
      </c>
      <c r="AO115" s="417">
        <v>810000</v>
      </c>
      <c r="AP115">
        <v>322.96650717703352</v>
      </c>
      <c r="AQ115" s="419">
        <v>2508</v>
      </c>
    </row>
    <row r="116" spans="40:43">
      <c r="AN116" t="s">
        <v>123</v>
      </c>
      <c r="AO116" s="417">
        <v>800000</v>
      </c>
      <c r="AP116">
        <v>322.58064516129031</v>
      </c>
      <c r="AQ116" s="419">
        <v>2480</v>
      </c>
    </row>
    <row r="117" spans="40:43">
      <c r="AN117" t="s">
        <v>495</v>
      </c>
      <c r="AO117" s="417">
        <v>800000</v>
      </c>
      <c r="AP117">
        <v>328.54209445585218</v>
      </c>
      <c r="AQ117" s="419">
        <v>2435</v>
      </c>
    </row>
    <row r="118" spans="40:43">
      <c r="AN118" t="s">
        <v>1470</v>
      </c>
      <c r="AO118" s="417">
        <v>800000</v>
      </c>
      <c r="AP118">
        <v>150.48908954100827</v>
      </c>
      <c r="AQ118" s="419">
        <v>5316</v>
      </c>
    </row>
    <row r="119" spans="40:43">
      <c r="AN119" t="s">
        <v>824</v>
      </c>
      <c r="AO119" s="417">
        <v>800000</v>
      </c>
      <c r="AP119">
        <v>327.46623004502663</v>
      </c>
      <c r="AQ119" s="419">
        <v>2443</v>
      </c>
    </row>
    <row r="120" spans="40:43">
      <c r="AN120" t="s">
        <v>798</v>
      </c>
      <c r="AO120" s="417">
        <v>800000</v>
      </c>
      <c r="AP120">
        <v>157.82205563227461</v>
      </c>
      <c r="AQ120" s="419">
        <v>5069</v>
      </c>
    </row>
    <row r="121" spans="40:43">
      <c r="AN121" t="s">
        <v>1312</v>
      </c>
      <c r="AO121" s="417">
        <v>786000</v>
      </c>
      <c r="AP121">
        <v>123.39089481946625</v>
      </c>
      <c r="AQ121" s="419">
        <v>6370</v>
      </c>
    </row>
    <row r="122" spans="40:43">
      <c r="AN122" t="s">
        <v>1031</v>
      </c>
      <c r="AO122" s="417">
        <v>780000</v>
      </c>
      <c r="AP122">
        <v>296.01518026565464</v>
      </c>
      <c r="AQ122" s="419">
        <v>2635</v>
      </c>
    </row>
    <row r="123" spans="40:43">
      <c r="AN123" t="s">
        <v>1131</v>
      </c>
      <c r="AO123" s="417">
        <v>750000</v>
      </c>
      <c r="AP123">
        <v>157.72870662460568</v>
      </c>
      <c r="AQ123" s="419">
        <v>4755</v>
      </c>
    </row>
    <row r="124" spans="40:43">
      <c r="AN124" t="s">
        <v>1007</v>
      </c>
      <c r="AO124" s="417">
        <v>742000</v>
      </c>
      <c r="AP124">
        <v>285.38461538461536</v>
      </c>
      <c r="AQ124" s="419">
        <v>2600</v>
      </c>
    </row>
    <row r="125" spans="40:43">
      <c r="AN125" t="s">
        <v>1301</v>
      </c>
      <c r="AO125" s="417">
        <v>725000</v>
      </c>
      <c r="AP125">
        <v>170.34774436090225</v>
      </c>
      <c r="AQ125" s="419">
        <v>4256</v>
      </c>
    </row>
    <row r="126" spans="40:43">
      <c r="AN126" t="s">
        <v>1049</v>
      </c>
      <c r="AO126" s="417">
        <v>725000</v>
      </c>
      <c r="AP126">
        <v>241.66666666666666</v>
      </c>
      <c r="AQ126" s="419">
        <v>3000</v>
      </c>
    </row>
    <row r="127" spans="40:43">
      <c r="AN127" t="s">
        <v>115</v>
      </c>
      <c r="AO127" s="417">
        <v>720000</v>
      </c>
      <c r="AP127">
        <v>364.37246963562751</v>
      </c>
      <c r="AQ127" s="419">
        <v>1976</v>
      </c>
    </row>
    <row r="128" spans="40:43">
      <c r="AN128" t="s">
        <v>812</v>
      </c>
      <c r="AO128" s="417">
        <v>700000</v>
      </c>
      <c r="AP128">
        <v>326.34032634032633</v>
      </c>
      <c r="AQ128" s="419">
        <v>2145</v>
      </c>
    </row>
    <row r="129" spans="40:43">
      <c r="AN129" t="s">
        <v>1001</v>
      </c>
      <c r="AO129" s="417">
        <v>685000</v>
      </c>
      <c r="AP129">
        <v>152.22222222222223</v>
      </c>
      <c r="AQ129" s="419">
        <v>4500</v>
      </c>
    </row>
    <row r="130" spans="40:43">
      <c r="AN130" t="s">
        <v>183</v>
      </c>
      <c r="AO130" s="417">
        <v>670000</v>
      </c>
      <c r="AP130">
        <v>135.40824575586095</v>
      </c>
      <c r="AQ130" s="419">
        <v>4948</v>
      </c>
    </row>
    <row r="131" spans="40:43">
      <c r="AN131" t="s">
        <v>931</v>
      </c>
      <c r="AO131" s="417">
        <v>665000</v>
      </c>
      <c r="AP131">
        <v>295.8185053380783</v>
      </c>
      <c r="AQ131" s="419">
        <v>2248</v>
      </c>
    </row>
    <row r="132" spans="40:43">
      <c r="AN132" t="s">
        <v>1096</v>
      </c>
      <c r="AO132" s="417">
        <v>650000</v>
      </c>
      <c r="AP132">
        <v>135.41666666666666</v>
      </c>
      <c r="AQ132" s="419">
        <v>4800</v>
      </c>
    </row>
    <row r="133" spans="40:43">
      <c r="AN133" t="s">
        <v>1392</v>
      </c>
      <c r="AO133" s="417">
        <v>650000</v>
      </c>
      <c r="AP133">
        <v>253.11526479750779</v>
      </c>
      <c r="AQ133" s="419">
        <v>2568</v>
      </c>
    </row>
    <row r="134" spans="40:43">
      <c r="AN134" t="s">
        <v>364</v>
      </c>
      <c r="AO134" s="417">
        <v>649000</v>
      </c>
      <c r="AP134">
        <v>224.5674740484429</v>
      </c>
      <c r="AQ134" s="419">
        <v>2890</v>
      </c>
    </row>
    <row r="135" spans="40:43">
      <c r="AN135" t="s">
        <v>1019</v>
      </c>
      <c r="AO135" s="417">
        <v>625000</v>
      </c>
      <c r="AP135">
        <v>231.56724712856612</v>
      </c>
      <c r="AQ135" s="419">
        <v>2699</v>
      </c>
    </row>
    <row r="136" spans="40:43">
      <c r="AN136" t="s">
        <v>1435</v>
      </c>
      <c r="AO136" s="417">
        <v>625000</v>
      </c>
      <c r="AP136">
        <v>138.39681133746677</v>
      </c>
      <c r="AQ136" s="419">
        <v>4516</v>
      </c>
    </row>
    <row r="137" spans="40:43">
      <c r="AN137" t="s">
        <v>1349</v>
      </c>
      <c r="AO137" s="417">
        <v>621000</v>
      </c>
      <c r="AP137">
        <v>197.14285714285714</v>
      </c>
      <c r="AQ137" s="419">
        <v>3150</v>
      </c>
    </row>
    <row r="138" spans="40:43">
      <c r="AN138" t="s">
        <v>1074</v>
      </c>
      <c r="AO138" s="417">
        <v>620000</v>
      </c>
      <c r="AP138">
        <v>238.55328972681801</v>
      </c>
      <c r="AQ138" s="419">
        <v>2599</v>
      </c>
    </row>
    <row r="139" spans="40:43">
      <c r="AN139" t="s">
        <v>924</v>
      </c>
      <c r="AO139" s="417">
        <v>610000</v>
      </c>
      <c r="AP139">
        <v>271.35231316725981</v>
      </c>
      <c r="AQ139" s="419">
        <v>2248</v>
      </c>
    </row>
    <row r="140" spans="40:43">
      <c r="AN140" t="s">
        <v>818</v>
      </c>
      <c r="AO140" s="417">
        <v>600000</v>
      </c>
      <c r="AP140">
        <v>227.27272727272728</v>
      </c>
      <c r="AQ140" s="419">
        <v>2640</v>
      </c>
    </row>
    <row r="141" spans="40:43">
      <c r="AN141" t="s">
        <v>176</v>
      </c>
      <c r="AO141" s="417">
        <v>600000</v>
      </c>
      <c r="AP141">
        <v>173.81228273464657</v>
      </c>
      <c r="AQ141" s="419">
        <v>3452</v>
      </c>
    </row>
    <row r="142" spans="40:43">
      <c r="AN142" t="s">
        <v>63</v>
      </c>
      <c r="AO142" s="417">
        <v>592000</v>
      </c>
      <c r="AP142">
        <v>169.14285714285714</v>
      </c>
      <c r="AQ142" s="419">
        <v>3500</v>
      </c>
    </row>
    <row r="143" spans="40:43">
      <c r="AN143" t="s">
        <v>299</v>
      </c>
      <c r="AO143" s="417">
        <v>585000</v>
      </c>
      <c r="AP143">
        <v>127.45098039215686</v>
      </c>
      <c r="AQ143" s="419">
        <v>4590</v>
      </c>
    </row>
    <row r="144" spans="40:43">
      <c r="AN144" t="s">
        <v>1398</v>
      </c>
      <c r="AO144" s="417">
        <v>580000</v>
      </c>
      <c r="AP144">
        <v>239.27392739273927</v>
      </c>
      <c r="AQ144" s="419">
        <v>2424</v>
      </c>
    </row>
    <row r="145" spans="40:43">
      <c r="AN145" t="s">
        <v>1293</v>
      </c>
      <c r="AO145" s="417">
        <v>560000</v>
      </c>
      <c r="AP145">
        <v>240.13722126929673</v>
      </c>
      <c r="AQ145" s="419">
        <v>2332</v>
      </c>
    </row>
    <row r="146" spans="40:43">
      <c r="AN146" t="s">
        <v>1265</v>
      </c>
      <c r="AO146" s="417">
        <v>537000</v>
      </c>
      <c r="AP146">
        <v>224.87437185929647</v>
      </c>
      <c r="AQ146" s="419">
        <v>2388</v>
      </c>
    </row>
    <row r="147" spans="40:43">
      <c r="AN147" t="s">
        <v>1025</v>
      </c>
      <c r="AO147" s="417">
        <v>535200</v>
      </c>
      <c r="AP147">
        <v>227.06830717013153</v>
      </c>
      <c r="AQ147" s="419">
        <v>2357</v>
      </c>
    </row>
    <row r="148" spans="40:43">
      <c r="AN148" t="s">
        <v>1371</v>
      </c>
      <c r="AO148" s="417">
        <v>533000</v>
      </c>
      <c r="AP148">
        <v>221.16182572614107</v>
      </c>
      <c r="AQ148" s="419">
        <v>2410</v>
      </c>
    </row>
    <row r="149" spans="40:43">
      <c r="AN149" t="s">
        <v>806</v>
      </c>
      <c r="AO149" s="417">
        <v>530000</v>
      </c>
      <c r="AP149">
        <v>240.36281179138322</v>
      </c>
      <c r="AQ149" s="419">
        <v>2205</v>
      </c>
    </row>
    <row r="150" spans="40:43">
      <c r="AN150" t="s">
        <v>1080</v>
      </c>
      <c r="AO150" s="417">
        <v>525000</v>
      </c>
      <c r="AP150">
        <v>243.05555555555554</v>
      </c>
      <c r="AQ150" s="419">
        <v>2160</v>
      </c>
    </row>
    <row r="151" spans="40:43">
      <c r="AN151" t="s">
        <v>1343</v>
      </c>
      <c r="AO151" s="417">
        <v>514200</v>
      </c>
      <c r="AP151">
        <v>205.68</v>
      </c>
      <c r="AQ151" s="419">
        <v>2500</v>
      </c>
    </row>
    <row r="152" spans="40:43">
      <c r="AN152" t="s">
        <v>1236</v>
      </c>
      <c r="AO152" s="417">
        <v>510000</v>
      </c>
      <c r="AP152">
        <v>202.06022187004754</v>
      </c>
      <c r="AQ152" s="419">
        <v>2524</v>
      </c>
    </row>
    <row r="153" spans="40:43">
      <c r="AN153" t="s">
        <v>1497</v>
      </c>
      <c r="AO153" s="417">
        <v>500000</v>
      </c>
      <c r="AP153">
        <v>271.29679869777539</v>
      </c>
      <c r="AQ153" s="419">
        <v>1843</v>
      </c>
    </row>
    <row r="154" spans="40:43">
      <c r="AN154" t="s">
        <v>1143</v>
      </c>
      <c r="AO154" s="417">
        <v>494000</v>
      </c>
      <c r="AP154">
        <v>166.21803499327052</v>
      </c>
      <c r="AQ154" s="419">
        <v>2972</v>
      </c>
    </row>
    <row r="155" spans="40:43">
      <c r="AN155" t="s">
        <v>1287</v>
      </c>
      <c r="AO155" s="417">
        <v>486500</v>
      </c>
      <c r="AP155">
        <v>112.61574074074075</v>
      </c>
      <c r="AQ155" s="419">
        <v>4320</v>
      </c>
    </row>
    <row r="156" spans="40:43">
      <c r="AN156" t="s">
        <v>292</v>
      </c>
      <c r="AO156" s="417">
        <v>475000</v>
      </c>
      <c r="AP156">
        <v>102.81385281385282</v>
      </c>
      <c r="AQ156" s="419">
        <v>4620</v>
      </c>
    </row>
    <row r="157" spans="40:43">
      <c r="AN157" t="s">
        <v>1108</v>
      </c>
      <c r="AO157" s="417">
        <v>475000</v>
      </c>
      <c r="AP157">
        <v>193.08943089430895</v>
      </c>
      <c r="AQ157" s="419">
        <v>2460</v>
      </c>
    </row>
    <row r="158" spans="40:43">
      <c r="AN158" t="s">
        <v>1248</v>
      </c>
      <c r="AO158" s="417">
        <v>460000</v>
      </c>
      <c r="AP158">
        <v>180.39215686274511</v>
      </c>
      <c r="AQ158" s="419">
        <v>2550</v>
      </c>
    </row>
    <row r="159" spans="40:43">
      <c r="AN159" t="s">
        <v>275</v>
      </c>
      <c r="AO159" s="417">
        <v>448100</v>
      </c>
      <c r="AP159">
        <v>130.79392877991828</v>
      </c>
      <c r="AQ159" s="419">
        <v>3426</v>
      </c>
    </row>
    <row r="160" spans="40:43">
      <c r="AN160" t="s">
        <v>1210</v>
      </c>
      <c r="AO160" s="417">
        <v>420000</v>
      </c>
      <c r="AP160">
        <v>152.39477503628447</v>
      </c>
      <c r="AQ160" s="419">
        <v>2756</v>
      </c>
    </row>
    <row r="161" spans="40:43">
      <c r="AN161" t="s">
        <v>1090</v>
      </c>
      <c r="AO161" s="417">
        <v>417500</v>
      </c>
      <c r="AP161">
        <v>224.94612068965517</v>
      </c>
      <c r="AQ161" s="419">
        <v>1856</v>
      </c>
    </row>
    <row r="162" spans="40:43">
      <c r="AN162" t="s">
        <v>1242</v>
      </c>
      <c r="AO162" s="417">
        <v>400000</v>
      </c>
      <c r="AP162">
        <v>166.66666666666666</v>
      </c>
      <c r="AQ162" s="419">
        <v>2400</v>
      </c>
    </row>
    <row r="163" spans="40:43">
      <c r="AN163" t="s">
        <v>1149</v>
      </c>
      <c r="AO163" s="417">
        <v>399000</v>
      </c>
      <c r="AP163">
        <v>199.5</v>
      </c>
      <c r="AQ163" s="419">
        <v>2000</v>
      </c>
    </row>
    <row r="164" spans="40:43">
      <c r="AN164" t="s">
        <v>1120</v>
      </c>
      <c r="AO164" s="417">
        <v>390000</v>
      </c>
      <c r="AP164">
        <v>106.73234811165845</v>
      </c>
      <c r="AQ164" s="419">
        <v>3654</v>
      </c>
    </row>
    <row r="165" spans="40:43">
      <c r="AN165" t="s">
        <v>501</v>
      </c>
      <c r="AO165" s="417">
        <v>366400</v>
      </c>
      <c r="AP165">
        <v>127.39916550764951</v>
      </c>
      <c r="AQ165" s="419">
        <v>2876</v>
      </c>
    </row>
    <row r="166" spans="40:43">
      <c r="AN166" t="s">
        <v>1037</v>
      </c>
      <c r="AO166" s="417">
        <v>350000</v>
      </c>
      <c r="AP166">
        <v>171.82130584192439</v>
      </c>
      <c r="AQ166" s="419">
        <v>2037</v>
      </c>
    </row>
    <row r="167" spans="40:43">
      <c r="AN167" t="s">
        <v>1482</v>
      </c>
      <c r="AO167" s="417">
        <v>350000</v>
      </c>
      <c r="AP167">
        <v>142.3342822285482</v>
      </c>
      <c r="AQ167" s="419">
        <v>2459</v>
      </c>
    </row>
    <row r="168" spans="40:43">
      <c r="AN168" t="s">
        <v>206</v>
      </c>
      <c r="AO168" s="417">
        <v>344600</v>
      </c>
      <c r="AP168">
        <v>117.37057220708446</v>
      </c>
      <c r="AQ168" s="419">
        <v>2936</v>
      </c>
    </row>
    <row r="169" spans="40:43">
      <c r="AN169" t="s">
        <v>876</v>
      </c>
      <c r="AO169" s="417">
        <v>330000</v>
      </c>
      <c r="AP169">
        <v>165</v>
      </c>
      <c r="AQ169" s="419">
        <v>2000</v>
      </c>
    </row>
    <row r="170" spans="40:43">
      <c r="AN170" t="s">
        <v>1215</v>
      </c>
      <c r="AO170" s="417">
        <v>293000</v>
      </c>
      <c r="AP170">
        <v>127.66884531590414</v>
      </c>
      <c r="AQ170" s="419">
        <v>2295</v>
      </c>
    </row>
    <row r="171" spans="40:43">
      <c r="AN171" t="s">
        <v>1489</v>
      </c>
      <c r="AO171" s="417">
        <v>275000</v>
      </c>
      <c r="AP171">
        <v>123.87387387387388</v>
      </c>
      <c r="AQ171" s="419">
        <v>2220</v>
      </c>
    </row>
    <row r="172" spans="40:43">
      <c r="AN172" t="s">
        <v>889</v>
      </c>
      <c r="AO172" s="417">
        <v>250100</v>
      </c>
      <c r="AP172">
        <v>116.32558139534883</v>
      </c>
      <c r="AQ172" s="419">
        <v>2150</v>
      </c>
    </row>
    <row r="173" spans="40:43">
      <c r="AN173" t="s">
        <v>1161</v>
      </c>
      <c r="AO173" s="417">
        <v>210000</v>
      </c>
      <c r="AP173">
        <v>108.63942058975685</v>
      </c>
      <c r="AQ173" s="419">
        <v>1933</v>
      </c>
    </row>
  </sheetData>
  <mergeCells count="2">
    <mergeCell ref="H17:H19"/>
    <mergeCell ref="J17:J19"/>
  </mergeCells>
  <pageMargins left="0.7" right="0.7" top="0.75" bottom="0.75" header="0.3" footer="0.3"/>
  <pageSetup orientation="portrait" horizontalDpi="0" verticalDpi="0"/>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3269-53BB-DA42-8848-8E66B3DEFB31}">
  <dimension ref="A1:V1158"/>
  <sheetViews>
    <sheetView zoomScale="112" workbookViewId="0">
      <selection activeCell="N80" sqref="N80"/>
    </sheetView>
  </sheetViews>
  <sheetFormatPr baseColWidth="10" defaultColWidth="11" defaultRowHeight="15.75" customHeight="1"/>
  <cols>
    <col min="1" max="1" width="4" customWidth="1"/>
    <col min="2" max="2" width="26.83203125" style="43" bestFit="1" customWidth="1"/>
    <col min="3" max="3" width="15.83203125" style="43" customWidth="1"/>
    <col min="4" max="4" width="11.83203125" customWidth="1"/>
    <col min="5" max="5" width="14.6640625" style="44" customWidth="1"/>
    <col min="6" max="6" width="14.6640625" style="45" customWidth="1"/>
    <col min="7" max="8" width="11" style="46" customWidth="1"/>
    <col min="9" max="9" width="21" style="47" customWidth="1"/>
    <col min="10" max="10" width="13" style="48" hidden="1" customWidth="1"/>
    <col min="11" max="13" width="11" hidden="1" customWidth="1"/>
    <col min="14" max="14" width="22.6640625" customWidth="1"/>
    <col min="15" max="15" width="11.6640625" hidden="1" customWidth="1"/>
    <col min="16" max="16" width="35" style="1" customWidth="1"/>
    <col min="17" max="17" width="27" customWidth="1"/>
    <col min="18" max="18" width="32.6640625" customWidth="1"/>
    <col min="19" max="19" width="21" customWidth="1"/>
    <col min="22" max="22" width="9.83203125" customWidth="1"/>
  </cols>
  <sheetData>
    <row r="1" spans="1:22" ht="15.75" customHeight="1">
      <c r="A1" t="s">
        <v>6315</v>
      </c>
    </row>
    <row r="2" spans="1:22" ht="45" customHeight="1">
      <c r="A2" s="1" t="s">
        <v>0</v>
      </c>
      <c r="B2" s="2" t="s">
        <v>1</v>
      </c>
      <c r="C2" s="3" t="s">
        <v>2</v>
      </c>
      <c r="D2" s="4" t="s">
        <v>3</v>
      </c>
      <c r="E2" s="5" t="s">
        <v>4</v>
      </c>
      <c r="F2" s="6" t="s">
        <v>5</v>
      </c>
      <c r="G2" s="7" t="s">
        <v>6</v>
      </c>
      <c r="H2" s="7" t="s">
        <v>7</v>
      </c>
      <c r="I2" s="8" t="s">
        <v>8</v>
      </c>
      <c r="J2" s="9" t="s">
        <v>9</v>
      </c>
      <c r="K2" s="2" t="s">
        <v>10</v>
      </c>
      <c r="L2" s="2" t="s">
        <v>11</v>
      </c>
      <c r="M2" s="2" t="s">
        <v>12</v>
      </c>
      <c r="N2" s="2" t="s">
        <v>13</v>
      </c>
      <c r="O2" s="2" t="s">
        <v>14</v>
      </c>
      <c r="P2" s="10" t="s">
        <v>15</v>
      </c>
      <c r="Q2" s="2" t="s">
        <v>16</v>
      </c>
      <c r="R2" s="2" t="s">
        <v>17</v>
      </c>
      <c r="S2" s="2" t="s">
        <v>18</v>
      </c>
      <c r="T2" s="364" t="s">
        <v>6317</v>
      </c>
      <c r="U2" s="364" t="s">
        <v>6319</v>
      </c>
      <c r="V2" s="364" t="s">
        <v>6522</v>
      </c>
    </row>
    <row r="3" spans="1:22" ht="17">
      <c r="A3">
        <v>3</v>
      </c>
      <c r="B3" s="11" t="s">
        <v>19</v>
      </c>
      <c r="C3" s="12" t="s">
        <v>20</v>
      </c>
      <c r="D3" s="13" t="s">
        <v>21</v>
      </c>
      <c r="E3" s="14">
        <v>2285000</v>
      </c>
      <c r="F3" s="15">
        <f>Table2[[#This Row],[Price]]/Table2[[#This Row],[Tot Ht Area]]</f>
        <v>223.58121330724072</v>
      </c>
      <c r="G3" s="16">
        <v>10220</v>
      </c>
      <c r="H3" s="16">
        <v>10220</v>
      </c>
      <c r="I3" s="17" t="s">
        <v>22</v>
      </c>
      <c r="J3" s="18" t="s">
        <v>23</v>
      </c>
      <c r="K3" s="19" t="s">
        <v>24</v>
      </c>
      <c r="L3" s="19"/>
      <c r="M3" s="19" t="s">
        <v>25</v>
      </c>
      <c r="N3" s="20" t="s">
        <v>1519</v>
      </c>
      <c r="O3" s="20" t="s">
        <v>27</v>
      </c>
      <c r="P3" s="21" t="s">
        <v>6374</v>
      </c>
      <c r="Q3" s="22" t="s">
        <v>29</v>
      </c>
      <c r="R3" s="22" t="s">
        <v>30</v>
      </c>
      <c r="S3" s="20" t="s">
        <v>31</v>
      </c>
      <c r="T3" s="20"/>
      <c r="U3" s="20"/>
      <c r="V3" s="20"/>
    </row>
    <row r="4" spans="1:22" ht="34">
      <c r="A4">
        <v>3</v>
      </c>
      <c r="B4" s="11" t="s">
        <v>32</v>
      </c>
      <c r="C4" s="23" t="s">
        <v>33</v>
      </c>
      <c r="D4" s="13" t="s">
        <v>34</v>
      </c>
      <c r="E4" s="24">
        <v>1100000</v>
      </c>
      <c r="F4" s="25">
        <f>Table2[[#This Row],[Price]]/Table2[[#This Row],[Tot Ht Area]]</f>
        <v>250.62656641604011</v>
      </c>
      <c r="G4" s="16">
        <v>4389</v>
      </c>
      <c r="H4" s="16">
        <v>4697</v>
      </c>
      <c r="I4" s="17" t="s">
        <v>35</v>
      </c>
      <c r="J4" s="18" t="s">
        <v>36</v>
      </c>
      <c r="K4" s="19" t="s">
        <v>37</v>
      </c>
      <c r="L4" s="19" t="s">
        <v>38</v>
      </c>
      <c r="M4" s="19" t="s">
        <v>39</v>
      </c>
      <c r="N4" s="20" t="s">
        <v>26</v>
      </c>
      <c r="O4" s="20" t="s">
        <v>40</v>
      </c>
      <c r="P4" s="21" t="s">
        <v>41</v>
      </c>
      <c r="Q4" s="26" t="s">
        <v>42</v>
      </c>
      <c r="R4" s="20" t="s">
        <v>43</v>
      </c>
      <c r="S4" s="20"/>
      <c r="T4" s="20"/>
      <c r="U4" s="20"/>
      <c r="V4" s="20"/>
    </row>
    <row r="5" spans="1:22" ht="17">
      <c r="A5">
        <v>3</v>
      </c>
      <c r="B5" s="11" t="s">
        <v>44</v>
      </c>
      <c r="C5" s="23" t="s">
        <v>33</v>
      </c>
      <c r="D5" s="13" t="s">
        <v>45</v>
      </c>
      <c r="E5" s="24">
        <v>1800000</v>
      </c>
      <c r="F5" s="25">
        <f>Table2[[#This Row],[Price]]/Table2[[#This Row],[Tot Ht Area]]</f>
        <v>179.24716191993627</v>
      </c>
      <c r="G5" s="16">
        <v>10042</v>
      </c>
      <c r="H5" s="16">
        <v>10618</v>
      </c>
      <c r="I5" s="17" t="s">
        <v>46</v>
      </c>
      <c r="J5" s="18" t="s">
        <v>47</v>
      </c>
      <c r="K5" s="19" t="s">
        <v>48</v>
      </c>
      <c r="L5" s="19" t="s">
        <v>49</v>
      </c>
      <c r="M5" s="19" t="s">
        <v>50</v>
      </c>
      <c r="N5" s="27" t="s">
        <v>1519</v>
      </c>
      <c r="O5" s="20" t="s">
        <v>27</v>
      </c>
      <c r="P5" s="21" t="s">
        <v>6465</v>
      </c>
      <c r="Q5" s="26" t="s">
        <v>52</v>
      </c>
      <c r="R5" s="26" t="s">
        <v>53</v>
      </c>
      <c r="S5" s="20"/>
      <c r="T5" s="20"/>
      <c r="U5" s="20"/>
      <c r="V5" s="20"/>
    </row>
    <row r="6" spans="1:22" ht="17">
      <c r="A6">
        <v>3</v>
      </c>
      <c r="B6" s="11" t="s">
        <v>54</v>
      </c>
      <c r="C6" s="23" t="s">
        <v>33</v>
      </c>
      <c r="D6" s="13" t="s">
        <v>55</v>
      </c>
      <c r="E6" s="24">
        <v>3200000</v>
      </c>
      <c r="F6" s="25">
        <f>Table2[[#This Row],[Price]]/Table2[[#This Row],[Tot Ht Area]]</f>
        <v>893.85474860335194</v>
      </c>
      <c r="G6" s="16">
        <v>3580</v>
      </c>
      <c r="H6" s="16">
        <v>4021</v>
      </c>
      <c r="I6" s="17" t="s">
        <v>56</v>
      </c>
      <c r="J6" s="18" t="s">
        <v>57</v>
      </c>
      <c r="K6" s="19" t="s">
        <v>48</v>
      </c>
      <c r="L6" s="19" t="s">
        <v>58</v>
      </c>
      <c r="M6" s="19" t="s">
        <v>59</v>
      </c>
      <c r="N6" s="20" t="s">
        <v>26</v>
      </c>
      <c r="O6" s="20" t="s">
        <v>40</v>
      </c>
      <c r="P6" s="21" t="s">
        <v>6571</v>
      </c>
      <c r="Q6" s="26" t="s">
        <v>61</v>
      </c>
      <c r="R6" s="26" t="s">
        <v>62</v>
      </c>
      <c r="S6" s="20"/>
      <c r="T6" s="20" t="s">
        <v>6318</v>
      </c>
      <c r="U6" s="20" t="s">
        <v>6542</v>
      </c>
      <c r="V6" s="20" t="s">
        <v>6565</v>
      </c>
    </row>
    <row r="7" spans="1:22" ht="17">
      <c r="A7">
        <v>3</v>
      </c>
      <c r="B7" s="11" t="s">
        <v>63</v>
      </c>
      <c r="C7" s="23" t="s">
        <v>33</v>
      </c>
      <c r="D7" s="13" t="s">
        <v>64</v>
      </c>
      <c r="E7" s="24">
        <v>592000</v>
      </c>
      <c r="F7" s="25">
        <f>Table2[[#This Row],[Price]]/Table2[[#This Row],[Tot Ht Area]]</f>
        <v>169.14285714285714</v>
      </c>
      <c r="G7" s="16">
        <v>3500</v>
      </c>
      <c r="H7" s="16">
        <v>3850</v>
      </c>
      <c r="I7" s="17" t="s">
        <v>65</v>
      </c>
      <c r="J7" s="18" t="s">
        <v>66</v>
      </c>
      <c r="K7" s="19" t="s">
        <v>37</v>
      </c>
      <c r="L7" s="19" t="s">
        <v>67</v>
      </c>
      <c r="M7" s="19" t="s">
        <v>68</v>
      </c>
      <c r="N7" s="20" t="s">
        <v>26</v>
      </c>
      <c r="O7" s="20" t="s">
        <v>27</v>
      </c>
      <c r="P7" s="21" t="s">
        <v>69</v>
      </c>
      <c r="Q7" s="26" t="s">
        <v>70</v>
      </c>
      <c r="R7" s="26" t="s">
        <v>71</v>
      </c>
      <c r="S7" s="20"/>
      <c r="T7" s="20"/>
      <c r="U7" s="20"/>
      <c r="V7" s="20"/>
    </row>
    <row r="8" spans="1:22" ht="34">
      <c r="A8">
        <v>3</v>
      </c>
      <c r="B8" s="11" t="s">
        <v>72</v>
      </c>
      <c r="C8" s="23" t="s">
        <v>33</v>
      </c>
      <c r="D8" s="13" t="s">
        <v>73</v>
      </c>
      <c r="E8" s="24">
        <v>2000000</v>
      </c>
      <c r="F8" s="25">
        <f>Table2[[#This Row],[Price]]/Table2[[#This Row],[Tot Ht Area]]</f>
        <v>351.61744022503518</v>
      </c>
      <c r="G8" s="16">
        <v>5688</v>
      </c>
      <c r="H8" s="16">
        <v>5723</v>
      </c>
      <c r="I8" s="17" t="s">
        <v>74</v>
      </c>
      <c r="J8" s="18" t="s">
        <v>75</v>
      </c>
      <c r="K8" s="19" t="s">
        <v>37</v>
      </c>
      <c r="L8" s="19" t="s">
        <v>67</v>
      </c>
      <c r="M8" s="19" t="s">
        <v>76</v>
      </c>
      <c r="N8" s="20" t="s">
        <v>26</v>
      </c>
      <c r="O8" s="20" t="s">
        <v>40</v>
      </c>
      <c r="P8" s="21" t="s">
        <v>77</v>
      </c>
      <c r="Q8" s="26" t="s">
        <v>78</v>
      </c>
      <c r="R8" s="20" t="s">
        <v>79</v>
      </c>
      <c r="S8" s="20"/>
      <c r="T8" s="20"/>
      <c r="U8" s="20"/>
      <c r="V8" s="20"/>
    </row>
    <row r="9" spans="1:22" ht="34">
      <c r="A9">
        <v>3</v>
      </c>
      <c r="B9" s="11" t="s">
        <v>80</v>
      </c>
      <c r="C9" s="23" t="s">
        <v>33</v>
      </c>
      <c r="D9" s="13" t="s">
        <v>81</v>
      </c>
      <c r="E9" s="24">
        <v>100</v>
      </c>
      <c r="F9" s="25">
        <f>Table2[[#This Row],[Price]]/Table2[[#This Row],[Tot Ht Area]]</f>
        <v>1.9968051118210862E-2</v>
      </c>
      <c r="G9" s="16">
        <v>5008</v>
      </c>
      <c r="H9" s="16">
        <v>5182</v>
      </c>
      <c r="I9" s="17" t="s">
        <v>82</v>
      </c>
      <c r="J9" s="18" t="s">
        <v>83</v>
      </c>
      <c r="K9" s="19" t="s">
        <v>48</v>
      </c>
      <c r="L9" s="19" t="s">
        <v>84</v>
      </c>
      <c r="M9" s="19" t="s">
        <v>85</v>
      </c>
      <c r="N9" s="20" t="s">
        <v>26</v>
      </c>
      <c r="O9" s="20" t="s">
        <v>27</v>
      </c>
      <c r="P9" s="21" t="s">
        <v>86</v>
      </c>
      <c r="Q9" s="26" t="s">
        <v>87</v>
      </c>
      <c r="R9" s="20" t="s">
        <v>88</v>
      </c>
      <c r="S9" s="20"/>
      <c r="T9" s="20" t="s">
        <v>6318</v>
      </c>
      <c r="U9" s="20"/>
      <c r="V9" s="20"/>
    </row>
    <row r="10" spans="1:22" ht="34">
      <c r="A10">
        <v>3</v>
      </c>
      <c r="B10" s="11" t="s">
        <v>89</v>
      </c>
      <c r="C10" s="23" t="s">
        <v>33</v>
      </c>
      <c r="D10" s="13" t="s">
        <v>90</v>
      </c>
      <c r="E10" s="24">
        <v>1224900</v>
      </c>
      <c r="F10" s="25">
        <f>Table2[[#This Row],[Price]]/Table2[[#This Row],[Tot Ht Area]]</f>
        <v>236.14806246385194</v>
      </c>
      <c r="G10" s="16">
        <v>5187</v>
      </c>
      <c r="H10" s="16">
        <v>5571</v>
      </c>
      <c r="I10" s="17" t="s">
        <v>91</v>
      </c>
      <c r="J10" s="18" t="s">
        <v>92</v>
      </c>
      <c r="K10" s="19" t="s">
        <v>48</v>
      </c>
      <c r="L10" s="19" t="s">
        <v>93</v>
      </c>
      <c r="M10" s="19" t="s">
        <v>94</v>
      </c>
      <c r="N10" s="20" t="s">
        <v>26</v>
      </c>
      <c r="O10" s="20" t="s">
        <v>40</v>
      </c>
      <c r="P10" s="21" t="s">
        <v>95</v>
      </c>
      <c r="Q10" s="26" t="s">
        <v>96</v>
      </c>
      <c r="R10" s="20" t="s">
        <v>97</v>
      </c>
      <c r="S10" s="20"/>
      <c r="T10" s="20"/>
      <c r="U10" s="20"/>
      <c r="V10" s="20"/>
    </row>
    <row r="11" spans="1:22" ht="34">
      <c r="A11">
        <v>3</v>
      </c>
      <c r="B11" s="11" t="s">
        <v>98</v>
      </c>
      <c r="C11" s="23" t="s">
        <v>33</v>
      </c>
      <c r="D11" s="13" t="s">
        <v>55</v>
      </c>
      <c r="E11" s="24">
        <v>6850000</v>
      </c>
      <c r="F11" s="25">
        <f>Table2[[#This Row],[Price]]/Table2[[#This Row],[Tot Ht Area]]</f>
        <v>155.79158043166777</v>
      </c>
      <c r="G11" s="16">
        <v>43969</v>
      </c>
      <c r="H11" s="16">
        <v>47089</v>
      </c>
      <c r="I11" s="17" t="s">
        <v>99</v>
      </c>
      <c r="J11" s="18" t="s">
        <v>100</v>
      </c>
      <c r="K11" s="19" t="s">
        <v>101</v>
      </c>
      <c r="L11" s="19" t="s">
        <v>102</v>
      </c>
      <c r="M11" s="19" t="s">
        <v>103</v>
      </c>
      <c r="N11" s="20" t="s">
        <v>1519</v>
      </c>
      <c r="O11" s="20" t="s">
        <v>27</v>
      </c>
      <c r="P11" s="21" t="s">
        <v>104</v>
      </c>
      <c r="Q11" s="26" t="s">
        <v>105</v>
      </c>
      <c r="R11" s="20" t="s">
        <v>106</v>
      </c>
      <c r="S11" s="20"/>
      <c r="T11" s="20" t="s">
        <v>6318</v>
      </c>
      <c r="U11" s="20" t="s">
        <v>6526</v>
      </c>
      <c r="V11" s="20" t="s">
        <v>6564</v>
      </c>
    </row>
    <row r="12" spans="1:22" ht="34">
      <c r="A12">
        <v>3</v>
      </c>
      <c r="B12" s="11" t="s">
        <v>107</v>
      </c>
      <c r="C12" s="23" t="s">
        <v>33</v>
      </c>
      <c r="D12" s="13" t="s">
        <v>108</v>
      </c>
      <c r="E12" s="24">
        <v>7500000</v>
      </c>
      <c r="F12" s="25">
        <f>Table2[[#This Row],[Price]]/Table2[[#This Row],[Tot Ht Area]]</f>
        <v>441.82621502209133</v>
      </c>
      <c r="G12" s="16">
        <v>16975</v>
      </c>
      <c r="H12" s="16">
        <v>17657</v>
      </c>
      <c r="I12" s="17" t="s">
        <v>109</v>
      </c>
      <c r="J12" s="18" t="s">
        <v>57</v>
      </c>
      <c r="K12" s="19" t="s">
        <v>101</v>
      </c>
      <c r="L12" s="19" t="s">
        <v>110</v>
      </c>
      <c r="M12" s="19" t="s">
        <v>111</v>
      </c>
      <c r="N12" s="20" t="s">
        <v>1519</v>
      </c>
      <c r="O12" s="20" t="s">
        <v>40</v>
      </c>
      <c r="P12" s="21" t="s">
        <v>6572</v>
      </c>
      <c r="Q12" s="26" t="s">
        <v>113</v>
      </c>
      <c r="R12" s="26" t="s">
        <v>114</v>
      </c>
      <c r="S12" s="20"/>
      <c r="T12" s="20"/>
      <c r="U12" s="20"/>
      <c r="V12" s="20"/>
    </row>
    <row r="13" spans="1:22" ht="34">
      <c r="A13">
        <v>3</v>
      </c>
      <c r="B13" s="11" t="s">
        <v>115</v>
      </c>
      <c r="C13" s="23" t="s">
        <v>33</v>
      </c>
      <c r="D13" s="13" t="s">
        <v>34</v>
      </c>
      <c r="E13" s="24">
        <v>720000</v>
      </c>
      <c r="F13" s="25">
        <f>Table2[[#This Row],[Price]]/Table2[[#This Row],[Tot Ht Area]]</f>
        <v>364.37246963562751</v>
      </c>
      <c r="G13" s="16">
        <v>1976</v>
      </c>
      <c r="H13" s="16">
        <v>2087</v>
      </c>
      <c r="I13" s="17" t="s">
        <v>116</v>
      </c>
      <c r="J13" s="18" t="s">
        <v>117</v>
      </c>
      <c r="K13" s="19" t="s">
        <v>48</v>
      </c>
      <c r="L13" s="19" t="s">
        <v>118</v>
      </c>
      <c r="M13" s="19" t="s">
        <v>119</v>
      </c>
      <c r="N13" s="20" t="s">
        <v>26</v>
      </c>
      <c r="O13" s="20" t="s">
        <v>27</v>
      </c>
      <c r="P13" s="21" t="s">
        <v>120</v>
      </c>
      <c r="Q13" s="26" t="s">
        <v>121</v>
      </c>
      <c r="R13" s="20" t="s">
        <v>122</v>
      </c>
      <c r="S13" s="20"/>
      <c r="T13" s="20"/>
      <c r="U13" s="20"/>
      <c r="V13" s="20"/>
    </row>
    <row r="14" spans="1:22" ht="34">
      <c r="A14">
        <v>3</v>
      </c>
      <c r="B14" s="11" t="s">
        <v>123</v>
      </c>
      <c r="C14" s="23" t="s">
        <v>33</v>
      </c>
      <c r="D14" s="13" t="s">
        <v>124</v>
      </c>
      <c r="E14" s="24">
        <v>800000</v>
      </c>
      <c r="F14" s="25">
        <f>Table2[[#This Row],[Price]]/Table2[[#This Row],[Tot Ht Area]]</f>
        <v>322.58064516129031</v>
      </c>
      <c r="G14" s="16">
        <v>2480</v>
      </c>
      <c r="H14" s="16">
        <v>2673</v>
      </c>
      <c r="I14" s="17" t="s">
        <v>125</v>
      </c>
      <c r="J14" s="18" t="s">
        <v>126</v>
      </c>
      <c r="K14" s="19" t="s">
        <v>48</v>
      </c>
      <c r="L14" s="19" t="s">
        <v>127</v>
      </c>
      <c r="M14" s="19" t="s">
        <v>128</v>
      </c>
      <c r="N14" s="20" t="s">
        <v>26</v>
      </c>
      <c r="O14" s="20" t="s">
        <v>27</v>
      </c>
      <c r="P14" s="21" t="s">
        <v>129</v>
      </c>
      <c r="Q14" s="26" t="s">
        <v>130</v>
      </c>
      <c r="R14" s="20" t="s">
        <v>131</v>
      </c>
      <c r="S14" s="20"/>
      <c r="T14" s="20"/>
      <c r="U14" s="20"/>
      <c r="V14" s="20"/>
    </row>
    <row r="15" spans="1:22" ht="51">
      <c r="A15">
        <v>3</v>
      </c>
      <c r="B15" s="11" t="s">
        <v>132</v>
      </c>
      <c r="C15" s="23" t="s">
        <v>33</v>
      </c>
      <c r="D15" s="13" t="s">
        <v>133</v>
      </c>
      <c r="E15" s="24">
        <v>100</v>
      </c>
      <c r="F15" s="25">
        <f>Table2[[#This Row],[Price]]/Table2[[#This Row],[Tot Ht Area]]</f>
        <v>4.4326241134751775E-2</v>
      </c>
      <c r="G15" s="16">
        <v>2256</v>
      </c>
      <c r="H15" s="16">
        <v>2289</v>
      </c>
      <c r="I15" s="17" t="s">
        <v>134</v>
      </c>
      <c r="J15" s="18" t="s">
        <v>135</v>
      </c>
      <c r="K15" s="19" t="s">
        <v>48</v>
      </c>
      <c r="L15" s="19" t="s">
        <v>127</v>
      </c>
      <c r="M15" s="19" t="s">
        <v>136</v>
      </c>
      <c r="N15" s="20" t="s">
        <v>26</v>
      </c>
      <c r="O15" s="20" t="s">
        <v>27</v>
      </c>
      <c r="P15" s="21" t="s">
        <v>137</v>
      </c>
      <c r="Q15" s="28" t="s">
        <v>138</v>
      </c>
      <c r="R15" s="26" t="s">
        <v>139</v>
      </c>
      <c r="S15" s="20"/>
      <c r="T15" s="20" t="s">
        <v>6318</v>
      </c>
      <c r="U15" s="20"/>
      <c r="V15" s="20"/>
    </row>
    <row r="16" spans="1:22" ht="17">
      <c r="A16">
        <v>3</v>
      </c>
      <c r="B16" s="11" t="s">
        <v>140</v>
      </c>
      <c r="C16" s="23" t="s">
        <v>33</v>
      </c>
      <c r="D16" s="13" t="s">
        <v>141</v>
      </c>
      <c r="E16" s="24">
        <v>925000</v>
      </c>
      <c r="F16" s="25">
        <f>Table2[[#This Row],[Price]]/Table2[[#This Row],[Tot Ht Area]]</f>
        <v>262.41134751773052</v>
      </c>
      <c r="G16" s="16">
        <v>3525</v>
      </c>
      <c r="H16" s="16">
        <v>3525</v>
      </c>
      <c r="I16" s="17" t="s">
        <v>142</v>
      </c>
      <c r="J16" s="18" t="s">
        <v>135</v>
      </c>
      <c r="K16" s="19" t="s">
        <v>48</v>
      </c>
      <c r="L16" s="19" t="s">
        <v>143</v>
      </c>
      <c r="M16" s="19" t="s">
        <v>144</v>
      </c>
      <c r="N16" s="20" t="s">
        <v>26</v>
      </c>
      <c r="O16" s="20" t="s">
        <v>27</v>
      </c>
      <c r="P16" s="21" t="s">
        <v>6426</v>
      </c>
      <c r="Q16" s="20" t="s">
        <v>146</v>
      </c>
      <c r="R16" s="26" t="s">
        <v>147</v>
      </c>
      <c r="S16" s="20"/>
      <c r="T16" s="20"/>
      <c r="U16" s="20"/>
      <c r="V16" s="20"/>
    </row>
    <row r="17" spans="1:22" ht="17">
      <c r="A17">
        <v>3</v>
      </c>
      <c r="B17" s="11" t="s">
        <v>148</v>
      </c>
      <c r="C17" s="23" t="s">
        <v>33</v>
      </c>
      <c r="D17" s="13" t="s">
        <v>149</v>
      </c>
      <c r="E17" s="24">
        <v>3325000</v>
      </c>
      <c r="F17" s="25">
        <f>Table2[[#This Row],[Price]]/Table2[[#This Row],[Tot Ht Area]]</f>
        <v>433.95980161837639</v>
      </c>
      <c r="G17" s="16">
        <v>7662</v>
      </c>
      <c r="H17" s="16">
        <v>8163</v>
      </c>
      <c r="I17" s="17" t="s">
        <v>150</v>
      </c>
      <c r="J17" s="18" t="s">
        <v>151</v>
      </c>
      <c r="K17" s="19" t="s">
        <v>37</v>
      </c>
      <c r="L17" s="19" t="s">
        <v>152</v>
      </c>
      <c r="M17" s="19" t="s">
        <v>153</v>
      </c>
      <c r="N17" s="20" t="s">
        <v>26</v>
      </c>
      <c r="O17" s="20" t="s">
        <v>40</v>
      </c>
      <c r="P17" s="21" t="s">
        <v>154</v>
      </c>
      <c r="Q17" s="26" t="s">
        <v>155</v>
      </c>
      <c r="R17" s="20" t="s">
        <v>156</v>
      </c>
      <c r="S17" s="20"/>
      <c r="T17" s="20"/>
      <c r="U17" s="20"/>
      <c r="V17" s="20"/>
    </row>
    <row r="18" spans="1:22" ht="34">
      <c r="A18">
        <v>3</v>
      </c>
      <c r="B18" s="29" t="s">
        <v>157</v>
      </c>
      <c r="C18" s="12" t="s">
        <v>20</v>
      </c>
      <c r="D18" s="30" t="s">
        <v>158</v>
      </c>
      <c r="E18" s="31">
        <v>940000</v>
      </c>
      <c r="F18" s="32">
        <f>Table2[[#This Row],[Price]]/Table2[[#This Row],[Tot Ht Area]]</f>
        <v>109.98010998010999</v>
      </c>
      <c r="G18" s="33">
        <v>8547</v>
      </c>
      <c r="H18" s="33">
        <v>8547</v>
      </c>
      <c r="I18" s="34" t="s">
        <v>159</v>
      </c>
      <c r="J18" s="35">
        <v>2005</v>
      </c>
      <c r="K18" s="30" t="s">
        <v>24</v>
      </c>
      <c r="L18" s="30"/>
      <c r="M18" s="30" t="s">
        <v>160</v>
      </c>
      <c r="N18" s="20" t="s">
        <v>26</v>
      </c>
      <c r="O18" s="20" t="s">
        <v>40</v>
      </c>
      <c r="P18" s="21" t="s">
        <v>6211</v>
      </c>
      <c r="Q18" s="26" t="s">
        <v>161</v>
      </c>
      <c r="R18" s="20" t="s">
        <v>162</v>
      </c>
      <c r="S18" s="20"/>
      <c r="T18" s="20"/>
      <c r="U18" s="20"/>
      <c r="V18" s="20"/>
    </row>
    <row r="19" spans="1:22" ht="17">
      <c r="A19">
        <v>3</v>
      </c>
      <c r="B19" s="29" t="s">
        <v>163</v>
      </c>
      <c r="C19" s="12" t="s">
        <v>20</v>
      </c>
      <c r="D19" s="30" t="s">
        <v>108</v>
      </c>
      <c r="E19" s="31">
        <v>100</v>
      </c>
      <c r="F19" s="32">
        <f>Table2[[#This Row],[Price]]/Table2[[#This Row],[Tot Ht Area]]</f>
        <v>4.7778308647873864E-2</v>
      </c>
      <c r="G19" s="33">
        <v>2093</v>
      </c>
      <c r="H19" s="33">
        <v>2093</v>
      </c>
      <c r="I19" s="34" t="s">
        <v>164</v>
      </c>
      <c r="J19" s="35">
        <v>1978</v>
      </c>
      <c r="K19" s="30" t="s">
        <v>24</v>
      </c>
      <c r="L19" s="30"/>
      <c r="M19" s="30" t="s">
        <v>165</v>
      </c>
      <c r="N19" s="20" t="s">
        <v>26</v>
      </c>
      <c r="O19" s="20" t="s">
        <v>40</v>
      </c>
      <c r="P19" s="21" t="s">
        <v>166</v>
      </c>
      <c r="Q19" s="26" t="s">
        <v>167</v>
      </c>
      <c r="R19" s="26" t="s">
        <v>168</v>
      </c>
      <c r="S19" s="20"/>
      <c r="T19" s="20" t="s">
        <v>6318</v>
      </c>
      <c r="U19" s="20"/>
      <c r="V19" s="20"/>
    </row>
    <row r="20" spans="1:22" ht="16">
      <c r="A20">
        <v>3</v>
      </c>
      <c r="B20" s="29" t="s">
        <v>169</v>
      </c>
      <c r="C20" s="12" t="s">
        <v>20</v>
      </c>
      <c r="D20" s="30" t="s">
        <v>170</v>
      </c>
      <c r="E20" s="31">
        <v>2375000</v>
      </c>
      <c r="F20" s="32">
        <f>Table2[[#This Row],[Price]]/Table2[[#This Row],[Tot Ht Area]]</f>
        <v>220.33583820391502</v>
      </c>
      <c r="G20" s="33">
        <v>10779</v>
      </c>
      <c r="H20" s="33">
        <v>10779</v>
      </c>
      <c r="I20" s="34" t="s">
        <v>171</v>
      </c>
      <c r="J20" s="35">
        <v>2007</v>
      </c>
      <c r="K20" s="30" t="s">
        <v>172</v>
      </c>
      <c r="L20" s="30"/>
      <c r="M20" s="30" t="s">
        <v>173</v>
      </c>
      <c r="N20" s="20" t="s">
        <v>1519</v>
      </c>
      <c r="O20" s="20" t="s">
        <v>40</v>
      </c>
      <c r="P20" s="21"/>
      <c r="Q20" s="26" t="s">
        <v>174</v>
      </c>
      <c r="R20" s="20" t="s">
        <v>175</v>
      </c>
      <c r="S20" s="20"/>
      <c r="T20" s="20"/>
      <c r="U20" s="20"/>
      <c r="V20" s="20"/>
    </row>
    <row r="21" spans="1:22" ht="32">
      <c r="A21">
        <v>3</v>
      </c>
      <c r="B21" s="29" t="s">
        <v>176</v>
      </c>
      <c r="C21" s="12" t="s">
        <v>20</v>
      </c>
      <c r="D21" s="30" t="s">
        <v>177</v>
      </c>
      <c r="E21" s="31">
        <v>600000</v>
      </c>
      <c r="F21" s="32">
        <f>Table2[[#This Row],[Price]]/Table2[[#This Row],[Tot Ht Area]]</f>
        <v>173.81228273464657</v>
      </c>
      <c r="G21" s="33">
        <v>3452</v>
      </c>
      <c r="H21" s="33">
        <v>3452</v>
      </c>
      <c r="I21" s="34" t="s">
        <v>178</v>
      </c>
      <c r="J21" s="35">
        <v>1980</v>
      </c>
      <c r="K21" s="30" t="s">
        <v>24</v>
      </c>
      <c r="L21" s="30"/>
      <c r="M21" s="30" t="s">
        <v>179</v>
      </c>
      <c r="N21" s="20" t="s">
        <v>26</v>
      </c>
      <c r="O21" s="20" t="s">
        <v>40</v>
      </c>
      <c r="P21" s="21" t="s">
        <v>180</v>
      </c>
      <c r="Q21" s="26" t="s">
        <v>181</v>
      </c>
      <c r="R21" s="20" t="s">
        <v>182</v>
      </c>
      <c r="S21" s="20"/>
      <c r="T21" s="20"/>
      <c r="U21" s="20"/>
      <c r="V21" s="20"/>
    </row>
    <row r="22" spans="1:22" ht="34">
      <c r="A22">
        <v>3</v>
      </c>
      <c r="B22" s="11" t="s">
        <v>183</v>
      </c>
      <c r="C22" s="12" t="s">
        <v>184</v>
      </c>
      <c r="D22" s="13" t="s">
        <v>185</v>
      </c>
      <c r="E22" s="24">
        <v>670000</v>
      </c>
      <c r="F22" s="25">
        <f>Table2[[#This Row],[Price]]/Table2[[#This Row],[Tot Ht Area]]</f>
        <v>135.40824575586095</v>
      </c>
      <c r="G22" s="16">
        <v>4948</v>
      </c>
      <c r="H22" s="16">
        <v>5250</v>
      </c>
      <c r="I22" s="17" t="s">
        <v>186</v>
      </c>
      <c r="J22" s="18" t="s">
        <v>187</v>
      </c>
      <c r="K22" s="19" t="s">
        <v>48</v>
      </c>
      <c r="L22" s="19"/>
      <c r="M22" s="19" t="s">
        <v>188</v>
      </c>
      <c r="N22" s="20" t="s">
        <v>26</v>
      </c>
      <c r="O22" s="20" t="s">
        <v>40</v>
      </c>
      <c r="P22" s="21" t="s">
        <v>189</v>
      </c>
      <c r="Q22" s="26" t="s">
        <v>190</v>
      </c>
      <c r="R22" s="20" t="s">
        <v>191</v>
      </c>
      <c r="S22" s="20"/>
      <c r="T22" s="20"/>
      <c r="U22" s="20"/>
      <c r="V22" s="20"/>
    </row>
    <row r="23" spans="1:22" ht="17">
      <c r="A23">
        <v>3</v>
      </c>
      <c r="B23" s="11" t="s">
        <v>192</v>
      </c>
      <c r="C23" s="23" t="s">
        <v>33</v>
      </c>
      <c r="D23" s="13" t="s">
        <v>21</v>
      </c>
      <c r="E23" s="24">
        <v>3000000</v>
      </c>
      <c r="F23" s="25">
        <f>Table2[[#This Row],[Price]]/Table2[[#This Row],[Tot Ht Area]]</f>
        <v>62.138818119679364</v>
      </c>
      <c r="G23" s="16">
        <v>48279</v>
      </c>
      <c r="H23" s="16">
        <v>55177</v>
      </c>
      <c r="I23" s="17" t="s">
        <v>193</v>
      </c>
      <c r="J23" s="18">
        <v>2008</v>
      </c>
      <c r="K23" s="19" t="s">
        <v>48</v>
      </c>
      <c r="L23" s="19" t="s">
        <v>194</v>
      </c>
      <c r="M23" s="19" t="s">
        <v>195</v>
      </c>
      <c r="N23" s="20" t="s">
        <v>1519</v>
      </c>
      <c r="O23" s="20" t="s">
        <v>27</v>
      </c>
      <c r="P23" s="21" t="s">
        <v>6376</v>
      </c>
      <c r="Q23" s="20" t="s">
        <v>197</v>
      </c>
      <c r="R23" s="26" t="s">
        <v>198</v>
      </c>
      <c r="S23" s="20"/>
      <c r="T23" s="20" t="s">
        <v>6318</v>
      </c>
      <c r="U23" s="20" t="s">
        <v>6510</v>
      </c>
      <c r="V23" s="20" t="s">
        <v>6546</v>
      </c>
    </row>
    <row r="24" spans="1:22" ht="17">
      <c r="A24">
        <v>3</v>
      </c>
      <c r="B24" s="11" t="s">
        <v>199</v>
      </c>
      <c r="C24" s="23" t="s">
        <v>33</v>
      </c>
      <c r="D24" s="13" t="s">
        <v>133</v>
      </c>
      <c r="E24" s="24">
        <v>100</v>
      </c>
      <c r="F24" s="25">
        <f>Table2[[#This Row],[Price]]/Table2[[#This Row],[Tot Ht Area]]</f>
        <v>4.5390585992465165E-3</v>
      </c>
      <c r="G24" s="16">
        <v>22031</v>
      </c>
      <c r="H24" s="16">
        <v>26965</v>
      </c>
      <c r="I24" s="17" t="s">
        <v>200</v>
      </c>
      <c r="J24" s="18" t="s">
        <v>201</v>
      </c>
      <c r="K24" s="19" t="s">
        <v>101</v>
      </c>
      <c r="L24" s="19" t="s">
        <v>202</v>
      </c>
      <c r="M24" s="19" t="s">
        <v>203</v>
      </c>
      <c r="N24" s="20" t="s">
        <v>26</v>
      </c>
      <c r="O24" s="20" t="s">
        <v>27</v>
      </c>
      <c r="P24" s="21" t="s">
        <v>6573</v>
      </c>
      <c r="Q24" s="20" t="s">
        <v>204</v>
      </c>
      <c r="R24" s="26" t="s">
        <v>205</v>
      </c>
      <c r="S24" s="20"/>
      <c r="T24" s="20" t="s">
        <v>6318</v>
      </c>
      <c r="U24" s="20"/>
      <c r="V24" s="20"/>
    </row>
    <row r="25" spans="1:22" ht="17">
      <c r="A25">
        <v>3</v>
      </c>
      <c r="B25" s="11" t="s">
        <v>206</v>
      </c>
      <c r="C25" s="23" t="s">
        <v>33</v>
      </c>
      <c r="D25" s="13" t="s">
        <v>207</v>
      </c>
      <c r="E25" s="24">
        <v>344600</v>
      </c>
      <c r="F25" s="25">
        <f>Table2[[#This Row],[Price]]/Table2[[#This Row],[Tot Ht Area]]</f>
        <v>117.37057220708446</v>
      </c>
      <c r="G25" s="16">
        <v>2936</v>
      </c>
      <c r="H25" s="16">
        <v>3048</v>
      </c>
      <c r="I25" s="17" t="s">
        <v>208</v>
      </c>
      <c r="J25" s="18" t="s">
        <v>209</v>
      </c>
      <c r="K25" s="19" t="s">
        <v>48</v>
      </c>
      <c r="L25" s="19" t="s">
        <v>49</v>
      </c>
      <c r="M25" s="19" t="s">
        <v>210</v>
      </c>
      <c r="N25" s="20" t="s">
        <v>26</v>
      </c>
      <c r="O25" s="20" t="s">
        <v>27</v>
      </c>
      <c r="P25" s="21" t="s">
        <v>6361</v>
      </c>
      <c r="Q25" s="20" t="s">
        <v>212</v>
      </c>
      <c r="R25" s="20" t="s">
        <v>213</v>
      </c>
      <c r="S25" s="20"/>
      <c r="T25" s="20"/>
      <c r="U25" s="20"/>
      <c r="V25" s="20"/>
    </row>
    <row r="26" spans="1:22" ht="17">
      <c r="A26">
        <v>3</v>
      </c>
      <c r="B26" s="11" t="s">
        <v>214</v>
      </c>
      <c r="C26" s="23" t="s">
        <v>33</v>
      </c>
      <c r="D26" s="13" t="s">
        <v>215</v>
      </c>
      <c r="E26" s="24">
        <v>900000</v>
      </c>
      <c r="F26" s="25">
        <f>Table2[[#This Row],[Price]]/Table2[[#This Row],[Tot Ht Area]]</f>
        <v>152.54237288135593</v>
      </c>
      <c r="G26" s="16">
        <v>5900</v>
      </c>
      <c r="H26" s="16">
        <v>6304</v>
      </c>
      <c r="I26" s="17" t="s">
        <v>216</v>
      </c>
      <c r="J26" s="18" t="s">
        <v>217</v>
      </c>
      <c r="K26" s="19" t="s">
        <v>48</v>
      </c>
      <c r="L26" s="19" t="s">
        <v>49</v>
      </c>
      <c r="M26" s="19" t="s">
        <v>218</v>
      </c>
      <c r="N26" s="20" t="s">
        <v>26</v>
      </c>
      <c r="O26" s="20" t="s">
        <v>27</v>
      </c>
      <c r="P26" s="21" t="s">
        <v>219</v>
      </c>
      <c r="Q26" s="26" t="s">
        <v>220</v>
      </c>
      <c r="R26" s="20" t="s">
        <v>221</v>
      </c>
      <c r="S26" s="20"/>
      <c r="T26" s="20"/>
      <c r="U26" s="20"/>
      <c r="V26" s="20"/>
    </row>
    <row r="27" spans="1:22" ht="17">
      <c r="A27">
        <v>3</v>
      </c>
      <c r="B27" s="11" t="s">
        <v>222</v>
      </c>
      <c r="C27" s="23" t="s">
        <v>33</v>
      </c>
      <c r="D27" s="13" t="s">
        <v>223</v>
      </c>
      <c r="E27" s="24">
        <v>1365500</v>
      </c>
      <c r="F27" s="25">
        <f>Table2[[#This Row],[Price]]/Table2[[#This Row],[Tot Ht Area]]</f>
        <v>410.30649038461536</v>
      </c>
      <c r="G27" s="16">
        <v>3328</v>
      </c>
      <c r="H27" s="16">
        <v>4909</v>
      </c>
      <c r="I27" s="17" t="s">
        <v>224</v>
      </c>
      <c r="J27" s="18" t="s">
        <v>225</v>
      </c>
      <c r="K27" s="19" t="s">
        <v>37</v>
      </c>
      <c r="L27" s="19" t="s">
        <v>49</v>
      </c>
      <c r="M27" s="19" t="s">
        <v>226</v>
      </c>
      <c r="N27" s="20" t="s">
        <v>26</v>
      </c>
      <c r="O27" s="20" t="s">
        <v>27</v>
      </c>
      <c r="P27" s="21" t="s">
        <v>227</v>
      </c>
      <c r="Q27" s="26" t="s">
        <v>228</v>
      </c>
      <c r="R27" s="20" t="s">
        <v>229</v>
      </c>
      <c r="S27" s="20"/>
      <c r="T27" s="20"/>
      <c r="U27" s="20"/>
      <c r="V27" s="20"/>
    </row>
    <row r="28" spans="1:22" ht="34">
      <c r="A28">
        <v>3</v>
      </c>
      <c r="B28" s="11" t="s">
        <v>230</v>
      </c>
      <c r="C28" s="23" t="s">
        <v>33</v>
      </c>
      <c r="D28" s="13" t="s">
        <v>231</v>
      </c>
      <c r="E28" s="24">
        <v>1900000</v>
      </c>
      <c r="F28" s="25">
        <f>Table2[[#This Row],[Price]]/Table2[[#This Row],[Tot Ht Area]]</f>
        <v>82.691387039213126</v>
      </c>
      <c r="G28" s="16">
        <v>22977</v>
      </c>
      <c r="H28" s="16">
        <v>25035</v>
      </c>
      <c r="I28" s="17" t="s">
        <v>232</v>
      </c>
      <c r="J28" s="18" t="s">
        <v>233</v>
      </c>
      <c r="K28" s="19" t="s">
        <v>48</v>
      </c>
      <c r="L28" s="19" t="s">
        <v>234</v>
      </c>
      <c r="M28" s="19" t="s">
        <v>235</v>
      </c>
      <c r="N28" s="20" t="s">
        <v>1519</v>
      </c>
      <c r="O28" s="20" t="s">
        <v>27</v>
      </c>
      <c r="P28" s="21" t="s">
        <v>236</v>
      </c>
      <c r="Q28" s="26" t="s">
        <v>237</v>
      </c>
      <c r="R28" s="20" t="s">
        <v>238</v>
      </c>
      <c r="S28" s="20"/>
      <c r="T28" s="20" t="s">
        <v>6318</v>
      </c>
      <c r="U28" s="20" t="s">
        <v>6548</v>
      </c>
      <c r="V28" s="20" t="s">
        <v>6549</v>
      </c>
    </row>
    <row r="29" spans="1:22" ht="17">
      <c r="A29">
        <v>3</v>
      </c>
      <c r="B29" s="11" t="s">
        <v>239</v>
      </c>
      <c r="C29" s="23" t="s">
        <v>33</v>
      </c>
      <c r="D29" s="13" t="s">
        <v>90</v>
      </c>
      <c r="E29" s="24">
        <v>7600000</v>
      </c>
      <c r="F29" s="25">
        <f>Table2[[#This Row],[Price]]/Table2[[#This Row],[Tot Ht Area]]</f>
        <v>246.90555862382638</v>
      </c>
      <c r="G29" s="16">
        <v>30781</v>
      </c>
      <c r="H29" s="16">
        <v>32341</v>
      </c>
      <c r="I29" s="17" t="s">
        <v>240</v>
      </c>
      <c r="J29" s="18" t="s">
        <v>241</v>
      </c>
      <c r="K29" s="19" t="s">
        <v>101</v>
      </c>
      <c r="L29" s="19" t="s">
        <v>49</v>
      </c>
      <c r="M29" s="19" t="s">
        <v>242</v>
      </c>
      <c r="N29" s="20" t="s">
        <v>1519</v>
      </c>
      <c r="O29" s="20" t="s">
        <v>27</v>
      </c>
      <c r="P29" s="21" t="s">
        <v>243</v>
      </c>
      <c r="Q29" s="26" t="s">
        <v>244</v>
      </c>
      <c r="R29" s="20" t="s">
        <v>245</v>
      </c>
      <c r="S29" s="20"/>
      <c r="T29" s="20"/>
      <c r="U29" s="20"/>
      <c r="V29" s="20"/>
    </row>
    <row r="30" spans="1:22" ht="34">
      <c r="A30">
        <v>3</v>
      </c>
      <c r="B30" s="11" t="s">
        <v>246</v>
      </c>
      <c r="C30" s="23" t="s">
        <v>33</v>
      </c>
      <c r="D30" s="13" t="s">
        <v>215</v>
      </c>
      <c r="E30" s="24">
        <v>1725000</v>
      </c>
      <c r="F30" s="25">
        <f>Table2[[#This Row],[Price]]/Table2[[#This Row],[Tot Ht Area]]</f>
        <v>347.78225806451616</v>
      </c>
      <c r="G30" s="16">
        <v>4960</v>
      </c>
      <c r="H30" s="16">
        <v>5608</v>
      </c>
      <c r="I30" s="17" t="s">
        <v>247</v>
      </c>
      <c r="J30" s="18" t="s">
        <v>201</v>
      </c>
      <c r="K30" s="19" t="s">
        <v>48</v>
      </c>
      <c r="L30" s="19" t="s">
        <v>49</v>
      </c>
      <c r="M30" s="19" t="s">
        <v>248</v>
      </c>
      <c r="N30" s="20" t="s">
        <v>26</v>
      </c>
      <c r="O30" s="20" t="s">
        <v>27</v>
      </c>
      <c r="P30" s="21" t="s">
        <v>249</v>
      </c>
      <c r="Q30" s="26" t="s">
        <v>250</v>
      </c>
      <c r="R30" s="20" t="s">
        <v>251</v>
      </c>
      <c r="S30" s="20"/>
      <c r="T30" s="20"/>
      <c r="U30" s="20"/>
      <c r="V30" s="20"/>
    </row>
    <row r="31" spans="1:22" ht="34">
      <c r="A31">
        <v>3</v>
      </c>
      <c r="B31" s="11" t="s">
        <v>252</v>
      </c>
      <c r="C31" s="23" t="s">
        <v>33</v>
      </c>
      <c r="D31" s="13" t="s">
        <v>253</v>
      </c>
      <c r="E31" s="24">
        <v>900000</v>
      </c>
      <c r="F31" s="25">
        <f>Table2[[#This Row],[Price]]/Table2[[#This Row],[Tot Ht Area]]</f>
        <v>253.52112676056339</v>
      </c>
      <c r="G31" s="16">
        <v>3550</v>
      </c>
      <c r="H31" s="16">
        <v>3733</v>
      </c>
      <c r="I31" s="17" t="s">
        <v>254</v>
      </c>
      <c r="J31" s="18" t="s">
        <v>47</v>
      </c>
      <c r="K31" s="19" t="s">
        <v>48</v>
      </c>
      <c r="L31" s="19" t="s">
        <v>194</v>
      </c>
      <c r="M31" s="19" t="s">
        <v>255</v>
      </c>
      <c r="N31" s="20" t="s">
        <v>26</v>
      </c>
      <c r="O31" s="20" t="s">
        <v>27</v>
      </c>
      <c r="P31" s="21" t="s">
        <v>256</v>
      </c>
      <c r="Q31" s="26" t="s">
        <v>257</v>
      </c>
      <c r="R31" s="20" t="s">
        <v>258</v>
      </c>
      <c r="S31" s="20"/>
      <c r="T31" s="20"/>
      <c r="U31" s="20"/>
      <c r="V31" s="20"/>
    </row>
    <row r="32" spans="1:22" ht="34">
      <c r="A32">
        <v>3</v>
      </c>
      <c r="B32" s="11" t="s">
        <v>259</v>
      </c>
      <c r="C32" s="23" t="s">
        <v>33</v>
      </c>
      <c r="D32" s="13" t="s">
        <v>260</v>
      </c>
      <c r="E32" s="24">
        <v>3473802</v>
      </c>
      <c r="F32" s="25">
        <f>Table2[[#This Row],[Price]]/Table2[[#This Row],[Tot Ht Area]]</f>
        <v>915.12170706006327</v>
      </c>
      <c r="G32" s="16">
        <v>3796</v>
      </c>
      <c r="H32" s="16">
        <v>3922</v>
      </c>
      <c r="I32" s="17" t="s">
        <v>261</v>
      </c>
      <c r="J32" s="18" t="s">
        <v>262</v>
      </c>
      <c r="K32" s="19" t="s">
        <v>48</v>
      </c>
      <c r="L32" s="19" t="s">
        <v>194</v>
      </c>
      <c r="M32" s="19" t="s">
        <v>263</v>
      </c>
      <c r="N32" s="20" t="s">
        <v>26</v>
      </c>
      <c r="O32" s="20" t="s">
        <v>27</v>
      </c>
      <c r="P32" s="21" t="s">
        <v>264</v>
      </c>
      <c r="Q32" s="26" t="s">
        <v>265</v>
      </c>
      <c r="R32" s="20" t="s">
        <v>266</v>
      </c>
      <c r="S32" s="20"/>
      <c r="T32" s="20" t="s">
        <v>6318</v>
      </c>
      <c r="U32" s="20" t="s">
        <v>6542</v>
      </c>
      <c r="V32" s="20" t="s">
        <v>6566</v>
      </c>
    </row>
    <row r="33" spans="1:22" ht="17">
      <c r="A33">
        <v>3</v>
      </c>
      <c r="B33" s="11" t="s">
        <v>267</v>
      </c>
      <c r="C33" s="23" t="s">
        <v>33</v>
      </c>
      <c r="D33" s="13" t="s">
        <v>170</v>
      </c>
      <c r="E33" s="24">
        <v>100</v>
      </c>
      <c r="F33" s="25">
        <f>Table2[[#This Row],[Price]]/Table2[[#This Row],[Tot Ht Area]]</f>
        <v>3.6363636363636362E-2</v>
      </c>
      <c r="G33" s="16">
        <v>2750</v>
      </c>
      <c r="H33" s="16">
        <v>2876</v>
      </c>
      <c r="I33" s="17" t="s">
        <v>268</v>
      </c>
      <c r="J33" s="18" t="s">
        <v>269</v>
      </c>
      <c r="K33" s="19" t="s">
        <v>48</v>
      </c>
      <c r="L33" s="19" t="s">
        <v>270</v>
      </c>
      <c r="M33" s="19" t="s">
        <v>271</v>
      </c>
      <c r="N33" s="20" t="s">
        <v>26</v>
      </c>
      <c r="O33" s="20" t="s">
        <v>27</v>
      </c>
      <c r="P33" s="21" t="s">
        <v>272</v>
      </c>
      <c r="Q33" s="26" t="s">
        <v>273</v>
      </c>
      <c r="R33" s="20" t="s">
        <v>274</v>
      </c>
      <c r="S33" s="20"/>
      <c r="T33" s="20" t="s">
        <v>6318</v>
      </c>
      <c r="U33" s="20"/>
      <c r="V33" s="20"/>
    </row>
    <row r="34" spans="1:22" ht="17">
      <c r="A34">
        <v>3</v>
      </c>
      <c r="B34" s="11" t="s">
        <v>275</v>
      </c>
      <c r="C34" s="23" t="s">
        <v>33</v>
      </c>
      <c r="D34" s="13" t="s">
        <v>276</v>
      </c>
      <c r="E34" s="24">
        <v>448100</v>
      </c>
      <c r="F34" s="25">
        <f>Table2[[#This Row],[Price]]/Table2[[#This Row],[Tot Ht Area]]</f>
        <v>130.79392877991828</v>
      </c>
      <c r="G34" s="16">
        <v>3426</v>
      </c>
      <c r="H34" s="16">
        <v>3590</v>
      </c>
      <c r="I34" s="17" t="s">
        <v>277</v>
      </c>
      <c r="J34" s="18" t="s">
        <v>278</v>
      </c>
      <c r="K34" s="19" t="s">
        <v>48</v>
      </c>
      <c r="L34" s="19" t="s">
        <v>279</v>
      </c>
      <c r="M34" s="19" t="s">
        <v>280</v>
      </c>
      <c r="N34" s="20" t="s">
        <v>26</v>
      </c>
      <c r="O34" s="20" t="s">
        <v>27</v>
      </c>
      <c r="P34" s="21" t="s">
        <v>281</v>
      </c>
      <c r="Q34" s="26" t="s">
        <v>282</v>
      </c>
      <c r="R34" s="20" t="s">
        <v>283</v>
      </c>
      <c r="S34" s="20"/>
      <c r="T34" s="20"/>
      <c r="U34" s="20"/>
      <c r="V34" s="20"/>
    </row>
    <row r="35" spans="1:22" ht="34">
      <c r="A35">
        <v>3</v>
      </c>
      <c r="B35" s="11" t="s">
        <v>284</v>
      </c>
      <c r="C35" s="23" t="s">
        <v>33</v>
      </c>
      <c r="D35" s="13" t="s">
        <v>285</v>
      </c>
      <c r="E35" s="24">
        <v>3500000</v>
      </c>
      <c r="F35" s="25">
        <f>Table2[[#This Row],[Price]]/Table2[[#This Row],[Tot Ht Area]]</f>
        <v>591.01654846335703</v>
      </c>
      <c r="G35" s="16">
        <v>5922</v>
      </c>
      <c r="H35" s="16">
        <v>6039</v>
      </c>
      <c r="I35" s="17" t="s">
        <v>286</v>
      </c>
      <c r="J35" s="18" t="s">
        <v>287</v>
      </c>
      <c r="K35" s="19" t="s">
        <v>48</v>
      </c>
      <c r="L35" s="19" t="s">
        <v>110</v>
      </c>
      <c r="M35" s="19" t="s">
        <v>288</v>
      </c>
      <c r="N35" s="20" t="s">
        <v>6212</v>
      </c>
      <c r="O35" s="20" t="s">
        <v>27</v>
      </c>
      <c r="P35" s="21" t="s">
        <v>289</v>
      </c>
      <c r="Q35" s="26" t="s">
        <v>290</v>
      </c>
      <c r="R35" s="20" t="s">
        <v>291</v>
      </c>
      <c r="S35" s="20"/>
      <c r="T35" s="20" t="s">
        <v>6318</v>
      </c>
      <c r="U35" s="20" t="s">
        <v>6569</v>
      </c>
      <c r="V35" s="20" t="s">
        <v>6562</v>
      </c>
    </row>
    <row r="36" spans="1:22" ht="34">
      <c r="A36">
        <v>3</v>
      </c>
      <c r="B36" s="11" t="s">
        <v>292</v>
      </c>
      <c r="C36" s="23" t="s">
        <v>33</v>
      </c>
      <c r="D36" s="13" t="s">
        <v>293</v>
      </c>
      <c r="E36" s="24">
        <v>475000</v>
      </c>
      <c r="F36" s="25">
        <f>Table2[[#This Row],[Price]]/Table2[[#This Row],[Tot Ht Area]]</f>
        <v>102.81385281385282</v>
      </c>
      <c r="G36" s="16">
        <v>4620</v>
      </c>
      <c r="H36" s="16">
        <v>4745</v>
      </c>
      <c r="I36" s="17" t="s">
        <v>294</v>
      </c>
      <c r="J36" s="18" t="s">
        <v>47</v>
      </c>
      <c r="K36" s="19" t="s">
        <v>48</v>
      </c>
      <c r="L36" s="19" t="s">
        <v>67</v>
      </c>
      <c r="M36" s="19" t="s">
        <v>295</v>
      </c>
      <c r="N36" s="20" t="s">
        <v>26</v>
      </c>
      <c r="O36" s="20" t="s">
        <v>27</v>
      </c>
      <c r="P36" s="21" t="s">
        <v>296</v>
      </c>
      <c r="Q36" s="26" t="s">
        <v>297</v>
      </c>
      <c r="R36" s="20" t="s">
        <v>298</v>
      </c>
      <c r="S36" s="20"/>
      <c r="T36" s="20"/>
      <c r="U36" s="20"/>
      <c r="V36" s="20"/>
    </row>
    <row r="37" spans="1:22" ht="34">
      <c r="A37">
        <v>3</v>
      </c>
      <c r="B37" s="11" t="s">
        <v>299</v>
      </c>
      <c r="C37" s="23" t="s">
        <v>33</v>
      </c>
      <c r="D37" s="13" t="s">
        <v>285</v>
      </c>
      <c r="E37" s="24">
        <v>585000</v>
      </c>
      <c r="F37" s="25">
        <f>Table2[[#This Row],[Price]]/Table2[[#This Row],[Tot Ht Area]]</f>
        <v>127.45098039215686</v>
      </c>
      <c r="G37" s="16">
        <v>4590</v>
      </c>
      <c r="H37" s="16">
        <v>5490</v>
      </c>
      <c r="I37" s="17" t="s">
        <v>300</v>
      </c>
      <c r="J37" s="18" t="s">
        <v>301</v>
      </c>
      <c r="K37" s="19" t="s">
        <v>37</v>
      </c>
      <c r="L37" s="19" t="s">
        <v>67</v>
      </c>
      <c r="M37" s="19" t="s">
        <v>302</v>
      </c>
      <c r="N37" s="20" t="s">
        <v>26</v>
      </c>
      <c r="O37" s="20" t="s">
        <v>27</v>
      </c>
      <c r="P37" s="21" t="s">
        <v>6574</v>
      </c>
      <c r="Q37" s="26" t="s">
        <v>304</v>
      </c>
      <c r="R37" s="26" t="s">
        <v>305</v>
      </c>
      <c r="S37" s="20"/>
      <c r="T37" s="20"/>
      <c r="U37" s="20"/>
      <c r="V37" s="20"/>
    </row>
    <row r="38" spans="1:22" ht="51">
      <c r="A38">
        <v>3</v>
      </c>
      <c r="B38" s="11" t="s">
        <v>306</v>
      </c>
      <c r="C38" s="23" t="s">
        <v>33</v>
      </c>
      <c r="D38" s="13" t="s">
        <v>307</v>
      </c>
      <c r="E38" s="24">
        <v>100</v>
      </c>
      <c r="F38" s="25">
        <f>Table2[[#This Row],[Price]]/Table2[[#This Row],[Tot Ht Area]]</f>
        <v>3.1162355874104083E-2</v>
      </c>
      <c r="G38" s="16">
        <v>3209</v>
      </c>
      <c r="H38" s="16">
        <v>3283</v>
      </c>
      <c r="I38" s="17" t="s">
        <v>308</v>
      </c>
      <c r="J38" s="18" t="s">
        <v>309</v>
      </c>
      <c r="K38" s="19" t="s">
        <v>48</v>
      </c>
      <c r="L38" s="19" t="s">
        <v>67</v>
      </c>
      <c r="M38" s="19" t="s">
        <v>310</v>
      </c>
      <c r="N38" s="20" t="s">
        <v>26</v>
      </c>
      <c r="O38" s="20" t="s">
        <v>27</v>
      </c>
      <c r="P38" s="21" t="s">
        <v>6575</v>
      </c>
      <c r="Q38" s="26" t="s">
        <v>311</v>
      </c>
      <c r="R38" s="20" t="s">
        <v>312</v>
      </c>
      <c r="S38" s="20"/>
      <c r="T38" s="20" t="s">
        <v>6318</v>
      </c>
      <c r="U38" s="20"/>
      <c r="V38" s="20"/>
    </row>
    <row r="39" spans="1:22" ht="17">
      <c r="A39">
        <v>3</v>
      </c>
      <c r="B39" s="11" t="s">
        <v>313</v>
      </c>
      <c r="C39" s="23" t="s">
        <v>33</v>
      </c>
      <c r="D39" s="13" t="s">
        <v>314</v>
      </c>
      <c r="E39" s="24">
        <v>2650000</v>
      </c>
      <c r="F39" s="25">
        <f>Table2[[#This Row],[Price]]/Table2[[#This Row],[Tot Ht Area]]</f>
        <v>201.67427701674276</v>
      </c>
      <c r="G39" s="16">
        <v>13140</v>
      </c>
      <c r="H39" s="16">
        <v>14276</v>
      </c>
      <c r="I39" s="17" t="s">
        <v>315</v>
      </c>
      <c r="J39" s="18" t="s">
        <v>316</v>
      </c>
      <c r="K39" s="19" t="s">
        <v>101</v>
      </c>
      <c r="L39" s="19" t="s">
        <v>67</v>
      </c>
      <c r="M39" s="19" t="s">
        <v>317</v>
      </c>
      <c r="N39" s="20" t="s">
        <v>1519</v>
      </c>
      <c r="O39" s="20" t="s">
        <v>27</v>
      </c>
      <c r="P39" s="21" t="s">
        <v>318</v>
      </c>
      <c r="Q39" s="26" t="s">
        <v>319</v>
      </c>
      <c r="R39" s="20" t="s">
        <v>320</v>
      </c>
      <c r="S39" s="20"/>
      <c r="T39" s="20"/>
      <c r="U39" s="20"/>
      <c r="V39" s="20"/>
    </row>
    <row r="40" spans="1:22" ht="17">
      <c r="A40">
        <v>3</v>
      </c>
      <c r="B40" s="11" t="s">
        <v>321</v>
      </c>
      <c r="C40" s="23" t="s">
        <v>33</v>
      </c>
      <c r="D40" s="13" t="s">
        <v>322</v>
      </c>
      <c r="E40" s="24">
        <v>1140000</v>
      </c>
      <c r="F40" s="25">
        <f>Table2[[#This Row],[Price]]/Table2[[#This Row],[Tot Ht Area]]</f>
        <v>276.90065581734274</v>
      </c>
      <c r="G40" s="16">
        <v>4117</v>
      </c>
      <c r="H40" s="16">
        <v>5455</v>
      </c>
      <c r="I40" s="17" t="s">
        <v>323</v>
      </c>
      <c r="J40" s="18" t="s">
        <v>83</v>
      </c>
      <c r="K40" s="19" t="s">
        <v>48</v>
      </c>
      <c r="L40" s="19" t="s">
        <v>324</v>
      </c>
      <c r="M40" s="19" t="s">
        <v>325</v>
      </c>
      <c r="N40" s="20" t="s">
        <v>26</v>
      </c>
      <c r="O40" s="20" t="s">
        <v>27</v>
      </c>
      <c r="P40" s="21" t="s">
        <v>6464</v>
      </c>
      <c r="Q40" s="26" t="s">
        <v>327</v>
      </c>
      <c r="R40" s="20" t="s">
        <v>328</v>
      </c>
      <c r="S40" s="20"/>
      <c r="T40" s="20"/>
      <c r="U40" s="20"/>
      <c r="V40" s="20"/>
    </row>
    <row r="41" spans="1:22" ht="17">
      <c r="A41">
        <v>3</v>
      </c>
      <c r="B41" s="11" t="s">
        <v>329</v>
      </c>
      <c r="C41" s="23" t="s">
        <v>33</v>
      </c>
      <c r="D41" s="13" t="s">
        <v>330</v>
      </c>
      <c r="E41" s="24"/>
      <c r="F41" s="25">
        <f>Table2[[#This Row],[Price]]/Table2[[#This Row],[Tot Ht Area]]</f>
        <v>0</v>
      </c>
      <c r="G41" s="16">
        <v>16200</v>
      </c>
      <c r="H41" s="16">
        <v>16248</v>
      </c>
      <c r="I41" s="17" t="s">
        <v>331</v>
      </c>
      <c r="J41" s="18" t="s">
        <v>100</v>
      </c>
      <c r="K41" s="19" t="s">
        <v>37</v>
      </c>
      <c r="L41" s="19" t="s">
        <v>110</v>
      </c>
      <c r="M41" s="19" t="s">
        <v>332</v>
      </c>
      <c r="N41" s="20" t="s">
        <v>26</v>
      </c>
      <c r="O41" s="20" t="s">
        <v>27</v>
      </c>
      <c r="P41" s="21" t="s">
        <v>6576</v>
      </c>
      <c r="Q41" s="26" t="s">
        <v>333</v>
      </c>
      <c r="R41" s="20" t="s">
        <v>334</v>
      </c>
      <c r="S41" s="20"/>
      <c r="T41" s="20"/>
      <c r="U41" s="20"/>
      <c r="V41" s="20"/>
    </row>
    <row r="42" spans="1:22" ht="34">
      <c r="A42">
        <v>3</v>
      </c>
      <c r="B42" s="11" t="s">
        <v>335</v>
      </c>
      <c r="C42" s="23" t="s">
        <v>33</v>
      </c>
      <c r="D42" s="13" t="s">
        <v>336</v>
      </c>
      <c r="E42" s="24">
        <v>100</v>
      </c>
      <c r="F42" s="25">
        <f>Table2[[#This Row],[Price]]/Table2[[#This Row],[Tot Ht Area]]</f>
        <v>3.8922621827806323E-3</v>
      </c>
      <c r="G42" s="16">
        <v>25692</v>
      </c>
      <c r="H42" s="16">
        <v>27809</v>
      </c>
      <c r="I42" s="17" t="s">
        <v>337</v>
      </c>
      <c r="J42" s="18" t="s">
        <v>75</v>
      </c>
      <c r="K42" s="19" t="s">
        <v>101</v>
      </c>
      <c r="L42" s="19" t="s">
        <v>110</v>
      </c>
      <c r="M42" s="19" t="s">
        <v>338</v>
      </c>
      <c r="N42" s="20" t="s">
        <v>26</v>
      </c>
      <c r="O42" s="20" t="s">
        <v>27</v>
      </c>
      <c r="P42" s="21" t="s">
        <v>6577</v>
      </c>
      <c r="Q42" s="26" t="s">
        <v>339</v>
      </c>
      <c r="R42" s="20" t="s">
        <v>340</v>
      </c>
      <c r="S42" s="20"/>
      <c r="T42" s="20" t="s">
        <v>6318</v>
      </c>
      <c r="U42" s="20"/>
      <c r="V42" s="20"/>
    </row>
    <row r="43" spans="1:22" ht="34">
      <c r="A43">
        <v>3</v>
      </c>
      <c r="B43" s="11" t="s">
        <v>341</v>
      </c>
      <c r="C43" s="23" t="s">
        <v>33</v>
      </c>
      <c r="D43" s="13" t="s">
        <v>90</v>
      </c>
      <c r="E43" s="24">
        <v>1650000</v>
      </c>
      <c r="F43" s="25">
        <f>Table2[[#This Row],[Price]]/Table2[[#This Row],[Tot Ht Area]]</f>
        <v>230.06134969325154</v>
      </c>
      <c r="G43" s="16">
        <v>7172</v>
      </c>
      <c r="H43" s="16">
        <v>7435</v>
      </c>
      <c r="I43" s="17" t="s">
        <v>342</v>
      </c>
      <c r="J43" s="18" t="s">
        <v>233</v>
      </c>
      <c r="K43" s="19" t="s">
        <v>48</v>
      </c>
      <c r="L43" s="19" t="s">
        <v>343</v>
      </c>
      <c r="M43" s="19" t="s">
        <v>344</v>
      </c>
      <c r="N43" s="20" t="s">
        <v>26</v>
      </c>
      <c r="O43" s="20" t="s">
        <v>27</v>
      </c>
      <c r="P43" s="21" t="s">
        <v>6373</v>
      </c>
      <c r="Q43" s="26" t="s">
        <v>346</v>
      </c>
      <c r="R43" s="20" t="s">
        <v>347</v>
      </c>
      <c r="S43" s="20"/>
      <c r="T43" s="20"/>
      <c r="U43" s="20"/>
      <c r="V43" s="20"/>
    </row>
    <row r="44" spans="1:22" ht="34">
      <c r="A44">
        <v>3</v>
      </c>
      <c r="B44" s="11" t="s">
        <v>348</v>
      </c>
      <c r="C44" s="23" t="s">
        <v>33</v>
      </c>
      <c r="D44" s="13" t="s">
        <v>336</v>
      </c>
      <c r="E44" s="24">
        <v>3499900</v>
      </c>
      <c r="F44" s="25">
        <f>Table2[[#This Row],[Price]]/Table2[[#This Row],[Tot Ht Area]]</f>
        <v>251.91823220326782</v>
      </c>
      <c r="G44" s="16">
        <v>13893</v>
      </c>
      <c r="H44" s="16">
        <v>16012</v>
      </c>
      <c r="I44" s="17" t="s">
        <v>349</v>
      </c>
      <c r="J44" s="18" t="s">
        <v>350</v>
      </c>
      <c r="K44" s="19" t="s">
        <v>101</v>
      </c>
      <c r="L44" s="19" t="s">
        <v>324</v>
      </c>
      <c r="M44" s="19" t="s">
        <v>351</v>
      </c>
      <c r="N44" s="20" t="s">
        <v>1519</v>
      </c>
      <c r="O44" s="20" t="s">
        <v>40</v>
      </c>
      <c r="P44" s="21" t="s">
        <v>352</v>
      </c>
      <c r="Q44" s="26" t="s">
        <v>353</v>
      </c>
      <c r="R44" s="20" t="s">
        <v>354</v>
      </c>
      <c r="S44" s="20"/>
      <c r="T44" s="20"/>
      <c r="U44" s="20"/>
      <c r="V44" s="20"/>
    </row>
    <row r="45" spans="1:22" ht="34">
      <c r="A45">
        <v>3</v>
      </c>
      <c r="B45" s="11" t="s">
        <v>355</v>
      </c>
      <c r="C45" s="23" t="s">
        <v>33</v>
      </c>
      <c r="D45" s="13" t="s">
        <v>356</v>
      </c>
      <c r="E45" s="24">
        <v>3400000</v>
      </c>
      <c r="F45" s="25">
        <f>Table2[[#This Row],[Price]]/Table2[[#This Row],[Tot Ht Area]]</f>
        <v>356.24476110645429</v>
      </c>
      <c r="G45" s="16">
        <v>9544</v>
      </c>
      <c r="H45" s="16">
        <v>10056</v>
      </c>
      <c r="I45" s="17" t="s">
        <v>357</v>
      </c>
      <c r="J45" s="18" t="s">
        <v>358</v>
      </c>
      <c r="K45" s="19" t="s">
        <v>48</v>
      </c>
      <c r="L45" s="19" t="s">
        <v>359</v>
      </c>
      <c r="M45" s="19" t="s">
        <v>360</v>
      </c>
      <c r="N45" s="20" t="s">
        <v>1519</v>
      </c>
      <c r="O45" s="20" t="s">
        <v>27</v>
      </c>
      <c r="P45" s="21" t="s">
        <v>6578</v>
      </c>
      <c r="Q45" s="26" t="s">
        <v>362</v>
      </c>
      <c r="R45" s="20" t="s">
        <v>363</v>
      </c>
      <c r="S45" s="20"/>
      <c r="T45" s="20"/>
      <c r="U45" s="20"/>
      <c r="V45" s="20"/>
    </row>
    <row r="46" spans="1:22" ht="34">
      <c r="A46">
        <v>3</v>
      </c>
      <c r="B46" s="11" t="s">
        <v>364</v>
      </c>
      <c r="C46" s="23" t="s">
        <v>33</v>
      </c>
      <c r="D46" s="13" t="s">
        <v>141</v>
      </c>
      <c r="E46" s="24">
        <v>649000</v>
      </c>
      <c r="F46" s="25">
        <f>Table2[[#This Row],[Price]]/Table2[[#This Row],[Tot Ht Area]]</f>
        <v>224.5674740484429</v>
      </c>
      <c r="G46" s="16">
        <v>2890</v>
      </c>
      <c r="H46" s="16">
        <v>2906</v>
      </c>
      <c r="I46" s="17" t="s">
        <v>365</v>
      </c>
      <c r="J46" s="18" t="s">
        <v>92</v>
      </c>
      <c r="K46" s="19" t="s">
        <v>48</v>
      </c>
      <c r="L46" s="19" t="s">
        <v>366</v>
      </c>
      <c r="M46" s="19" t="s">
        <v>367</v>
      </c>
      <c r="N46" s="20" t="s">
        <v>26</v>
      </c>
      <c r="O46" s="20" t="s">
        <v>27</v>
      </c>
      <c r="P46" s="21" t="s">
        <v>368</v>
      </c>
      <c r="Q46" s="26" t="s">
        <v>369</v>
      </c>
      <c r="R46" s="20" t="s">
        <v>370</v>
      </c>
      <c r="S46" s="20"/>
      <c r="T46" s="20"/>
      <c r="U46" s="20"/>
      <c r="V46" s="20"/>
    </row>
    <row r="47" spans="1:22" ht="34">
      <c r="A47">
        <v>3</v>
      </c>
      <c r="B47" s="11" t="s">
        <v>371</v>
      </c>
      <c r="C47" s="23" t="s">
        <v>33</v>
      </c>
      <c r="D47" s="13" t="s">
        <v>372</v>
      </c>
      <c r="E47" s="24">
        <v>100</v>
      </c>
      <c r="F47" s="25">
        <f>Table2[[#This Row],[Price]]/Table2[[#This Row],[Tot Ht Area]]</f>
        <v>3.6231884057971016E-2</v>
      </c>
      <c r="G47" s="16">
        <v>2760</v>
      </c>
      <c r="H47" s="16">
        <v>2760</v>
      </c>
      <c r="I47" s="17" t="s">
        <v>373</v>
      </c>
      <c r="J47" s="18" t="s">
        <v>126</v>
      </c>
      <c r="K47" s="19" t="s">
        <v>48</v>
      </c>
      <c r="L47" s="19" t="s">
        <v>366</v>
      </c>
      <c r="M47" s="19" t="s">
        <v>374</v>
      </c>
      <c r="N47" s="20" t="s">
        <v>26</v>
      </c>
      <c r="O47" s="20" t="s">
        <v>27</v>
      </c>
      <c r="P47" s="21" t="s">
        <v>375</v>
      </c>
      <c r="Q47" s="26" t="s">
        <v>376</v>
      </c>
      <c r="R47" s="20" t="s">
        <v>377</v>
      </c>
      <c r="S47" s="20"/>
      <c r="T47" s="20" t="s">
        <v>6318</v>
      </c>
      <c r="U47" s="20"/>
      <c r="V47" s="20"/>
    </row>
    <row r="48" spans="1:22" ht="34">
      <c r="A48">
        <v>3</v>
      </c>
      <c r="B48" s="11" t="s">
        <v>378</v>
      </c>
      <c r="C48" s="23" t="s">
        <v>33</v>
      </c>
      <c r="D48" s="13" t="s">
        <v>81</v>
      </c>
      <c r="E48" s="24">
        <v>100</v>
      </c>
      <c r="F48" s="25">
        <f>Table2[[#This Row],[Price]]/Table2[[#This Row],[Tot Ht Area]]</f>
        <v>1.3974287311347122E-2</v>
      </c>
      <c r="G48" s="16">
        <v>7156</v>
      </c>
      <c r="H48" s="16">
        <v>7464</v>
      </c>
      <c r="I48" s="17" t="s">
        <v>82</v>
      </c>
      <c r="J48" s="18" t="s">
        <v>379</v>
      </c>
      <c r="K48" s="19" t="s">
        <v>48</v>
      </c>
      <c r="L48" s="19" t="s">
        <v>84</v>
      </c>
      <c r="M48" s="19" t="s">
        <v>380</v>
      </c>
      <c r="N48" s="20" t="s">
        <v>26</v>
      </c>
      <c r="O48" s="20" t="s">
        <v>27</v>
      </c>
      <c r="P48" s="21" t="s">
        <v>6579</v>
      </c>
      <c r="Q48" s="26" t="s">
        <v>381</v>
      </c>
      <c r="R48" s="26" t="s">
        <v>382</v>
      </c>
      <c r="S48" s="20"/>
      <c r="T48" s="20" t="s">
        <v>6318</v>
      </c>
      <c r="U48" s="20"/>
      <c r="V48" s="20"/>
    </row>
    <row r="49" spans="1:22" ht="34">
      <c r="A49">
        <v>3</v>
      </c>
      <c r="B49" s="11" t="s">
        <v>383</v>
      </c>
      <c r="C49" s="23" t="s">
        <v>33</v>
      </c>
      <c r="D49" s="13" t="s">
        <v>133</v>
      </c>
      <c r="E49" s="24">
        <v>4030000</v>
      </c>
      <c r="F49" s="25">
        <f>Table2[[#This Row],[Price]]/Table2[[#This Row],[Tot Ht Area]]</f>
        <v>494.59990181639665</v>
      </c>
      <c r="G49" s="16">
        <v>8148</v>
      </c>
      <c r="H49" s="16">
        <v>8250</v>
      </c>
      <c r="I49" s="17" t="s">
        <v>384</v>
      </c>
      <c r="J49" s="18" t="s">
        <v>385</v>
      </c>
      <c r="K49" s="19" t="s">
        <v>48</v>
      </c>
      <c r="L49" s="19" t="s">
        <v>324</v>
      </c>
      <c r="M49" s="19" t="s">
        <v>386</v>
      </c>
      <c r="N49" s="20" t="s">
        <v>26</v>
      </c>
      <c r="O49" s="20" t="s">
        <v>27</v>
      </c>
      <c r="P49" s="21" t="s">
        <v>6430</v>
      </c>
      <c r="Q49" s="26" t="s">
        <v>388</v>
      </c>
      <c r="R49" s="20" t="s">
        <v>389</v>
      </c>
      <c r="S49" s="20"/>
      <c r="T49" s="20"/>
      <c r="U49" s="20"/>
      <c r="V49" s="20"/>
    </row>
    <row r="50" spans="1:22" ht="34">
      <c r="A50">
        <v>3</v>
      </c>
      <c r="B50" s="11" t="s">
        <v>390</v>
      </c>
      <c r="C50" s="23" t="s">
        <v>33</v>
      </c>
      <c r="D50" s="13" t="s">
        <v>322</v>
      </c>
      <c r="E50" s="24">
        <v>965900</v>
      </c>
      <c r="F50" s="25">
        <f>Table2[[#This Row],[Price]]/Table2[[#This Row],[Tot Ht Area]]</f>
        <v>148.41733251382914</v>
      </c>
      <c r="G50" s="16">
        <v>6508</v>
      </c>
      <c r="H50" s="16">
        <v>6724</v>
      </c>
      <c r="I50" s="17" t="s">
        <v>391</v>
      </c>
      <c r="J50" s="18" t="s">
        <v>100</v>
      </c>
      <c r="K50" s="19" t="s">
        <v>101</v>
      </c>
      <c r="L50" s="19" t="s">
        <v>392</v>
      </c>
      <c r="M50" s="19" t="s">
        <v>393</v>
      </c>
      <c r="N50" s="20" t="s">
        <v>26</v>
      </c>
      <c r="O50" s="20" t="s">
        <v>27</v>
      </c>
      <c r="P50" s="21" t="s">
        <v>6461</v>
      </c>
      <c r="Q50" s="26" t="s">
        <v>395</v>
      </c>
      <c r="R50" s="20" t="s">
        <v>396</v>
      </c>
      <c r="S50" s="20"/>
      <c r="T50" s="20"/>
      <c r="U50" s="20"/>
      <c r="V50" s="20"/>
    </row>
    <row r="51" spans="1:22" ht="17">
      <c r="A51">
        <v>3</v>
      </c>
      <c r="B51" s="11" t="s">
        <v>397</v>
      </c>
      <c r="C51" s="23" t="s">
        <v>33</v>
      </c>
      <c r="D51" s="13" t="s">
        <v>398</v>
      </c>
      <c r="E51" s="24">
        <v>4875000</v>
      </c>
      <c r="F51" s="25">
        <f>Table2[[#This Row],[Price]]/Table2[[#This Row],[Tot Ht Area]]</f>
        <v>221.49023171285779</v>
      </c>
      <c r="G51" s="16">
        <v>22010</v>
      </c>
      <c r="H51" s="16">
        <v>22046</v>
      </c>
      <c r="I51" s="17" t="s">
        <v>399</v>
      </c>
      <c r="J51" s="18" t="s">
        <v>400</v>
      </c>
      <c r="K51" s="19" t="s">
        <v>101</v>
      </c>
      <c r="L51" s="19" t="s">
        <v>401</v>
      </c>
      <c r="M51" s="19" t="s">
        <v>402</v>
      </c>
      <c r="N51" s="20" t="s">
        <v>1519</v>
      </c>
      <c r="O51" s="20" t="s">
        <v>27</v>
      </c>
      <c r="P51" s="21" t="s">
        <v>403</v>
      </c>
      <c r="Q51" s="26" t="s">
        <v>404</v>
      </c>
      <c r="R51" s="20" t="s">
        <v>405</v>
      </c>
      <c r="S51" s="20"/>
      <c r="T51" s="20"/>
      <c r="U51" s="20"/>
      <c r="V51" s="20"/>
    </row>
    <row r="52" spans="1:22" ht="34">
      <c r="A52">
        <v>3</v>
      </c>
      <c r="B52" s="11" t="s">
        <v>406</v>
      </c>
      <c r="C52" s="23" t="s">
        <v>33</v>
      </c>
      <c r="D52" s="13" t="s">
        <v>407</v>
      </c>
      <c r="E52" s="24">
        <v>100</v>
      </c>
      <c r="F52" s="25">
        <f>Table2[[#This Row],[Price]]/Table2[[#This Row],[Tot Ht Area]]</f>
        <v>2.9824038174768863E-2</v>
      </c>
      <c r="G52" s="16">
        <v>3353</v>
      </c>
      <c r="H52" s="16">
        <v>3581</v>
      </c>
      <c r="I52" s="17" t="s">
        <v>408</v>
      </c>
      <c r="J52" s="18" t="s">
        <v>379</v>
      </c>
      <c r="K52" s="19" t="s">
        <v>48</v>
      </c>
      <c r="L52" s="19" t="s">
        <v>366</v>
      </c>
      <c r="M52" s="19" t="s">
        <v>409</v>
      </c>
      <c r="N52" s="20" t="s">
        <v>26</v>
      </c>
      <c r="O52" s="20" t="s">
        <v>27</v>
      </c>
      <c r="P52" s="21" t="s">
        <v>410</v>
      </c>
      <c r="Q52" s="26" t="s">
        <v>411</v>
      </c>
      <c r="R52" s="20" t="s">
        <v>412</v>
      </c>
      <c r="S52" s="20"/>
      <c r="T52" s="20" t="s">
        <v>6318</v>
      </c>
      <c r="U52" s="20"/>
      <c r="V52" s="20"/>
    </row>
    <row r="53" spans="1:22" ht="68">
      <c r="A53">
        <v>3</v>
      </c>
      <c r="B53" s="11" t="s">
        <v>413</v>
      </c>
      <c r="C53" s="23" t="s">
        <v>33</v>
      </c>
      <c r="D53" s="13" t="s">
        <v>108</v>
      </c>
      <c r="E53" s="24">
        <v>15000000</v>
      </c>
      <c r="F53" s="25">
        <f>Table2[[#This Row],[Price]]/Table2[[#This Row],[Tot Ht Area]]</f>
        <v>634.16902718471226</v>
      </c>
      <c r="G53" s="16">
        <v>23653</v>
      </c>
      <c r="H53" s="16">
        <v>23834</v>
      </c>
      <c r="I53" s="17" t="s">
        <v>414</v>
      </c>
      <c r="J53" s="18" t="s">
        <v>415</v>
      </c>
      <c r="K53" s="19" t="s">
        <v>101</v>
      </c>
      <c r="L53" s="19" t="s">
        <v>366</v>
      </c>
      <c r="M53" s="19" t="s">
        <v>416</v>
      </c>
      <c r="N53" s="20" t="s">
        <v>1519</v>
      </c>
      <c r="O53" s="20" t="s">
        <v>27</v>
      </c>
      <c r="P53" s="21" t="s">
        <v>417</v>
      </c>
      <c r="Q53" s="26" t="s">
        <v>418</v>
      </c>
      <c r="R53" s="20" t="s">
        <v>419</v>
      </c>
      <c r="S53" s="20"/>
      <c r="T53" s="20"/>
      <c r="U53" s="20"/>
      <c r="V53" s="20"/>
    </row>
    <row r="54" spans="1:22" ht="34">
      <c r="A54">
        <v>3</v>
      </c>
      <c r="B54" s="11" t="s">
        <v>420</v>
      </c>
      <c r="C54" s="23" t="s">
        <v>33</v>
      </c>
      <c r="D54" s="13" t="s">
        <v>45</v>
      </c>
      <c r="E54" s="24">
        <v>2000000</v>
      </c>
      <c r="F54" s="25">
        <f>Table2[[#This Row],[Price]]/Table2[[#This Row],[Tot Ht Area]]</f>
        <v>301.7046311660884</v>
      </c>
      <c r="G54" s="16">
        <v>6629</v>
      </c>
      <c r="H54" s="16">
        <v>7252</v>
      </c>
      <c r="I54" s="17" t="s">
        <v>421</v>
      </c>
      <c r="J54" s="18" t="s">
        <v>422</v>
      </c>
      <c r="K54" s="19" t="s">
        <v>48</v>
      </c>
      <c r="L54" s="19" t="s">
        <v>194</v>
      </c>
      <c r="M54" s="19" t="s">
        <v>423</v>
      </c>
      <c r="N54" s="20" t="s">
        <v>26</v>
      </c>
      <c r="O54" s="20" t="s">
        <v>27</v>
      </c>
      <c r="P54" s="21" t="s">
        <v>424</v>
      </c>
      <c r="Q54" s="26" t="s">
        <v>425</v>
      </c>
      <c r="R54" s="20" t="s">
        <v>426</v>
      </c>
      <c r="S54" s="20"/>
      <c r="T54" s="20"/>
      <c r="U54" s="20"/>
      <c r="V54" s="20"/>
    </row>
    <row r="55" spans="1:22" ht="34">
      <c r="A55">
        <v>3</v>
      </c>
      <c r="B55" s="11" t="s">
        <v>427</v>
      </c>
      <c r="C55" s="23" t="s">
        <v>33</v>
      </c>
      <c r="D55" s="13" t="s">
        <v>428</v>
      </c>
      <c r="E55" s="24">
        <v>7750000</v>
      </c>
      <c r="F55" s="25">
        <f>Table2[[#This Row],[Price]]/Table2[[#This Row],[Tot Ht Area]]</f>
        <v>179.94798922633973</v>
      </c>
      <c r="G55" s="16">
        <v>43068</v>
      </c>
      <c r="H55" s="16">
        <v>44902</v>
      </c>
      <c r="I55" s="17" t="s">
        <v>429</v>
      </c>
      <c r="J55" s="18" t="s">
        <v>430</v>
      </c>
      <c r="K55" s="19" t="s">
        <v>101</v>
      </c>
      <c r="L55" s="19" t="s">
        <v>118</v>
      </c>
      <c r="M55" s="19" t="s">
        <v>431</v>
      </c>
      <c r="N55" s="20" t="s">
        <v>1519</v>
      </c>
      <c r="O55" s="20" t="s">
        <v>27</v>
      </c>
      <c r="P55" s="21" t="s">
        <v>6380</v>
      </c>
      <c r="Q55" s="26" t="s">
        <v>433</v>
      </c>
      <c r="R55" s="26" t="s">
        <v>434</v>
      </c>
      <c r="S55" s="20"/>
      <c r="T55" s="20"/>
      <c r="U55" s="20"/>
      <c r="V55" s="20"/>
    </row>
    <row r="56" spans="1:22" ht="34">
      <c r="A56">
        <v>3</v>
      </c>
      <c r="B56" s="11" t="s">
        <v>435</v>
      </c>
      <c r="C56" s="23" t="s">
        <v>33</v>
      </c>
      <c r="D56" s="13" t="s">
        <v>436</v>
      </c>
      <c r="E56" s="24">
        <v>3000000</v>
      </c>
      <c r="F56" s="25">
        <f>Table2[[#This Row],[Price]]/Table2[[#This Row],[Tot Ht Area]]</f>
        <v>713.43638525564802</v>
      </c>
      <c r="G56" s="16">
        <v>4205</v>
      </c>
      <c r="H56" s="16">
        <v>5986</v>
      </c>
      <c r="I56" s="17" t="s">
        <v>437</v>
      </c>
      <c r="J56" s="18" t="s">
        <v>358</v>
      </c>
      <c r="K56" s="19" t="s">
        <v>48</v>
      </c>
      <c r="L56" s="19" t="s">
        <v>438</v>
      </c>
      <c r="M56" s="19" t="s">
        <v>439</v>
      </c>
      <c r="N56" s="20" t="s">
        <v>26</v>
      </c>
      <c r="O56" s="20" t="s">
        <v>27</v>
      </c>
      <c r="P56" s="21" t="s">
        <v>6466</v>
      </c>
      <c r="Q56" s="26" t="s">
        <v>441</v>
      </c>
      <c r="R56" s="20" t="s">
        <v>442</v>
      </c>
      <c r="S56" s="20"/>
      <c r="T56" s="20" t="s">
        <v>6318</v>
      </c>
      <c r="U56" s="20"/>
      <c r="V56" s="20" t="s">
        <v>6568</v>
      </c>
    </row>
    <row r="57" spans="1:22" ht="34">
      <c r="A57">
        <v>3</v>
      </c>
      <c r="B57" s="11" t="s">
        <v>443</v>
      </c>
      <c r="C57" s="23" t="s">
        <v>33</v>
      </c>
      <c r="D57" s="13" t="s">
        <v>398</v>
      </c>
      <c r="E57" s="24">
        <v>3080000</v>
      </c>
      <c r="F57" s="25">
        <f>Table2[[#This Row],[Price]]/Table2[[#This Row],[Tot Ht Area]]</f>
        <v>283.03620657967286</v>
      </c>
      <c r="G57" s="16">
        <v>10882</v>
      </c>
      <c r="H57" s="16">
        <v>11431</v>
      </c>
      <c r="I57" s="17" t="s">
        <v>444</v>
      </c>
      <c r="J57" s="18" t="s">
        <v>187</v>
      </c>
      <c r="K57" s="19" t="s">
        <v>37</v>
      </c>
      <c r="L57" s="19" t="s">
        <v>438</v>
      </c>
      <c r="M57" s="19" t="s">
        <v>445</v>
      </c>
      <c r="N57" s="20" t="s">
        <v>1519</v>
      </c>
      <c r="O57" s="20" t="s">
        <v>27</v>
      </c>
      <c r="P57" s="21" t="s">
        <v>6467</v>
      </c>
      <c r="Q57" s="26" t="s">
        <v>447</v>
      </c>
      <c r="R57" s="20" t="s">
        <v>448</v>
      </c>
      <c r="S57" s="20"/>
      <c r="T57" s="20"/>
      <c r="U57" s="20"/>
      <c r="V57" s="20"/>
    </row>
    <row r="58" spans="1:22" ht="51">
      <c r="A58">
        <v>3</v>
      </c>
      <c r="B58" s="11" t="s">
        <v>449</v>
      </c>
      <c r="C58" s="23" t="s">
        <v>33</v>
      </c>
      <c r="D58" s="13" t="s">
        <v>450</v>
      </c>
      <c r="E58" s="24">
        <v>100</v>
      </c>
      <c r="F58" s="25">
        <f>Table2[[#This Row],[Price]]/Table2[[#This Row],[Tot Ht Area]]</f>
        <v>9.0497737556561094E-3</v>
      </c>
      <c r="G58" s="16">
        <v>11050</v>
      </c>
      <c r="H58" s="16">
        <v>11580</v>
      </c>
      <c r="I58" s="17" t="s">
        <v>451</v>
      </c>
      <c r="J58" s="18" t="s">
        <v>358</v>
      </c>
      <c r="K58" s="19" t="s">
        <v>37</v>
      </c>
      <c r="L58" s="19" t="s">
        <v>118</v>
      </c>
      <c r="M58" s="19" t="s">
        <v>452</v>
      </c>
      <c r="N58" s="20" t="s">
        <v>26</v>
      </c>
      <c r="O58" s="20" t="s">
        <v>27</v>
      </c>
      <c r="P58" s="21" t="s">
        <v>6580</v>
      </c>
      <c r="Q58" s="26" t="s">
        <v>453</v>
      </c>
      <c r="R58" s="20" t="s">
        <v>454</v>
      </c>
      <c r="S58" s="20"/>
      <c r="T58" s="20" t="s">
        <v>6318</v>
      </c>
      <c r="U58" s="20"/>
      <c r="V58" s="20"/>
    </row>
    <row r="59" spans="1:22" ht="34">
      <c r="A59">
        <v>3</v>
      </c>
      <c r="B59" s="11" t="s">
        <v>455</v>
      </c>
      <c r="C59" s="23" t="s">
        <v>33</v>
      </c>
      <c r="D59" s="13" t="s">
        <v>223</v>
      </c>
      <c r="E59" s="24">
        <v>15500000</v>
      </c>
      <c r="F59" s="25">
        <f>Table2[[#This Row],[Price]]/Table2[[#This Row],[Tot Ht Area]]</f>
        <v>1500.3387861775238</v>
      </c>
      <c r="G59" s="16">
        <v>10331</v>
      </c>
      <c r="H59" s="16">
        <v>12626</v>
      </c>
      <c r="I59" s="17" t="s">
        <v>456</v>
      </c>
      <c r="J59" s="18" t="s">
        <v>47</v>
      </c>
      <c r="K59" s="19" t="s">
        <v>48</v>
      </c>
      <c r="L59" s="19" t="s">
        <v>457</v>
      </c>
      <c r="M59" s="19" t="s">
        <v>458</v>
      </c>
      <c r="N59" s="20" t="s">
        <v>6212</v>
      </c>
      <c r="O59" s="20" t="s">
        <v>27</v>
      </c>
      <c r="P59" s="21" t="s">
        <v>6581</v>
      </c>
      <c r="Q59" s="26" t="s">
        <v>459</v>
      </c>
      <c r="R59" s="20" t="s">
        <v>460</v>
      </c>
      <c r="S59" s="20"/>
      <c r="T59" s="20"/>
      <c r="U59" s="20"/>
      <c r="V59" s="20"/>
    </row>
    <row r="60" spans="1:22" ht="34">
      <c r="A60">
        <v>3</v>
      </c>
      <c r="B60" s="11" t="s">
        <v>461</v>
      </c>
      <c r="C60" s="23" t="s">
        <v>33</v>
      </c>
      <c r="D60" s="13" t="s">
        <v>45</v>
      </c>
      <c r="E60" s="24">
        <v>100</v>
      </c>
      <c r="F60" s="25">
        <f>Table2[[#This Row],[Price]]/Table2[[#This Row],[Tot Ht Area]]</f>
        <v>2.3180343069077423E-2</v>
      </c>
      <c r="G60" s="16">
        <v>4314</v>
      </c>
      <c r="H60" s="16">
        <v>5305</v>
      </c>
      <c r="I60" s="17" t="s">
        <v>462</v>
      </c>
      <c r="J60" s="18" t="s">
        <v>301</v>
      </c>
      <c r="K60" s="19" t="s">
        <v>48</v>
      </c>
      <c r="L60" s="19" t="s">
        <v>438</v>
      </c>
      <c r="M60" s="19" t="s">
        <v>463</v>
      </c>
      <c r="N60" s="20" t="s">
        <v>26</v>
      </c>
      <c r="O60" s="20" t="s">
        <v>27</v>
      </c>
      <c r="P60" s="21" t="s">
        <v>6582</v>
      </c>
      <c r="Q60" s="26" t="s">
        <v>464</v>
      </c>
      <c r="R60" s="20" t="s">
        <v>465</v>
      </c>
      <c r="S60" s="20"/>
      <c r="T60" s="20" t="s">
        <v>6318</v>
      </c>
      <c r="U60" s="20"/>
      <c r="V60" s="20"/>
    </row>
    <row r="61" spans="1:22" ht="17">
      <c r="A61">
        <v>3</v>
      </c>
      <c r="B61" s="11" t="s">
        <v>466</v>
      </c>
      <c r="C61" s="23" t="s">
        <v>33</v>
      </c>
      <c r="D61" s="13" t="s">
        <v>336</v>
      </c>
      <c r="E61" s="24">
        <v>1575000</v>
      </c>
      <c r="F61" s="25">
        <f>Table2[[#This Row],[Price]]/Table2[[#This Row],[Tot Ht Area]]</f>
        <v>325.14450867052022</v>
      </c>
      <c r="G61" s="16">
        <v>4844</v>
      </c>
      <c r="H61" s="16">
        <v>4916</v>
      </c>
      <c r="I61" s="17" t="s">
        <v>467</v>
      </c>
      <c r="J61" s="18" t="s">
        <v>468</v>
      </c>
      <c r="K61" s="19" t="s">
        <v>48</v>
      </c>
      <c r="L61" s="19" t="s">
        <v>127</v>
      </c>
      <c r="M61" s="19" t="s">
        <v>469</v>
      </c>
      <c r="N61" s="20" t="s">
        <v>26</v>
      </c>
      <c r="O61" s="20" t="s">
        <v>27</v>
      </c>
      <c r="P61" s="21" t="s">
        <v>6372</v>
      </c>
      <c r="Q61" s="26" t="s">
        <v>471</v>
      </c>
      <c r="R61" s="26" t="s">
        <v>472</v>
      </c>
      <c r="S61" s="20"/>
      <c r="T61" s="20"/>
      <c r="U61" s="20"/>
      <c r="V61" s="20"/>
    </row>
    <row r="62" spans="1:22" ht="34">
      <c r="A62">
        <v>3</v>
      </c>
      <c r="B62" s="11" t="s">
        <v>473</v>
      </c>
      <c r="C62" s="23" t="s">
        <v>33</v>
      </c>
      <c r="D62" s="13" t="s">
        <v>474</v>
      </c>
      <c r="E62" s="24">
        <v>4216800</v>
      </c>
      <c r="F62" s="25">
        <f>Table2[[#This Row],[Price]]/Table2[[#This Row],[Tot Ht Area]]</f>
        <v>200.81912563101247</v>
      </c>
      <c r="G62" s="16">
        <v>20998</v>
      </c>
      <c r="H62" s="16">
        <v>21805</v>
      </c>
      <c r="I62" s="17" t="s">
        <v>475</v>
      </c>
      <c r="J62" s="18" t="s">
        <v>476</v>
      </c>
      <c r="K62" s="19" t="s">
        <v>101</v>
      </c>
      <c r="L62" s="19" t="s">
        <v>127</v>
      </c>
      <c r="M62" s="19" t="s">
        <v>477</v>
      </c>
      <c r="N62" s="20" t="s">
        <v>1519</v>
      </c>
      <c r="O62" s="20" t="s">
        <v>27</v>
      </c>
      <c r="P62" s="21" t="s">
        <v>6432</v>
      </c>
      <c r="Q62" s="26" t="s">
        <v>479</v>
      </c>
      <c r="R62" s="26" t="s">
        <v>480</v>
      </c>
      <c r="S62" s="20"/>
      <c r="T62" s="20"/>
      <c r="U62" s="20"/>
      <c r="V62" s="20"/>
    </row>
    <row r="63" spans="1:22" ht="34">
      <c r="A63">
        <v>3</v>
      </c>
      <c r="B63" s="11" t="s">
        <v>481</v>
      </c>
      <c r="C63" s="23" t="s">
        <v>33</v>
      </c>
      <c r="D63" s="13" t="s">
        <v>260</v>
      </c>
      <c r="E63" s="14">
        <v>3200000</v>
      </c>
      <c r="F63" s="15">
        <f>Table2[[#This Row],[Price]]/Table2[[#This Row],[Tot Ht Area]]</f>
        <v>147.50622291877937</v>
      </c>
      <c r="G63" s="16">
        <v>21694</v>
      </c>
      <c r="H63" s="16">
        <v>22786</v>
      </c>
      <c r="I63" s="17" t="s">
        <v>482</v>
      </c>
      <c r="J63" s="18" t="s">
        <v>483</v>
      </c>
      <c r="K63" s="19" t="s">
        <v>48</v>
      </c>
      <c r="L63" s="19" t="s">
        <v>484</v>
      </c>
      <c r="M63" s="19" t="s">
        <v>485</v>
      </c>
      <c r="N63" s="20" t="s">
        <v>26</v>
      </c>
      <c r="O63" s="20" t="s">
        <v>27</v>
      </c>
      <c r="P63" s="21" t="s">
        <v>6583</v>
      </c>
      <c r="Q63" s="22" t="s">
        <v>487</v>
      </c>
      <c r="R63" s="22" t="s">
        <v>488</v>
      </c>
      <c r="S63" s="20"/>
      <c r="T63" s="20" t="s">
        <v>6318</v>
      </c>
      <c r="U63" s="20" t="s">
        <v>6570</v>
      </c>
      <c r="V63" s="20" t="s">
        <v>487</v>
      </c>
    </row>
    <row r="64" spans="1:22" ht="34">
      <c r="A64">
        <v>3</v>
      </c>
      <c r="B64" s="11" t="s">
        <v>489</v>
      </c>
      <c r="C64" s="23" t="s">
        <v>33</v>
      </c>
      <c r="D64" s="13" t="s">
        <v>293</v>
      </c>
      <c r="E64" s="24">
        <v>100</v>
      </c>
      <c r="F64" s="25">
        <f>Table2[[#This Row],[Price]]/Table2[[#This Row],[Tot Ht Area]]</f>
        <v>3.9556962025316458E-2</v>
      </c>
      <c r="G64" s="16">
        <v>2528</v>
      </c>
      <c r="H64" s="16">
        <v>2583</v>
      </c>
      <c r="I64" s="17" t="s">
        <v>490</v>
      </c>
      <c r="J64" s="18" t="s">
        <v>491</v>
      </c>
      <c r="K64" s="19" t="s">
        <v>48</v>
      </c>
      <c r="L64" s="19" t="s">
        <v>127</v>
      </c>
      <c r="M64" s="19" t="s">
        <v>492</v>
      </c>
      <c r="N64" s="20" t="s">
        <v>26</v>
      </c>
      <c r="O64" s="20" t="s">
        <v>27</v>
      </c>
      <c r="P64" s="21" t="s">
        <v>6584</v>
      </c>
      <c r="Q64" s="26" t="s">
        <v>493</v>
      </c>
      <c r="R64" s="20" t="s">
        <v>494</v>
      </c>
      <c r="S64" s="20"/>
      <c r="T64" s="20" t="s">
        <v>6318</v>
      </c>
      <c r="U64" s="20"/>
      <c r="V64" s="20"/>
    </row>
    <row r="65" spans="1:22" ht="34">
      <c r="A65">
        <v>3</v>
      </c>
      <c r="B65" s="11" t="s">
        <v>495</v>
      </c>
      <c r="C65" s="23" t="s">
        <v>33</v>
      </c>
      <c r="D65" s="13" t="s">
        <v>436</v>
      </c>
      <c r="E65" s="24">
        <v>800000</v>
      </c>
      <c r="F65" s="25">
        <f>Table2[[#This Row],[Price]]/Table2[[#This Row],[Tot Ht Area]]</f>
        <v>328.54209445585218</v>
      </c>
      <c r="G65" s="16">
        <v>2435</v>
      </c>
      <c r="H65" s="16">
        <v>2435</v>
      </c>
      <c r="I65" s="17" t="s">
        <v>496</v>
      </c>
      <c r="J65" s="18" t="s">
        <v>151</v>
      </c>
      <c r="K65" s="19" t="s">
        <v>37</v>
      </c>
      <c r="L65" s="19" t="s">
        <v>366</v>
      </c>
      <c r="M65" s="19" t="s">
        <v>497</v>
      </c>
      <c r="N65" s="20" t="s">
        <v>26</v>
      </c>
      <c r="O65" s="20" t="s">
        <v>27</v>
      </c>
      <c r="P65" s="21" t="s">
        <v>6459</v>
      </c>
      <c r="Q65" s="26" t="s">
        <v>499</v>
      </c>
      <c r="R65" s="20" t="s">
        <v>500</v>
      </c>
      <c r="S65" s="20"/>
      <c r="T65" s="20"/>
      <c r="U65" s="20"/>
      <c r="V65" s="20"/>
    </row>
    <row r="66" spans="1:22" ht="34">
      <c r="A66">
        <v>3</v>
      </c>
      <c r="B66" s="11" t="s">
        <v>501</v>
      </c>
      <c r="C66" s="23" t="s">
        <v>33</v>
      </c>
      <c r="D66" s="13" t="s">
        <v>223</v>
      </c>
      <c r="E66" s="24">
        <v>366400</v>
      </c>
      <c r="F66" s="25">
        <f>Table2[[#This Row],[Price]]/Table2[[#This Row],[Tot Ht Area]]</f>
        <v>127.39916550764951</v>
      </c>
      <c r="G66" s="16">
        <v>2876</v>
      </c>
      <c r="H66" s="16">
        <v>2936</v>
      </c>
      <c r="I66" s="17" t="s">
        <v>502</v>
      </c>
      <c r="J66" s="18" t="s">
        <v>287</v>
      </c>
      <c r="K66" s="19" t="s">
        <v>48</v>
      </c>
      <c r="L66" s="19" t="s">
        <v>503</v>
      </c>
      <c r="M66" s="19" t="s">
        <v>504</v>
      </c>
      <c r="N66" s="20" t="s">
        <v>26</v>
      </c>
      <c r="O66" s="20" t="s">
        <v>27</v>
      </c>
      <c r="P66" s="21" t="s">
        <v>6362</v>
      </c>
      <c r="Q66" s="26" t="s">
        <v>506</v>
      </c>
      <c r="R66" s="20" t="s">
        <v>507</v>
      </c>
      <c r="S66" s="20"/>
      <c r="T66" s="20"/>
      <c r="U66" s="20"/>
      <c r="V66" s="20"/>
    </row>
    <row r="67" spans="1:22" ht="34">
      <c r="A67">
        <v>3</v>
      </c>
      <c r="B67" s="11" t="s">
        <v>508</v>
      </c>
      <c r="C67" s="23" t="s">
        <v>33</v>
      </c>
      <c r="D67" s="13" t="s">
        <v>141</v>
      </c>
      <c r="E67" s="24">
        <v>1400000</v>
      </c>
      <c r="F67" s="25">
        <f>Table2[[#This Row],[Price]]/Table2[[#This Row],[Tot Ht Area]]</f>
        <v>408.87850467289718</v>
      </c>
      <c r="G67" s="16">
        <v>3424</v>
      </c>
      <c r="H67" s="16">
        <v>3468</v>
      </c>
      <c r="I67" s="17" t="s">
        <v>509</v>
      </c>
      <c r="J67" s="18" t="s">
        <v>309</v>
      </c>
      <c r="K67" s="19" t="s">
        <v>37</v>
      </c>
      <c r="L67" s="19" t="s">
        <v>510</v>
      </c>
      <c r="M67" s="19" t="s">
        <v>511</v>
      </c>
      <c r="N67" s="20" t="s">
        <v>26</v>
      </c>
      <c r="O67" s="20" t="s">
        <v>27</v>
      </c>
      <c r="P67" s="21" t="s">
        <v>6428</v>
      </c>
      <c r="Q67" s="26" t="s">
        <v>513</v>
      </c>
      <c r="R67" s="26" t="s">
        <v>514</v>
      </c>
      <c r="S67" s="20"/>
      <c r="T67" s="20"/>
      <c r="U67" s="20"/>
      <c r="V67" s="20"/>
    </row>
    <row r="68" spans="1:22" ht="34">
      <c r="A68">
        <v>3</v>
      </c>
      <c r="B68" s="11" t="s">
        <v>515</v>
      </c>
      <c r="C68" s="23" t="s">
        <v>33</v>
      </c>
      <c r="D68" s="13" t="s">
        <v>516</v>
      </c>
      <c r="E68" s="24">
        <v>850000</v>
      </c>
      <c r="F68" s="25">
        <f>Table2[[#This Row],[Price]]/Table2[[#This Row],[Tot Ht Area]]</f>
        <v>332.68101761252444</v>
      </c>
      <c r="G68" s="16">
        <v>2555</v>
      </c>
      <c r="H68" s="16">
        <v>2555</v>
      </c>
      <c r="I68" s="17" t="s">
        <v>517</v>
      </c>
      <c r="J68" s="18" t="s">
        <v>518</v>
      </c>
      <c r="K68" s="19" t="s">
        <v>48</v>
      </c>
      <c r="L68" s="19" t="s">
        <v>38</v>
      </c>
      <c r="M68" s="19" t="s">
        <v>519</v>
      </c>
      <c r="N68" s="20" t="s">
        <v>26</v>
      </c>
      <c r="O68" s="20" t="s">
        <v>27</v>
      </c>
      <c r="P68" s="21" t="s">
        <v>520</v>
      </c>
      <c r="Q68" s="26" t="s">
        <v>521</v>
      </c>
      <c r="R68" s="26" t="s">
        <v>522</v>
      </c>
      <c r="S68" s="20"/>
      <c r="T68" s="20"/>
      <c r="U68" s="20"/>
      <c r="V68" s="20"/>
    </row>
    <row r="69" spans="1:22" ht="68">
      <c r="A69">
        <v>3</v>
      </c>
      <c r="B69" s="11" t="s">
        <v>523</v>
      </c>
      <c r="C69" s="23" t="s">
        <v>33</v>
      </c>
      <c r="D69" s="13" t="s">
        <v>428</v>
      </c>
      <c r="E69" s="24">
        <v>5000000</v>
      </c>
      <c r="F69" s="25">
        <f>Table2[[#This Row],[Price]]/Table2[[#This Row],[Tot Ht Area]]</f>
        <v>405.28491529545272</v>
      </c>
      <c r="G69" s="16">
        <v>12337</v>
      </c>
      <c r="H69" s="16">
        <v>14132</v>
      </c>
      <c r="I69" s="17" t="s">
        <v>524</v>
      </c>
      <c r="J69" s="18" t="s">
        <v>415</v>
      </c>
      <c r="K69" s="19" t="s">
        <v>48</v>
      </c>
      <c r="L69" s="19" t="s">
        <v>127</v>
      </c>
      <c r="M69" s="19" t="s">
        <v>525</v>
      </c>
      <c r="N69" s="20" t="s">
        <v>6212</v>
      </c>
      <c r="O69" s="20" t="s">
        <v>27</v>
      </c>
      <c r="P69" s="21" t="s">
        <v>6379</v>
      </c>
      <c r="Q69" s="26" t="s">
        <v>526</v>
      </c>
      <c r="R69" s="20" t="s">
        <v>527</v>
      </c>
      <c r="S69" s="20"/>
      <c r="T69" s="20"/>
      <c r="U69" s="20"/>
      <c r="V69" s="20"/>
    </row>
    <row r="70" spans="1:22" ht="34">
      <c r="A70">
        <v>3</v>
      </c>
      <c r="B70" s="11" t="s">
        <v>528</v>
      </c>
      <c r="C70" s="23" t="s">
        <v>33</v>
      </c>
      <c r="D70" s="13" t="s">
        <v>170</v>
      </c>
      <c r="E70" s="24">
        <v>5300000</v>
      </c>
      <c r="F70" s="25">
        <f>Table2[[#This Row],[Price]]/Table2[[#This Row],[Tot Ht Area]]</f>
        <v>903.81991814461117</v>
      </c>
      <c r="G70" s="16">
        <v>5864</v>
      </c>
      <c r="H70" s="16">
        <v>5864</v>
      </c>
      <c r="I70" s="17" t="s">
        <v>529</v>
      </c>
      <c r="J70" s="18" t="s">
        <v>209</v>
      </c>
      <c r="K70" s="19" t="s">
        <v>48</v>
      </c>
      <c r="L70" s="19" t="s">
        <v>510</v>
      </c>
      <c r="M70" s="19" t="s">
        <v>530</v>
      </c>
      <c r="N70" s="20" t="s">
        <v>26</v>
      </c>
      <c r="O70" s="20" t="s">
        <v>27</v>
      </c>
      <c r="P70" s="21" t="s">
        <v>6343</v>
      </c>
      <c r="Q70" s="20" t="s">
        <v>532</v>
      </c>
      <c r="R70" s="20" t="s">
        <v>533</v>
      </c>
      <c r="S70" s="20"/>
      <c r="T70" s="20" t="s">
        <v>6318</v>
      </c>
      <c r="U70" s="20" t="s">
        <v>6543</v>
      </c>
      <c r="V70" s="20" t="s">
        <v>6544</v>
      </c>
    </row>
    <row r="71" spans="1:22" ht="34">
      <c r="A71">
        <v>3</v>
      </c>
      <c r="B71" s="11" t="s">
        <v>534</v>
      </c>
      <c r="C71" s="23" t="s">
        <v>33</v>
      </c>
      <c r="D71" s="13" t="s">
        <v>372</v>
      </c>
      <c r="E71" s="24">
        <v>100</v>
      </c>
      <c r="F71" s="25">
        <f>Table2[[#This Row],[Price]]/Table2[[#This Row],[Tot Ht Area]]</f>
        <v>3.1133250311332503E-2</v>
      </c>
      <c r="G71" s="16">
        <v>3212</v>
      </c>
      <c r="H71" s="16">
        <v>3520</v>
      </c>
      <c r="I71" s="17" t="s">
        <v>535</v>
      </c>
      <c r="J71" s="18" t="s">
        <v>536</v>
      </c>
      <c r="K71" s="19" t="s">
        <v>48</v>
      </c>
      <c r="L71" s="19" t="s">
        <v>503</v>
      </c>
      <c r="M71" s="19" t="s">
        <v>537</v>
      </c>
      <c r="N71" s="20" t="s">
        <v>26</v>
      </c>
      <c r="O71" s="20" t="s">
        <v>27</v>
      </c>
      <c r="P71" s="21" t="s">
        <v>6585</v>
      </c>
      <c r="Q71" s="26" t="s">
        <v>538</v>
      </c>
      <c r="R71" s="20" t="s">
        <v>539</v>
      </c>
      <c r="S71" s="20"/>
      <c r="T71" s="20" t="s">
        <v>6318</v>
      </c>
      <c r="U71" s="20"/>
      <c r="V71" s="20"/>
    </row>
    <row r="72" spans="1:22" ht="34">
      <c r="A72">
        <v>3</v>
      </c>
      <c r="B72" s="11" t="s">
        <v>540</v>
      </c>
      <c r="C72" s="23" t="s">
        <v>33</v>
      </c>
      <c r="D72" s="13" t="s">
        <v>474</v>
      </c>
      <c r="E72" s="24">
        <v>6349400</v>
      </c>
      <c r="F72" s="25">
        <f>Table2[[#This Row],[Price]]/Table2[[#This Row],[Tot Ht Area]]</f>
        <v>424</v>
      </c>
      <c r="G72" s="16">
        <v>14975</v>
      </c>
      <c r="H72" s="16">
        <v>16422</v>
      </c>
      <c r="I72" s="17" t="s">
        <v>541</v>
      </c>
      <c r="J72" s="18" t="s">
        <v>542</v>
      </c>
      <c r="K72" s="19" t="s">
        <v>48</v>
      </c>
      <c r="L72" s="19" t="s">
        <v>510</v>
      </c>
      <c r="M72" s="19" t="s">
        <v>543</v>
      </c>
      <c r="N72" s="20" t="s">
        <v>1519</v>
      </c>
      <c r="O72" s="20" t="s">
        <v>27</v>
      </c>
      <c r="P72" s="21" t="s">
        <v>6436</v>
      </c>
      <c r="Q72" s="26" t="s">
        <v>545</v>
      </c>
      <c r="R72" s="20" t="s">
        <v>546</v>
      </c>
      <c r="S72" s="20"/>
      <c r="T72" s="20"/>
      <c r="U72" s="20"/>
      <c r="V72" s="20"/>
    </row>
    <row r="73" spans="1:22" ht="68">
      <c r="A73">
        <v>3</v>
      </c>
      <c r="B73" s="11" t="s">
        <v>547</v>
      </c>
      <c r="C73" s="23" t="s">
        <v>33</v>
      </c>
      <c r="D73" s="13" t="s">
        <v>185</v>
      </c>
      <c r="E73" s="24">
        <v>1987500</v>
      </c>
      <c r="F73" s="25">
        <f>Table2[[#This Row],[Price]]/Table2[[#This Row],[Tot Ht Area]]</f>
        <v>311.08154640788854</v>
      </c>
      <c r="G73" s="16">
        <v>6389</v>
      </c>
      <c r="H73" s="16">
        <v>6421</v>
      </c>
      <c r="I73" s="17" t="s">
        <v>524</v>
      </c>
      <c r="J73" s="18" t="s">
        <v>548</v>
      </c>
      <c r="K73" s="19" t="s">
        <v>48</v>
      </c>
      <c r="L73" s="19" t="s">
        <v>143</v>
      </c>
      <c r="M73" s="19" t="s">
        <v>549</v>
      </c>
      <c r="N73" s="20" t="s">
        <v>26</v>
      </c>
      <c r="O73" s="20" t="s">
        <v>27</v>
      </c>
      <c r="P73" s="21" t="s">
        <v>550</v>
      </c>
      <c r="Q73" s="26" t="s">
        <v>551</v>
      </c>
      <c r="R73" s="20" t="s">
        <v>552</v>
      </c>
      <c r="S73" s="20"/>
      <c r="T73" s="20"/>
      <c r="U73" s="20"/>
      <c r="V73" s="20"/>
    </row>
    <row r="74" spans="1:22" ht="68">
      <c r="A74">
        <v>3</v>
      </c>
      <c r="B74" s="11" t="s">
        <v>553</v>
      </c>
      <c r="C74" s="23" t="s">
        <v>33</v>
      </c>
      <c r="D74" s="13" t="s">
        <v>554</v>
      </c>
      <c r="E74" s="24">
        <v>4900000</v>
      </c>
      <c r="F74" s="25">
        <f>Table2[[#This Row],[Price]]/Table2[[#This Row],[Tot Ht Area]]</f>
        <v>850.69444444444446</v>
      </c>
      <c r="G74" s="16">
        <v>5760</v>
      </c>
      <c r="H74" s="16">
        <v>7120</v>
      </c>
      <c r="I74" s="17" t="s">
        <v>524</v>
      </c>
      <c r="J74" s="18" t="s">
        <v>476</v>
      </c>
      <c r="K74" s="19" t="s">
        <v>48</v>
      </c>
      <c r="L74" s="19" t="s">
        <v>143</v>
      </c>
      <c r="M74" s="19" t="s">
        <v>555</v>
      </c>
      <c r="N74" s="20" t="s">
        <v>26</v>
      </c>
      <c r="O74" s="20" t="s">
        <v>27</v>
      </c>
      <c r="P74" s="21" t="s">
        <v>6435</v>
      </c>
      <c r="Q74" s="26" t="s">
        <v>557</v>
      </c>
      <c r="R74" s="20" t="s">
        <v>558</v>
      </c>
      <c r="S74" s="20"/>
      <c r="T74" s="20" t="s">
        <v>6318</v>
      </c>
      <c r="U74" s="20" t="s">
        <v>6517</v>
      </c>
      <c r="V74" s="20" t="s">
        <v>6557</v>
      </c>
    </row>
    <row r="75" spans="1:22" ht="68">
      <c r="A75">
        <v>3</v>
      </c>
      <c r="B75" s="11" t="s">
        <v>559</v>
      </c>
      <c r="C75" s="23" t="s">
        <v>33</v>
      </c>
      <c r="D75" s="13" t="s">
        <v>64</v>
      </c>
      <c r="E75" s="24">
        <v>10221900</v>
      </c>
      <c r="F75" s="25">
        <f>Table2[[#This Row],[Price]]/Table2[[#This Row],[Tot Ht Area]]</f>
        <v>651.90688775510205</v>
      </c>
      <c r="G75" s="16">
        <v>15680</v>
      </c>
      <c r="H75" s="16">
        <v>20440</v>
      </c>
      <c r="I75" s="17" t="s">
        <v>524</v>
      </c>
      <c r="J75" s="18" t="s">
        <v>560</v>
      </c>
      <c r="K75" s="19" t="s">
        <v>48</v>
      </c>
      <c r="L75" s="19" t="s">
        <v>143</v>
      </c>
      <c r="M75" s="19" t="s">
        <v>561</v>
      </c>
      <c r="N75" s="27" t="s">
        <v>6212</v>
      </c>
      <c r="O75" s="20" t="s">
        <v>27</v>
      </c>
      <c r="P75" s="21"/>
      <c r="Q75" s="26" t="s">
        <v>562</v>
      </c>
      <c r="R75" s="26" t="s">
        <v>563</v>
      </c>
      <c r="S75" s="20"/>
      <c r="T75" s="20"/>
      <c r="U75" s="20" t="s">
        <v>6514</v>
      </c>
      <c r="V75" s="20"/>
    </row>
    <row r="76" spans="1:22" ht="34">
      <c r="A76">
        <v>3</v>
      </c>
      <c r="B76" s="11" t="s">
        <v>564</v>
      </c>
      <c r="C76" s="23" t="s">
        <v>33</v>
      </c>
      <c r="D76" s="13" t="s">
        <v>436</v>
      </c>
      <c r="E76" s="24">
        <v>100</v>
      </c>
      <c r="F76" s="25">
        <f>Table2[[#This Row],[Price]]/Table2[[#This Row],[Tot Ht Area]]</f>
        <v>2.1609006633965038E-3</v>
      </c>
      <c r="G76" s="16">
        <v>46277</v>
      </c>
      <c r="H76" s="16">
        <v>50941</v>
      </c>
      <c r="I76" s="17" t="s">
        <v>565</v>
      </c>
      <c r="J76" s="18" t="s">
        <v>566</v>
      </c>
      <c r="K76" s="19" t="s">
        <v>48</v>
      </c>
      <c r="L76" s="19" t="s">
        <v>143</v>
      </c>
      <c r="M76" s="19" t="s">
        <v>567</v>
      </c>
      <c r="N76" s="20" t="s">
        <v>26</v>
      </c>
      <c r="O76" s="20" t="s">
        <v>27</v>
      </c>
      <c r="P76" s="21" t="s">
        <v>6586</v>
      </c>
      <c r="Q76" s="26" t="s">
        <v>568</v>
      </c>
      <c r="R76" s="20" t="s">
        <v>569</v>
      </c>
      <c r="S76" s="20"/>
      <c r="T76" s="20" t="s">
        <v>6318</v>
      </c>
      <c r="U76" s="20"/>
      <c r="V76" s="20"/>
    </row>
    <row r="77" spans="1:22" ht="34">
      <c r="A77">
        <v>3</v>
      </c>
      <c r="B77" s="11" t="s">
        <v>570</v>
      </c>
      <c r="C77" s="23" t="s">
        <v>33</v>
      </c>
      <c r="D77" s="13" t="s">
        <v>571</v>
      </c>
      <c r="E77" s="24">
        <v>1100000</v>
      </c>
      <c r="F77" s="25">
        <f>Table2[[#This Row],[Price]]/Table2[[#This Row],[Tot Ht Area]]</f>
        <v>373.51443123938878</v>
      </c>
      <c r="G77" s="16">
        <v>2945</v>
      </c>
      <c r="H77" s="16">
        <v>3484</v>
      </c>
      <c r="I77" s="17" t="s">
        <v>572</v>
      </c>
      <c r="J77" s="18" t="s">
        <v>468</v>
      </c>
      <c r="K77" s="19" t="s">
        <v>48</v>
      </c>
      <c r="L77" s="19" t="s">
        <v>573</v>
      </c>
      <c r="M77" s="19" t="s">
        <v>574</v>
      </c>
      <c r="N77" s="20" t="s">
        <v>26</v>
      </c>
      <c r="O77" s="20" t="s">
        <v>27</v>
      </c>
      <c r="P77" s="21" t="s">
        <v>6463</v>
      </c>
      <c r="Q77" s="26" t="s">
        <v>576</v>
      </c>
      <c r="R77" s="26" t="s">
        <v>577</v>
      </c>
      <c r="S77" s="20"/>
      <c r="T77" s="20"/>
      <c r="U77" s="20"/>
      <c r="V77" s="20"/>
    </row>
    <row r="78" spans="1:22" ht="17">
      <c r="A78">
        <v>3</v>
      </c>
      <c r="B78" s="11" t="s">
        <v>578</v>
      </c>
      <c r="C78" s="23" t="s">
        <v>33</v>
      </c>
      <c r="D78" s="13" t="s">
        <v>579</v>
      </c>
      <c r="E78" s="24">
        <v>846000</v>
      </c>
      <c r="F78" s="25">
        <f>Table2[[#This Row],[Price]]/Table2[[#This Row],[Tot Ht Area]]</f>
        <v>328.0341217526173</v>
      </c>
      <c r="G78" s="16">
        <v>2579</v>
      </c>
      <c r="H78" s="16">
        <v>2609</v>
      </c>
      <c r="I78" s="17" t="s">
        <v>580</v>
      </c>
      <c r="J78" s="18" t="s">
        <v>135</v>
      </c>
      <c r="K78" s="19" t="s">
        <v>48</v>
      </c>
      <c r="L78" s="19" t="s">
        <v>573</v>
      </c>
      <c r="M78" s="19" t="s">
        <v>581</v>
      </c>
      <c r="N78" s="20" t="s">
        <v>26</v>
      </c>
      <c r="O78" s="20" t="s">
        <v>27</v>
      </c>
      <c r="P78" s="21" t="s">
        <v>6460</v>
      </c>
      <c r="Q78" s="26" t="s">
        <v>583</v>
      </c>
      <c r="R78" s="20" t="s">
        <v>584</v>
      </c>
      <c r="S78" s="20"/>
      <c r="T78" s="20"/>
      <c r="U78" s="20"/>
      <c r="V78" s="20"/>
    </row>
    <row r="79" spans="1:22" ht="51">
      <c r="A79">
        <v>3</v>
      </c>
      <c r="B79" s="11" t="s">
        <v>585</v>
      </c>
      <c r="C79" s="23" t="s">
        <v>33</v>
      </c>
      <c r="D79" s="13" t="s">
        <v>133</v>
      </c>
      <c r="E79" s="24">
        <v>100</v>
      </c>
      <c r="F79" s="25">
        <f>Table2[[#This Row],[Price]]/Table2[[#This Row],[Tot Ht Area]]</f>
        <v>3.6473720684246998E-3</v>
      </c>
      <c r="G79" s="16">
        <v>27417</v>
      </c>
      <c r="H79" s="16">
        <v>29722</v>
      </c>
      <c r="I79" s="17" t="s">
        <v>586</v>
      </c>
      <c r="J79" s="18" t="s">
        <v>269</v>
      </c>
      <c r="K79" s="19" t="s">
        <v>48</v>
      </c>
      <c r="L79" s="19" t="s">
        <v>401</v>
      </c>
      <c r="M79" s="19" t="s">
        <v>587</v>
      </c>
      <c r="N79" s="20" t="s">
        <v>26</v>
      </c>
      <c r="O79" s="20" t="s">
        <v>27</v>
      </c>
      <c r="P79" s="21" t="s">
        <v>6587</v>
      </c>
      <c r="Q79" s="26" t="s">
        <v>588</v>
      </c>
      <c r="R79" s="20" t="s">
        <v>589</v>
      </c>
      <c r="S79" s="20"/>
      <c r="T79" s="20" t="s">
        <v>6318</v>
      </c>
      <c r="U79" s="20"/>
      <c r="V79" s="20"/>
    </row>
    <row r="80" spans="1:22" ht="68">
      <c r="A80">
        <v>3</v>
      </c>
      <c r="B80" s="11" t="s">
        <v>590</v>
      </c>
      <c r="C80" s="23" t="s">
        <v>33</v>
      </c>
      <c r="D80" s="13" t="s">
        <v>591</v>
      </c>
      <c r="E80" s="24">
        <v>3518200</v>
      </c>
      <c r="F80" s="25">
        <f>Table2[[#This Row],[Price]]/Table2[[#This Row],[Tot Ht Area]]</f>
        <v>396.6403607666291</v>
      </c>
      <c r="G80" s="16">
        <v>8870</v>
      </c>
      <c r="H80" s="16">
        <v>9018</v>
      </c>
      <c r="I80" s="17" t="s">
        <v>592</v>
      </c>
      <c r="J80" s="18" t="s">
        <v>415</v>
      </c>
      <c r="K80" s="19" t="s">
        <v>101</v>
      </c>
      <c r="L80" s="19" t="s">
        <v>38</v>
      </c>
      <c r="M80" s="19" t="s">
        <v>593</v>
      </c>
      <c r="N80" s="20" t="s">
        <v>1519</v>
      </c>
      <c r="O80" s="20" t="s">
        <v>27</v>
      </c>
      <c r="P80" s="21" t="s">
        <v>6429</v>
      </c>
      <c r="Q80" s="26" t="s">
        <v>595</v>
      </c>
      <c r="R80" s="20" t="s">
        <v>596</v>
      </c>
      <c r="S80" s="20"/>
      <c r="T80" s="20"/>
      <c r="U80" s="20"/>
      <c r="V80" s="20"/>
    </row>
    <row r="81" spans="1:22" ht="17">
      <c r="A81">
        <v>3</v>
      </c>
      <c r="B81" s="11" t="s">
        <v>597</v>
      </c>
      <c r="C81" s="23" t="s">
        <v>33</v>
      </c>
      <c r="D81" s="13" t="s">
        <v>90</v>
      </c>
      <c r="E81" s="24">
        <v>1150000</v>
      </c>
      <c r="F81" s="25">
        <f>Table2[[#This Row],[Price]]/Table2[[#This Row],[Tot Ht Area]]</f>
        <v>407.36804817569958</v>
      </c>
      <c r="G81" s="16">
        <v>2823</v>
      </c>
      <c r="H81" s="16">
        <v>3293</v>
      </c>
      <c r="I81" s="17" t="s">
        <v>598</v>
      </c>
      <c r="J81" s="18" t="s">
        <v>599</v>
      </c>
      <c r="K81" s="19" t="s">
        <v>37</v>
      </c>
      <c r="L81" s="19" t="s">
        <v>143</v>
      </c>
      <c r="M81" s="19" t="s">
        <v>600</v>
      </c>
      <c r="N81" s="20" t="s">
        <v>26</v>
      </c>
      <c r="O81" s="20" t="s">
        <v>27</v>
      </c>
      <c r="P81" s="21" t="s">
        <v>6370</v>
      </c>
      <c r="Q81" s="26" t="s">
        <v>602</v>
      </c>
      <c r="R81" s="20" t="s">
        <v>603</v>
      </c>
      <c r="S81" s="20"/>
      <c r="T81" s="20"/>
      <c r="U81" s="20"/>
      <c r="V81" s="20"/>
    </row>
    <row r="82" spans="1:22" ht="34">
      <c r="A82">
        <v>3</v>
      </c>
      <c r="B82" s="11" t="s">
        <v>604</v>
      </c>
      <c r="C82" s="23" t="s">
        <v>33</v>
      </c>
      <c r="D82" s="13" t="s">
        <v>73</v>
      </c>
      <c r="E82" s="24">
        <v>1550000</v>
      </c>
      <c r="F82" s="25">
        <f>Table2[[#This Row],[Price]]/Table2[[#This Row],[Tot Ht Area]]</f>
        <v>317.75317753177529</v>
      </c>
      <c r="G82" s="16">
        <v>4878</v>
      </c>
      <c r="H82" s="16">
        <v>10005</v>
      </c>
      <c r="I82" s="17" t="s">
        <v>605</v>
      </c>
      <c r="J82" s="18" t="s">
        <v>309</v>
      </c>
      <c r="K82" s="19" t="s">
        <v>37</v>
      </c>
      <c r="L82" s="19" t="s">
        <v>143</v>
      </c>
      <c r="M82" s="19" t="s">
        <v>606</v>
      </c>
      <c r="N82" s="20" t="s">
        <v>26</v>
      </c>
      <c r="O82" s="20" t="s">
        <v>27</v>
      </c>
      <c r="P82" s="21" t="s">
        <v>6588</v>
      </c>
      <c r="Q82" s="26" t="s">
        <v>608</v>
      </c>
      <c r="R82" s="20" t="s">
        <v>609</v>
      </c>
      <c r="S82" s="20"/>
      <c r="T82" s="20"/>
      <c r="U82" s="20"/>
      <c r="V82" s="20"/>
    </row>
    <row r="83" spans="1:22" ht="17">
      <c r="A83">
        <v>3</v>
      </c>
      <c r="B83" s="11" t="s">
        <v>610</v>
      </c>
      <c r="C83" s="23" t="s">
        <v>33</v>
      </c>
      <c r="D83" s="13" t="s">
        <v>611</v>
      </c>
      <c r="E83" s="24">
        <v>1270100</v>
      </c>
      <c r="F83" s="25">
        <f>Table2[[#This Row],[Price]]/Table2[[#This Row],[Tot Ht Area]]</f>
        <v>257.41791649777059</v>
      </c>
      <c r="G83" s="16">
        <v>4934</v>
      </c>
      <c r="H83" s="16">
        <v>5107</v>
      </c>
      <c r="I83" s="17" t="s">
        <v>612</v>
      </c>
      <c r="J83" s="18" t="s">
        <v>57</v>
      </c>
      <c r="K83" s="19" t="s">
        <v>48</v>
      </c>
      <c r="L83" s="19" t="s">
        <v>143</v>
      </c>
      <c r="M83" s="19" t="s">
        <v>613</v>
      </c>
      <c r="N83" s="20" t="s">
        <v>26</v>
      </c>
      <c r="O83" s="20" t="s">
        <v>27</v>
      </c>
      <c r="P83" s="21" t="s">
        <v>6339</v>
      </c>
      <c r="Q83" s="26" t="s">
        <v>615</v>
      </c>
      <c r="R83" s="20" t="s">
        <v>616</v>
      </c>
      <c r="S83" s="20"/>
      <c r="T83" s="20"/>
      <c r="U83" s="20"/>
      <c r="V83" s="20"/>
    </row>
    <row r="84" spans="1:22" ht="17">
      <c r="A84">
        <v>3</v>
      </c>
      <c r="B84" s="11" t="s">
        <v>617</v>
      </c>
      <c r="C84" s="23" t="s">
        <v>33</v>
      </c>
      <c r="D84" s="13" t="s">
        <v>336</v>
      </c>
      <c r="E84" s="24">
        <v>1200000</v>
      </c>
      <c r="F84" s="25">
        <f>Table2[[#This Row],[Price]]/Table2[[#This Row],[Tot Ht Area]]</f>
        <v>309.03940252382176</v>
      </c>
      <c r="G84" s="16">
        <v>3883</v>
      </c>
      <c r="H84" s="16">
        <v>4079</v>
      </c>
      <c r="I84" s="17" t="s">
        <v>618</v>
      </c>
      <c r="J84" s="18" t="s">
        <v>619</v>
      </c>
      <c r="K84" s="19" t="s">
        <v>37</v>
      </c>
      <c r="L84" s="19" t="s">
        <v>620</v>
      </c>
      <c r="M84" s="19" t="s">
        <v>621</v>
      </c>
      <c r="N84" s="20" t="s">
        <v>26</v>
      </c>
      <c r="O84" s="20" t="s">
        <v>27</v>
      </c>
      <c r="P84" s="21" t="s">
        <v>6371</v>
      </c>
      <c r="Q84" s="26" t="s">
        <v>623</v>
      </c>
      <c r="R84" s="20" t="s">
        <v>624</v>
      </c>
      <c r="S84" s="20"/>
      <c r="T84" s="20"/>
      <c r="U84" s="20"/>
      <c r="V84" s="20"/>
    </row>
    <row r="85" spans="1:22" ht="17">
      <c r="A85">
        <v>3</v>
      </c>
      <c r="B85" s="11" t="s">
        <v>625</v>
      </c>
      <c r="C85" s="23" t="s">
        <v>33</v>
      </c>
      <c r="D85" s="13" t="s">
        <v>133</v>
      </c>
      <c r="E85" s="24">
        <v>1200000</v>
      </c>
      <c r="F85" s="25">
        <f>Table2[[#This Row],[Price]]/Table2[[#This Row],[Tot Ht Area]]</f>
        <v>353.98230088495575</v>
      </c>
      <c r="G85" s="16">
        <v>3390</v>
      </c>
      <c r="H85" s="16">
        <v>3656</v>
      </c>
      <c r="I85" s="17" t="s">
        <v>626</v>
      </c>
      <c r="J85" s="18" t="s">
        <v>627</v>
      </c>
      <c r="K85" s="19" t="s">
        <v>48</v>
      </c>
      <c r="L85" s="19" t="s">
        <v>628</v>
      </c>
      <c r="M85" s="19" t="s">
        <v>629</v>
      </c>
      <c r="N85" s="20" t="s">
        <v>26</v>
      </c>
      <c r="O85" s="20" t="s">
        <v>27</v>
      </c>
      <c r="P85" s="21" t="s">
        <v>6427</v>
      </c>
      <c r="Q85" s="26" t="s">
        <v>631</v>
      </c>
      <c r="R85" s="20" t="s">
        <v>632</v>
      </c>
      <c r="S85" s="20"/>
      <c r="T85" s="20"/>
      <c r="U85" s="20"/>
      <c r="V85" s="20"/>
    </row>
    <row r="86" spans="1:22" ht="51">
      <c r="A86">
        <v>3</v>
      </c>
      <c r="B86" s="11" t="s">
        <v>633</v>
      </c>
      <c r="C86" s="23" t="s">
        <v>33</v>
      </c>
      <c r="D86" s="13" t="s">
        <v>398</v>
      </c>
      <c r="E86" s="24">
        <v>13200000</v>
      </c>
      <c r="F86" s="25">
        <f>Table2[[#This Row],[Price]]/Table2[[#This Row],[Tot Ht Area]]</f>
        <v>470.42052744119741</v>
      </c>
      <c r="G86" s="16">
        <v>28060</v>
      </c>
      <c r="H86" s="16">
        <v>30229</v>
      </c>
      <c r="I86" s="17" t="s">
        <v>634</v>
      </c>
      <c r="J86" s="18" t="s">
        <v>316</v>
      </c>
      <c r="K86" s="19" t="s">
        <v>48</v>
      </c>
      <c r="L86" s="19" t="s">
        <v>143</v>
      </c>
      <c r="M86" s="19" t="s">
        <v>635</v>
      </c>
      <c r="N86" s="20" t="s">
        <v>6212</v>
      </c>
      <c r="O86" s="20" t="s">
        <v>27</v>
      </c>
      <c r="P86" s="21" t="s">
        <v>6519</v>
      </c>
      <c r="Q86" s="26" t="s">
        <v>636</v>
      </c>
      <c r="R86" s="20" t="s">
        <v>637</v>
      </c>
      <c r="S86" s="20"/>
      <c r="T86" s="20"/>
      <c r="U86" s="20"/>
      <c r="V86" s="20"/>
    </row>
    <row r="87" spans="1:22" ht="51">
      <c r="A87">
        <v>3</v>
      </c>
      <c r="B87" s="11" t="s">
        <v>638</v>
      </c>
      <c r="C87" s="23" t="s">
        <v>33</v>
      </c>
      <c r="D87" s="13" t="s">
        <v>133</v>
      </c>
      <c r="E87" s="24">
        <v>7125000</v>
      </c>
      <c r="F87" s="25">
        <f>Table2[[#This Row],[Price]]/Table2[[#This Row],[Tot Ht Area]]</f>
        <v>184.85846976104611</v>
      </c>
      <c r="G87" s="16">
        <v>38543</v>
      </c>
      <c r="H87" s="16">
        <v>40718</v>
      </c>
      <c r="I87" s="17" t="s">
        <v>639</v>
      </c>
      <c r="J87" s="18" t="s">
        <v>309</v>
      </c>
      <c r="K87" s="19" t="s">
        <v>101</v>
      </c>
      <c r="L87" s="19" t="s">
        <v>152</v>
      </c>
      <c r="M87" s="19" t="s">
        <v>640</v>
      </c>
      <c r="N87" s="20" t="s">
        <v>1519</v>
      </c>
      <c r="O87" s="20" t="s">
        <v>27</v>
      </c>
      <c r="P87" s="21" t="s">
        <v>6437</v>
      </c>
      <c r="Q87" s="26" t="s">
        <v>642</v>
      </c>
      <c r="R87" s="26" t="s">
        <v>643</v>
      </c>
      <c r="S87" s="20"/>
      <c r="T87" s="20"/>
      <c r="U87" s="20"/>
      <c r="V87" s="20"/>
    </row>
    <row r="88" spans="1:22" ht="17">
      <c r="A88">
        <v>3</v>
      </c>
      <c r="B88" s="11" t="s">
        <v>644</v>
      </c>
      <c r="C88" s="23" t="s">
        <v>33</v>
      </c>
      <c r="D88" s="13" t="s">
        <v>141</v>
      </c>
      <c r="E88" s="24">
        <v>100</v>
      </c>
      <c r="F88" s="25">
        <f>Table2[[#This Row],[Price]]/Table2[[#This Row],[Tot Ht Area]]</f>
        <v>4.3917435221783048E-2</v>
      </c>
      <c r="G88" s="16">
        <v>2277</v>
      </c>
      <c r="H88" s="16">
        <v>2295</v>
      </c>
      <c r="I88" s="17" t="s">
        <v>645</v>
      </c>
      <c r="J88" s="18" t="s">
        <v>646</v>
      </c>
      <c r="K88" s="19" t="s">
        <v>37</v>
      </c>
      <c r="L88" s="19" t="s">
        <v>143</v>
      </c>
      <c r="M88" s="19" t="s">
        <v>647</v>
      </c>
      <c r="N88" s="20" t="s">
        <v>26</v>
      </c>
      <c r="O88" s="20" t="s">
        <v>27</v>
      </c>
      <c r="P88" s="21" t="s">
        <v>6589</v>
      </c>
      <c r="Q88" s="26" t="s">
        <v>648</v>
      </c>
      <c r="R88" s="20" t="s">
        <v>649</v>
      </c>
      <c r="S88" s="20"/>
      <c r="T88" s="20" t="s">
        <v>6318</v>
      </c>
      <c r="U88" s="20"/>
      <c r="V88" s="20"/>
    </row>
    <row r="89" spans="1:22" ht="17">
      <c r="A89">
        <v>3</v>
      </c>
      <c r="B89" s="11" t="s">
        <v>650</v>
      </c>
      <c r="C89" s="23" t="s">
        <v>33</v>
      </c>
      <c r="D89" s="13" t="s">
        <v>330</v>
      </c>
      <c r="E89" s="24">
        <v>1410000</v>
      </c>
      <c r="F89" s="25">
        <f>Table2[[#This Row],[Price]]/Table2[[#This Row],[Tot Ht Area]]</f>
        <v>206.29114850036575</v>
      </c>
      <c r="G89" s="16">
        <v>6835</v>
      </c>
      <c r="H89" s="16">
        <v>7058</v>
      </c>
      <c r="I89" s="17" t="s">
        <v>651</v>
      </c>
      <c r="J89" s="18" t="s">
        <v>652</v>
      </c>
      <c r="K89" s="19" t="s">
        <v>48</v>
      </c>
      <c r="L89" s="19" t="s">
        <v>620</v>
      </c>
      <c r="M89" s="19" t="s">
        <v>653</v>
      </c>
      <c r="N89" s="20" t="s">
        <v>26</v>
      </c>
      <c r="O89" s="20" t="s">
        <v>27</v>
      </c>
      <c r="P89" s="21" t="s">
        <v>6337</v>
      </c>
      <c r="Q89" s="26" t="s">
        <v>655</v>
      </c>
      <c r="R89" s="20" t="s">
        <v>656</v>
      </c>
      <c r="S89" s="20"/>
      <c r="T89" s="20"/>
      <c r="U89" s="20"/>
      <c r="V89" s="20"/>
    </row>
    <row r="90" spans="1:22" ht="34">
      <c r="A90">
        <v>3</v>
      </c>
      <c r="B90" s="11" t="s">
        <v>657</v>
      </c>
      <c r="C90" s="23" t="s">
        <v>33</v>
      </c>
      <c r="D90" s="13" t="s">
        <v>658</v>
      </c>
      <c r="E90" s="24">
        <v>33444697</v>
      </c>
      <c r="F90" s="25">
        <f>Table2[[#This Row],[Price]]/Table2[[#This Row],[Tot Ht Area]]</f>
        <v>478.33488751269329</v>
      </c>
      <c r="G90" s="16">
        <v>69919</v>
      </c>
      <c r="H90" s="16">
        <v>77729</v>
      </c>
      <c r="I90" s="17" t="s">
        <v>659</v>
      </c>
      <c r="J90" s="18" t="s">
        <v>47</v>
      </c>
      <c r="K90" s="19" t="s">
        <v>48</v>
      </c>
      <c r="L90" s="19" t="s">
        <v>152</v>
      </c>
      <c r="M90" s="19" t="s">
        <v>660</v>
      </c>
      <c r="N90" s="20" t="s">
        <v>6212</v>
      </c>
      <c r="O90" s="20" t="s">
        <v>27</v>
      </c>
      <c r="P90" s="21" t="s">
        <v>6590</v>
      </c>
      <c r="Q90" s="26" t="s">
        <v>661</v>
      </c>
      <c r="R90" s="20" t="s">
        <v>662</v>
      </c>
      <c r="S90" s="20"/>
      <c r="T90" s="20" t="s">
        <v>6318</v>
      </c>
      <c r="U90" s="20"/>
      <c r="V90" s="20"/>
    </row>
    <row r="91" spans="1:22" ht="34">
      <c r="A91">
        <v>3</v>
      </c>
      <c r="B91" s="11" t="s">
        <v>663</v>
      </c>
      <c r="C91" s="23" t="s">
        <v>33</v>
      </c>
      <c r="D91" s="13" t="s">
        <v>133</v>
      </c>
      <c r="E91" s="24">
        <v>4411500</v>
      </c>
      <c r="F91" s="25">
        <f>Table2[[#This Row],[Price]]/Table2[[#This Row],[Tot Ht Area]]</f>
        <v>83.654119654878158</v>
      </c>
      <c r="G91" s="16">
        <v>52735</v>
      </c>
      <c r="H91" s="16">
        <v>53328</v>
      </c>
      <c r="I91" s="17" t="s">
        <v>664</v>
      </c>
      <c r="J91" s="18" t="s">
        <v>309</v>
      </c>
      <c r="K91" s="19" t="s">
        <v>101</v>
      </c>
      <c r="L91" s="19" t="s">
        <v>665</v>
      </c>
      <c r="M91" s="19" t="s">
        <v>666</v>
      </c>
      <c r="N91" s="20" t="s">
        <v>1519</v>
      </c>
      <c r="O91" s="20" t="s">
        <v>27</v>
      </c>
      <c r="P91" s="21" t="s">
        <v>6433</v>
      </c>
      <c r="Q91" s="26" t="s">
        <v>668</v>
      </c>
      <c r="R91" s="26" t="s">
        <v>669</v>
      </c>
      <c r="S91" s="20"/>
      <c r="T91" s="20" t="s">
        <v>6318</v>
      </c>
      <c r="U91" s="20" t="s">
        <v>6567</v>
      </c>
      <c r="V91" s="20" t="s">
        <v>6554</v>
      </c>
    </row>
    <row r="92" spans="1:22" ht="17">
      <c r="A92">
        <v>3</v>
      </c>
      <c r="B92" s="11" t="s">
        <v>670</v>
      </c>
      <c r="C92" s="23" t="s">
        <v>33</v>
      </c>
      <c r="D92" s="13" t="s">
        <v>223</v>
      </c>
      <c r="E92" s="24">
        <v>428300</v>
      </c>
      <c r="F92" s="25">
        <f>Table2[[#This Row],[Price]]/Table2[[#This Row],[Tot Ht Area]]</f>
        <v>96.096028718869192</v>
      </c>
      <c r="G92" s="16">
        <v>4457</v>
      </c>
      <c r="H92" s="16">
        <v>6461</v>
      </c>
      <c r="I92" s="17" t="s">
        <v>671</v>
      </c>
      <c r="J92" s="18" t="s">
        <v>672</v>
      </c>
      <c r="K92" s="19" t="s">
        <v>48</v>
      </c>
      <c r="L92" s="19" t="s">
        <v>38</v>
      </c>
      <c r="M92" s="19" t="s">
        <v>673</v>
      </c>
      <c r="N92" s="20" t="s">
        <v>26</v>
      </c>
      <c r="O92" s="20" t="s">
        <v>27</v>
      </c>
      <c r="P92" s="21" t="s">
        <v>6363</v>
      </c>
      <c r="Q92" s="26" t="s">
        <v>675</v>
      </c>
      <c r="R92" s="20" t="s">
        <v>676</v>
      </c>
      <c r="S92" s="20"/>
      <c r="T92" s="20" t="s">
        <v>6318</v>
      </c>
      <c r="U92" s="20" t="s">
        <v>6529</v>
      </c>
      <c r="V92" s="20" t="s">
        <v>6550</v>
      </c>
    </row>
    <row r="93" spans="1:22" ht="34">
      <c r="A93">
        <v>3</v>
      </c>
      <c r="B93" s="11" t="s">
        <v>677</v>
      </c>
      <c r="C93" s="23" t="s">
        <v>678</v>
      </c>
      <c r="D93" s="13" t="s">
        <v>658</v>
      </c>
      <c r="E93" s="24">
        <v>5150000</v>
      </c>
      <c r="F93" s="25">
        <f>Table2[[#This Row],[Price]]/Table2[[#This Row],[Tot Ht Area]]</f>
        <v>412.66025641025641</v>
      </c>
      <c r="G93" s="16">
        <v>12480</v>
      </c>
      <c r="H93" s="16">
        <v>12720</v>
      </c>
      <c r="I93" s="17" t="s">
        <v>679</v>
      </c>
      <c r="J93" s="18" t="s">
        <v>201</v>
      </c>
      <c r="K93" s="19" t="s">
        <v>680</v>
      </c>
      <c r="L93" s="19" t="s">
        <v>681</v>
      </c>
      <c r="M93" s="19" t="s">
        <v>682</v>
      </c>
      <c r="N93" s="20" t="s">
        <v>6212</v>
      </c>
      <c r="O93" s="20" t="s">
        <v>27</v>
      </c>
      <c r="P93" s="21" t="s">
        <v>6591</v>
      </c>
      <c r="Q93" s="26" t="s">
        <v>683</v>
      </c>
      <c r="R93" s="20" t="s">
        <v>684</v>
      </c>
      <c r="S93" s="20"/>
      <c r="T93" s="20"/>
      <c r="U93" s="20"/>
      <c r="V93" s="20"/>
    </row>
    <row r="94" spans="1:22" ht="17">
      <c r="A94">
        <v>3</v>
      </c>
      <c r="B94" s="11" t="s">
        <v>685</v>
      </c>
      <c r="C94" s="23" t="s">
        <v>678</v>
      </c>
      <c r="D94" s="13" t="s">
        <v>686</v>
      </c>
      <c r="E94" s="24">
        <v>1250000</v>
      </c>
      <c r="F94" s="25">
        <f>Table2[[#This Row],[Price]]/Table2[[#This Row],[Tot Ht Area]]</f>
        <v>207.95208783896192</v>
      </c>
      <c r="G94" s="16">
        <v>6011</v>
      </c>
      <c r="H94" s="16">
        <v>6707</v>
      </c>
      <c r="I94" s="17" t="s">
        <v>687</v>
      </c>
      <c r="J94" s="18" t="s">
        <v>688</v>
      </c>
      <c r="K94" s="19" t="s">
        <v>680</v>
      </c>
      <c r="L94" s="19" t="s">
        <v>689</v>
      </c>
      <c r="M94" s="19" t="s">
        <v>690</v>
      </c>
      <c r="N94" s="20" t="s">
        <v>26</v>
      </c>
      <c r="O94" s="20" t="s">
        <v>27</v>
      </c>
      <c r="P94" s="21" t="s">
        <v>6338</v>
      </c>
      <c r="Q94" s="26" t="s">
        <v>692</v>
      </c>
      <c r="R94" s="20" t="s">
        <v>693</v>
      </c>
      <c r="S94" s="20"/>
      <c r="T94" s="20"/>
      <c r="U94" s="20"/>
      <c r="V94" s="20"/>
    </row>
    <row r="95" spans="1:22" ht="34">
      <c r="A95">
        <v>3</v>
      </c>
      <c r="B95" s="11" t="s">
        <v>694</v>
      </c>
      <c r="C95" s="23" t="s">
        <v>678</v>
      </c>
      <c r="D95" s="13" t="s">
        <v>90</v>
      </c>
      <c r="E95" s="24">
        <v>925000</v>
      </c>
      <c r="F95" s="25">
        <f>Table2[[#This Row],[Price]]/Table2[[#This Row],[Tot Ht Area]]</f>
        <v>155.46218487394958</v>
      </c>
      <c r="G95" s="16">
        <v>5950</v>
      </c>
      <c r="H95" s="16">
        <v>6440</v>
      </c>
      <c r="I95" s="17" t="s">
        <v>695</v>
      </c>
      <c r="J95" s="18" t="s">
        <v>233</v>
      </c>
      <c r="K95" s="19" t="s">
        <v>680</v>
      </c>
      <c r="L95" s="19" t="s">
        <v>696</v>
      </c>
      <c r="M95" s="19" t="s">
        <v>697</v>
      </c>
      <c r="N95" s="20" t="s">
        <v>26</v>
      </c>
      <c r="O95" s="20" t="s">
        <v>27</v>
      </c>
      <c r="P95" s="21" t="s">
        <v>6369</v>
      </c>
      <c r="Q95" s="26" t="s">
        <v>699</v>
      </c>
      <c r="R95" s="20" t="s">
        <v>700</v>
      </c>
      <c r="S95" s="20"/>
      <c r="T95" s="20"/>
      <c r="U95" s="20"/>
      <c r="V95" s="20"/>
    </row>
    <row r="96" spans="1:22" ht="17">
      <c r="A96">
        <v>3</v>
      </c>
      <c r="B96" s="11" t="s">
        <v>701</v>
      </c>
      <c r="C96" s="23" t="s">
        <v>678</v>
      </c>
      <c r="D96" s="13" t="s">
        <v>702</v>
      </c>
      <c r="E96" s="24">
        <v>1300000</v>
      </c>
      <c r="F96" s="25">
        <f>Table2[[#This Row],[Price]]/Table2[[#This Row],[Tot Ht Area]]</f>
        <v>363.73810856183547</v>
      </c>
      <c r="G96" s="16">
        <v>3574</v>
      </c>
      <c r="H96" s="16">
        <v>3916</v>
      </c>
      <c r="I96" s="17" t="s">
        <v>703</v>
      </c>
      <c r="J96" s="18" t="s">
        <v>619</v>
      </c>
      <c r="K96" s="19" t="s">
        <v>680</v>
      </c>
      <c r="L96" s="19" t="s">
        <v>704</v>
      </c>
      <c r="M96" s="19" t="s">
        <v>705</v>
      </c>
      <c r="N96" s="20" t="s">
        <v>26</v>
      </c>
      <c r="O96" s="20" t="s">
        <v>27</v>
      </c>
      <c r="P96" s="21" t="s">
        <v>706</v>
      </c>
      <c r="Q96" s="26"/>
      <c r="R96" s="26" t="s">
        <v>707</v>
      </c>
      <c r="S96" s="20"/>
      <c r="T96" s="20"/>
      <c r="U96" s="20"/>
      <c r="V96" s="20"/>
    </row>
    <row r="97" spans="1:22" ht="68">
      <c r="A97">
        <v>3</v>
      </c>
      <c r="B97" s="11" t="s">
        <v>708</v>
      </c>
      <c r="C97" s="23" t="s">
        <v>678</v>
      </c>
      <c r="D97" s="13" t="s">
        <v>709</v>
      </c>
      <c r="E97" s="24"/>
      <c r="F97" s="25">
        <f>Table2[[#This Row],[Price]]/Table2[[#This Row],[Tot Ht Area]]</f>
        <v>0</v>
      </c>
      <c r="G97" s="16">
        <v>11440</v>
      </c>
      <c r="H97" s="16">
        <v>13100</v>
      </c>
      <c r="I97" s="17" t="s">
        <v>710</v>
      </c>
      <c r="J97" s="18" t="s">
        <v>75</v>
      </c>
      <c r="K97" s="19" t="s">
        <v>680</v>
      </c>
      <c r="L97" s="19" t="s">
        <v>711</v>
      </c>
      <c r="M97" s="19" t="s">
        <v>712</v>
      </c>
      <c r="N97" s="20" t="s">
        <v>26</v>
      </c>
      <c r="O97" s="20" t="s">
        <v>27</v>
      </c>
      <c r="P97" s="21" t="s">
        <v>26</v>
      </c>
      <c r="Q97" s="26"/>
      <c r="R97" s="26" t="s">
        <v>713</v>
      </c>
      <c r="S97" s="20"/>
      <c r="T97" s="20"/>
      <c r="U97" s="20"/>
      <c r="V97" s="20"/>
    </row>
    <row r="98" spans="1:22" ht="34">
      <c r="A98">
        <v>3</v>
      </c>
      <c r="B98" s="11" t="s">
        <v>714</v>
      </c>
      <c r="C98" s="23" t="s">
        <v>678</v>
      </c>
      <c r="D98" s="13" t="s">
        <v>81</v>
      </c>
      <c r="E98" s="24">
        <v>1800000</v>
      </c>
      <c r="F98" s="25">
        <f>Table2[[#This Row],[Price]]/Table2[[#This Row],[Tot Ht Area]]</f>
        <v>300</v>
      </c>
      <c r="G98" s="16">
        <v>6000</v>
      </c>
      <c r="H98" s="16">
        <v>7257</v>
      </c>
      <c r="I98" s="17" t="s">
        <v>715</v>
      </c>
      <c r="J98" s="18" t="s">
        <v>716</v>
      </c>
      <c r="K98" s="19" t="s">
        <v>680</v>
      </c>
      <c r="L98" s="19" t="s">
        <v>711</v>
      </c>
      <c r="M98" s="19" t="s">
        <v>717</v>
      </c>
      <c r="N98" s="20" t="s">
        <v>26</v>
      </c>
      <c r="O98" s="20" t="s">
        <v>27</v>
      </c>
      <c r="P98" s="21" t="s">
        <v>718</v>
      </c>
      <c r="Q98" s="26" t="s">
        <v>719</v>
      </c>
      <c r="R98" s="20" t="s">
        <v>720</v>
      </c>
      <c r="S98" s="20"/>
      <c r="T98" s="20"/>
      <c r="U98" s="20"/>
      <c r="V98" s="20"/>
    </row>
    <row r="99" spans="1:22" ht="51">
      <c r="A99">
        <v>3</v>
      </c>
      <c r="B99" s="11" t="s">
        <v>721</v>
      </c>
      <c r="C99" s="23" t="s">
        <v>678</v>
      </c>
      <c r="D99" s="13" t="s">
        <v>722</v>
      </c>
      <c r="E99" s="24">
        <v>2002800</v>
      </c>
      <c r="F99" s="25">
        <f>Table2[[#This Row],[Price]]/Table2[[#This Row],[Tot Ht Area]]</f>
        <v>302.17260108630052</v>
      </c>
      <c r="G99" s="16">
        <v>6628</v>
      </c>
      <c r="H99" s="16">
        <v>6628</v>
      </c>
      <c r="I99" s="17" t="s">
        <v>723</v>
      </c>
      <c r="J99" s="18" t="s">
        <v>688</v>
      </c>
      <c r="K99" s="19" t="s">
        <v>680</v>
      </c>
      <c r="L99" s="19" t="s">
        <v>724</v>
      </c>
      <c r="M99" s="19" t="s">
        <v>725</v>
      </c>
      <c r="N99" s="20" t="s">
        <v>26</v>
      </c>
      <c r="O99" s="20" t="s">
        <v>27</v>
      </c>
      <c r="P99" s="21" t="s">
        <v>26</v>
      </c>
      <c r="Q99" s="26" t="s">
        <v>726</v>
      </c>
      <c r="R99" s="26" t="s">
        <v>727</v>
      </c>
      <c r="S99" s="20"/>
      <c r="T99" s="20"/>
      <c r="U99" s="20"/>
      <c r="V99" s="20"/>
    </row>
    <row r="100" spans="1:22" ht="17">
      <c r="A100">
        <v>3</v>
      </c>
      <c r="B100" s="11" t="s">
        <v>728</v>
      </c>
      <c r="C100" s="23" t="s">
        <v>678</v>
      </c>
      <c r="D100" s="13" t="s">
        <v>729</v>
      </c>
      <c r="E100" s="24">
        <v>840000</v>
      </c>
      <c r="F100" s="25">
        <f>Table2[[#This Row],[Price]]/Table2[[#This Row],[Tot Ht Area]]</f>
        <v>271.14267269205942</v>
      </c>
      <c r="G100" s="16">
        <v>3098</v>
      </c>
      <c r="H100" s="16">
        <v>3918</v>
      </c>
      <c r="I100" s="17" t="s">
        <v>730</v>
      </c>
      <c r="J100" s="18" t="s">
        <v>731</v>
      </c>
      <c r="K100" s="19" t="s">
        <v>680</v>
      </c>
      <c r="L100" s="19" t="s">
        <v>732</v>
      </c>
      <c r="M100" s="19" t="s">
        <v>733</v>
      </c>
      <c r="N100" s="20" t="s">
        <v>26</v>
      </c>
      <c r="O100" s="20" t="s">
        <v>27</v>
      </c>
      <c r="P100" s="21" t="s">
        <v>6592</v>
      </c>
      <c r="Q100" s="26" t="s">
        <v>735</v>
      </c>
      <c r="R100" s="20" t="s">
        <v>736</v>
      </c>
      <c r="S100" s="20"/>
      <c r="T100" s="20"/>
      <c r="U100" s="20"/>
      <c r="V100" s="20"/>
    </row>
    <row r="101" spans="1:22" ht="17">
      <c r="A101">
        <v>3</v>
      </c>
      <c r="B101" s="11" t="s">
        <v>737</v>
      </c>
      <c r="C101" s="23" t="s">
        <v>678</v>
      </c>
      <c r="D101" s="13" t="s">
        <v>428</v>
      </c>
      <c r="E101" s="24">
        <v>1010000</v>
      </c>
      <c r="F101" s="25">
        <f>Table2[[#This Row],[Price]]/Table2[[#This Row],[Tot Ht Area]]</f>
        <v>175.49956559513467</v>
      </c>
      <c r="G101" s="16">
        <v>5755</v>
      </c>
      <c r="H101" s="16">
        <v>5959</v>
      </c>
      <c r="I101" s="17" t="s">
        <v>738</v>
      </c>
      <c r="J101" s="18" t="s">
        <v>92</v>
      </c>
      <c r="K101" s="19" t="s">
        <v>680</v>
      </c>
      <c r="L101" s="19" t="s">
        <v>739</v>
      </c>
      <c r="M101" s="19" t="s">
        <v>740</v>
      </c>
      <c r="N101" s="20" t="s">
        <v>26</v>
      </c>
      <c r="O101" s="20" t="s">
        <v>27</v>
      </c>
      <c r="P101" s="21" t="s">
        <v>741</v>
      </c>
      <c r="Q101" s="26" t="s">
        <v>742</v>
      </c>
      <c r="R101" s="20" t="s">
        <v>743</v>
      </c>
      <c r="S101" s="20"/>
      <c r="T101" s="20"/>
      <c r="U101" s="20"/>
      <c r="V101" s="20"/>
    </row>
    <row r="102" spans="1:22" ht="34">
      <c r="A102">
        <v>3</v>
      </c>
      <c r="B102" s="11" t="s">
        <v>744</v>
      </c>
      <c r="C102" s="23" t="s">
        <v>678</v>
      </c>
      <c r="D102" s="13" t="s">
        <v>745</v>
      </c>
      <c r="E102" s="24">
        <v>2310000</v>
      </c>
      <c r="F102" s="25">
        <f>Table2[[#This Row],[Price]]/Table2[[#This Row],[Tot Ht Area]]</f>
        <v>320.83333333333331</v>
      </c>
      <c r="G102" s="16">
        <v>7200</v>
      </c>
      <c r="H102" s="16">
        <v>7200</v>
      </c>
      <c r="I102" s="17" t="s">
        <v>746</v>
      </c>
      <c r="J102" s="18" t="s">
        <v>747</v>
      </c>
      <c r="K102" s="19" t="s">
        <v>680</v>
      </c>
      <c r="L102" s="19" t="s">
        <v>739</v>
      </c>
      <c r="M102" s="19" t="s">
        <v>748</v>
      </c>
      <c r="N102" s="20" t="s">
        <v>26</v>
      </c>
      <c r="O102" s="20" t="s">
        <v>27</v>
      </c>
      <c r="P102" s="21" t="s">
        <v>6593</v>
      </c>
      <c r="Q102" s="26" t="s">
        <v>750</v>
      </c>
      <c r="R102" s="20" t="s">
        <v>751</v>
      </c>
      <c r="S102" s="20" t="s">
        <v>752</v>
      </c>
      <c r="T102" s="20"/>
      <c r="U102" s="20"/>
      <c r="V102" s="20"/>
    </row>
    <row r="103" spans="1:22" ht="34">
      <c r="A103">
        <v>3</v>
      </c>
      <c r="B103" s="11" t="s">
        <v>753</v>
      </c>
      <c r="C103" s="23" t="s">
        <v>678</v>
      </c>
      <c r="D103" s="13" t="s">
        <v>428</v>
      </c>
      <c r="E103" s="24"/>
      <c r="F103" s="25">
        <f>Table2[[#This Row],[Price]]/Table2[[#This Row],[Tot Ht Area]]</f>
        <v>0</v>
      </c>
      <c r="G103" s="16">
        <v>17682</v>
      </c>
      <c r="H103" s="16">
        <v>20266</v>
      </c>
      <c r="I103" s="17" t="s">
        <v>754</v>
      </c>
      <c r="J103" s="18" t="s">
        <v>269</v>
      </c>
      <c r="K103" s="19" t="s">
        <v>680</v>
      </c>
      <c r="L103" s="19" t="s">
        <v>724</v>
      </c>
      <c r="M103" s="19" t="s">
        <v>755</v>
      </c>
      <c r="N103" s="20" t="s">
        <v>26</v>
      </c>
      <c r="O103" s="20" t="s">
        <v>27</v>
      </c>
      <c r="P103" s="21" t="s">
        <v>6594</v>
      </c>
      <c r="Q103" s="26" t="s">
        <v>756</v>
      </c>
      <c r="R103" s="26" t="s">
        <v>757</v>
      </c>
      <c r="S103" s="20"/>
      <c r="T103" s="20"/>
      <c r="U103" s="20"/>
      <c r="V103" s="20"/>
    </row>
    <row r="104" spans="1:22" ht="17">
      <c r="A104">
        <v>3</v>
      </c>
      <c r="B104" s="11" t="s">
        <v>758</v>
      </c>
      <c r="C104" s="23" t="s">
        <v>678</v>
      </c>
      <c r="D104" s="13" t="s">
        <v>81</v>
      </c>
      <c r="E104" s="24">
        <v>1745000</v>
      </c>
      <c r="F104" s="25">
        <f>Table2[[#This Row],[Price]]/Table2[[#This Row],[Tot Ht Area]]</f>
        <v>351.60185371750958</v>
      </c>
      <c r="G104" s="16">
        <v>4963</v>
      </c>
      <c r="H104" s="16">
        <v>5296</v>
      </c>
      <c r="I104" s="17" t="s">
        <v>759</v>
      </c>
      <c r="J104" s="18" t="s">
        <v>760</v>
      </c>
      <c r="K104" s="19" t="s">
        <v>680</v>
      </c>
      <c r="L104" s="19" t="s">
        <v>724</v>
      </c>
      <c r="M104" s="19" t="s">
        <v>761</v>
      </c>
      <c r="N104" s="20" t="s">
        <v>26</v>
      </c>
      <c r="O104" s="20" t="s">
        <v>27</v>
      </c>
      <c r="P104" s="21" t="s">
        <v>6595</v>
      </c>
      <c r="Q104" s="26" t="s">
        <v>763</v>
      </c>
      <c r="R104" s="26" t="s">
        <v>764</v>
      </c>
      <c r="S104" s="20"/>
      <c r="T104" s="20"/>
      <c r="U104" s="20"/>
      <c r="V104" s="20"/>
    </row>
    <row r="105" spans="1:22" ht="17">
      <c r="A105">
        <v>3</v>
      </c>
      <c r="B105" s="11" t="s">
        <v>765</v>
      </c>
      <c r="C105" s="23" t="s">
        <v>678</v>
      </c>
      <c r="D105" s="13" t="s">
        <v>702</v>
      </c>
      <c r="E105" s="24">
        <v>100</v>
      </c>
      <c r="F105" s="25">
        <f>Table2[[#This Row],[Price]]/Table2[[#This Row],[Tot Ht Area]]</f>
        <v>1.95160031225605E-2</v>
      </c>
      <c r="G105" s="16">
        <v>5124</v>
      </c>
      <c r="H105" s="16">
        <v>5298</v>
      </c>
      <c r="I105" s="17" t="s">
        <v>766</v>
      </c>
      <c r="J105" s="18" t="s">
        <v>767</v>
      </c>
      <c r="K105" s="19" t="s">
        <v>680</v>
      </c>
      <c r="L105" s="19" t="s">
        <v>724</v>
      </c>
      <c r="M105" s="19" t="s">
        <v>768</v>
      </c>
      <c r="N105" s="20" t="s">
        <v>26</v>
      </c>
      <c r="O105" s="20" t="s">
        <v>27</v>
      </c>
      <c r="P105" s="21" t="s">
        <v>769</v>
      </c>
      <c r="Q105" s="26" t="s">
        <v>770</v>
      </c>
      <c r="R105" s="26" t="s">
        <v>771</v>
      </c>
      <c r="S105" s="20"/>
      <c r="T105" s="20" t="s">
        <v>6318</v>
      </c>
      <c r="U105" s="20"/>
      <c r="V105" s="20"/>
    </row>
    <row r="106" spans="1:22" ht="17">
      <c r="A106">
        <v>3</v>
      </c>
      <c r="B106" s="11" t="s">
        <v>772</v>
      </c>
      <c r="C106" s="23" t="s">
        <v>678</v>
      </c>
      <c r="D106" s="13" t="s">
        <v>170</v>
      </c>
      <c r="E106" s="24">
        <v>1186500</v>
      </c>
      <c r="F106" s="25">
        <f>Table2[[#This Row],[Price]]/Table2[[#This Row],[Tot Ht Area]]</f>
        <v>263.37402885682576</v>
      </c>
      <c r="G106" s="16">
        <v>4505</v>
      </c>
      <c r="H106" s="16">
        <v>4857</v>
      </c>
      <c r="I106" s="17" t="s">
        <v>773</v>
      </c>
      <c r="J106" s="18" t="s">
        <v>536</v>
      </c>
      <c r="K106" s="19" t="s">
        <v>680</v>
      </c>
      <c r="L106" s="19" t="s">
        <v>724</v>
      </c>
      <c r="M106" s="19" t="s">
        <v>774</v>
      </c>
      <c r="N106" s="20" t="s">
        <v>26</v>
      </c>
      <c r="O106" s="20" t="s">
        <v>27</v>
      </c>
      <c r="P106" s="21" t="s">
        <v>775</v>
      </c>
      <c r="Q106" s="26" t="s">
        <v>776</v>
      </c>
      <c r="R106" s="20" t="s">
        <v>777</v>
      </c>
      <c r="S106" s="20"/>
      <c r="T106" s="20"/>
      <c r="U106" s="20"/>
      <c r="V106" s="20"/>
    </row>
    <row r="107" spans="1:22" ht="17">
      <c r="A107">
        <v>3</v>
      </c>
      <c r="B107" s="11" t="s">
        <v>778</v>
      </c>
      <c r="C107" s="23" t="s">
        <v>678</v>
      </c>
      <c r="D107" s="13" t="s">
        <v>779</v>
      </c>
      <c r="E107" s="24">
        <v>1300000</v>
      </c>
      <c r="F107" s="25">
        <f>Table2[[#This Row],[Price]]/Table2[[#This Row],[Tot Ht Area]]</f>
        <v>324.02791625124627</v>
      </c>
      <c r="G107" s="16">
        <v>4012</v>
      </c>
      <c r="H107" s="16">
        <v>4292</v>
      </c>
      <c r="I107" s="17" t="s">
        <v>780</v>
      </c>
      <c r="J107" s="18" t="s">
        <v>760</v>
      </c>
      <c r="K107" s="19" t="s">
        <v>680</v>
      </c>
      <c r="L107" s="19" t="s">
        <v>724</v>
      </c>
      <c r="M107" s="19" t="s">
        <v>781</v>
      </c>
      <c r="N107" s="20" t="s">
        <v>26</v>
      </c>
      <c r="O107" s="20" t="s">
        <v>27</v>
      </c>
      <c r="P107" s="21" t="s">
        <v>6596</v>
      </c>
      <c r="Q107" s="26" t="s">
        <v>783</v>
      </c>
      <c r="R107" s="20" t="s">
        <v>784</v>
      </c>
      <c r="S107" s="20"/>
      <c r="T107" s="20"/>
      <c r="U107" s="20"/>
      <c r="V107" s="20"/>
    </row>
    <row r="108" spans="1:22" ht="34">
      <c r="A108">
        <v>3</v>
      </c>
      <c r="B108" s="11" t="s">
        <v>785</v>
      </c>
      <c r="C108" s="23" t="s">
        <v>678</v>
      </c>
      <c r="D108" s="13" t="s">
        <v>64</v>
      </c>
      <c r="E108" s="24">
        <v>1570000</v>
      </c>
      <c r="F108" s="25">
        <f>Table2[[#This Row],[Price]]/Table2[[#This Row],[Tot Ht Area]]</f>
        <v>332.69760542487813</v>
      </c>
      <c r="G108" s="16">
        <v>4719</v>
      </c>
      <c r="H108" s="16">
        <v>4975</v>
      </c>
      <c r="I108" s="17" t="s">
        <v>786</v>
      </c>
      <c r="J108" s="18" t="s">
        <v>760</v>
      </c>
      <c r="K108" s="19" t="s">
        <v>680</v>
      </c>
      <c r="L108" s="19" t="s">
        <v>724</v>
      </c>
      <c r="M108" s="19" t="s">
        <v>787</v>
      </c>
      <c r="N108" s="20" t="s">
        <v>26</v>
      </c>
      <c r="O108" s="20" t="s">
        <v>27</v>
      </c>
      <c r="P108" s="21" t="s">
        <v>788</v>
      </c>
      <c r="Q108" s="26" t="s">
        <v>789</v>
      </c>
      <c r="R108" s="20" t="s">
        <v>790</v>
      </c>
      <c r="S108" s="20"/>
      <c r="T108" s="20"/>
      <c r="U108" s="20"/>
      <c r="V108" s="20"/>
    </row>
    <row r="109" spans="1:22" ht="17">
      <c r="A109">
        <v>3</v>
      </c>
      <c r="B109" s="11" t="s">
        <v>791</v>
      </c>
      <c r="C109" s="23" t="s">
        <v>678</v>
      </c>
      <c r="D109" s="13" t="s">
        <v>792</v>
      </c>
      <c r="E109" s="24">
        <v>100</v>
      </c>
      <c r="F109" s="25">
        <f>Table2[[#This Row],[Price]]/Table2[[#This Row],[Tot Ht Area]]</f>
        <v>3.4602076124567477E-2</v>
      </c>
      <c r="G109" s="16">
        <v>2890</v>
      </c>
      <c r="H109" s="16">
        <v>3126</v>
      </c>
      <c r="I109" s="17" t="s">
        <v>793</v>
      </c>
      <c r="J109" s="18" t="s">
        <v>536</v>
      </c>
      <c r="K109" s="19" t="s">
        <v>680</v>
      </c>
      <c r="L109" s="19" t="s">
        <v>724</v>
      </c>
      <c r="M109" s="19" t="s">
        <v>794</v>
      </c>
      <c r="N109" s="20" t="s">
        <v>26</v>
      </c>
      <c r="O109" s="20" t="s">
        <v>27</v>
      </c>
      <c r="P109" s="21" t="s">
        <v>795</v>
      </c>
      <c r="Q109" s="26" t="s">
        <v>796</v>
      </c>
      <c r="R109" s="26" t="s">
        <v>797</v>
      </c>
      <c r="S109" s="20"/>
      <c r="T109" s="20" t="s">
        <v>6318</v>
      </c>
      <c r="U109" s="20"/>
      <c r="V109" s="20"/>
    </row>
    <row r="110" spans="1:22" ht="34">
      <c r="A110">
        <v>3</v>
      </c>
      <c r="B110" s="11" t="s">
        <v>798</v>
      </c>
      <c r="C110" s="23" t="s">
        <v>678</v>
      </c>
      <c r="D110" s="13" t="s">
        <v>729</v>
      </c>
      <c r="E110" s="24">
        <v>800000</v>
      </c>
      <c r="F110" s="25">
        <f>Table2[[#This Row],[Price]]/Table2[[#This Row],[Tot Ht Area]]</f>
        <v>157.82205563227461</v>
      </c>
      <c r="G110" s="16">
        <v>5069</v>
      </c>
      <c r="H110" s="16">
        <v>5754</v>
      </c>
      <c r="I110" s="17" t="s">
        <v>799</v>
      </c>
      <c r="J110" s="18" t="s">
        <v>800</v>
      </c>
      <c r="K110" s="19" t="s">
        <v>801</v>
      </c>
      <c r="L110" s="19" t="s">
        <v>724</v>
      </c>
      <c r="M110" s="19" t="s">
        <v>802</v>
      </c>
      <c r="N110" s="20" t="s">
        <v>26</v>
      </c>
      <c r="O110" s="20" t="s">
        <v>27</v>
      </c>
      <c r="P110" s="21" t="s">
        <v>6597</v>
      </c>
      <c r="Q110" s="26" t="s">
        <v>804</v>
      </c>
      <c r="R110" s="26" t="s">
        <v>805</v>
      </c>
      <c r="S110" s="20"/>
      <c r="T110" s="20"/>
      <c r="U110" s="20"/>
      <c r="V110" s="20"/>
    </row>
    <row r="111" spans="1:22" ht="34">
      <c r="A111">
        <v>3</v>
      </c>
      <c r="B111" s="11" t="s">
        <v>806</v>
      </c>
      <c r="C111" s="23" t="s">
        <v>678</v>
      </c>
      <c r="D111" s="13" t="s">
        <v>428</v>
      </c>
      <c r="E111" s="24">
        <v>530000</v>
      </c>
      <c r="F111" s="25">
        <f>Table2[[#This Row],[Price]]/Table2[[#This Row],[Tot Ht Area]]</f>
        <v>240.36281179138322</v>
      </c>
      <c r="G111" s="16">
        <v>2205</v>
      </c>
      <c r="H111" s="16">
        <v>2269</v>
      </c>
      <c r="I111" s="17" t="s">
        <v>807</v>
      </c>
      <c r="J111" s="18" t="s">
        <v>57</v>
      </c>
      <c r="K111" s="19" t="s">
        <v>680</v>
      </c>
      <c r="L111" s="19" t="s">
        <v>724</v>
      </c>
      <c r="M111" s="19" t="s">
        <v>808</v>
      </c>
      <c r="N111" s="20" t="s">
        <v>26</v>
      </c>
      <c r="O111" s="20" t="s">
        <v>27</v>
      </c>
      <c r="P111" s="21" t="s">
        <v>6364</v>
      </c>
      <c r="Q111" s="26" t="s">
        <v>810</v>
      </c>
      <c r="R111" s="20" t="s">
        <v>811</v>
      </c>
      <c r="S111" s="20"/>
      <c r="T111" s="20"/>
      <c r="U111" s="20"/>
      <c r="V111" s="20"/>
    </row>
    <row r="112" spans="1:22" ht="34">
      <c r="A112">
        <v>3</v>
      </c>
      <c r="B112" s="11" t="s">
        <v>812</v>
      </c>
      <c r="C112" s="23" t="s">
        <v>678</v>
      </c>
      <c r="D112" s="13" t="s">
        <v>108</v>
      </c>
      <c r="E112" s="24">
        <v>700000</v>
      </c>
      <c r="F112" s="25">
        <f>Table2[[#This Row],[Price]]/Table2[[#This Row],[Tot Ht Area]]</f>
        <v>326.34032634032633</v>
      </c>
      <c r="G112" s="16">
        <v>2145</v>
      </c>
      <c r="H112" s="16">
        <v>2533</v>
      </c>
      <c r="I112" s="17" t="s">
        <v>813</v>
      </c>
      <c r="J112" s="18" t="s">
        <v>599</v>
      </c>
      <c r="K112" s="19" t="s">
        <v>801</v>
      </c>
      <c r="L112" s="19" t="s">
        <v>732</v>
      </c>
      <c r="M112" s="19" t="s">
        <v>814</v>
      </c>
      <c r="N112" s="20" t="s">
        <v>26</v>
      </c>
      <c r="O112" s="20" t="s">
        <v>27</v>
      </c>
      <c r="P112" s="21" t="s">
        <v>6598</v>
      </c>
      <c r="Q112" s="26" t="s">
        <v>816</v>
      </c>
      <c r="R112" s="26" t="s">
        <v>817</v>
      </c>
      <c r="S112" s="20"/>
      <c r="T112" s="20"/>
      <c r="U112" s="20"/>
      <c r="V112" s="20"/>
    </row>
    <row r="113" spans="1:22" ht="51">
      <c r="A113">
        <v>3</v>
      </c>
      <c r="B113" s="11" t="s">
        <v>818</v>
      </c>
      <c r="C113" s="23" t="s">
        <v>678</v>
      </c>
      <c r="D113" s="13" t="s">
        <v>177</v>
      </c>
      <c r="E113" s="24">
        <v>600000</v>
      </c>
      <c r="F113" s="25">
        <f>Table2[[#This Row],[Price]]/Table2[[#This Row],[Tot Ht Area]]</f>
        <v>227.27272727272728</v>
      </c>
      <c r="G113" s="16">
        <v>2640</v>
      </c>
      <c r="H113" s="16">
        <v>3390</v>
      </c>
      <c r="I113" s="17" t="s">
        <v>819</v>
      </c>
      <c r="J113" s="18" t="s">
        <v>135</v>
      </c>
      <c r="K113" s="19" t="s">
        <v>680</v>
      </c>
      <c r="L113" s="19" t="s">
        <v>704</v>
      </c>
      <c r="M113" s="19" t="s">
        <v>820</v>
      </c>
      <c r="N113" s="20" t="s">
        <v>26</v>
      </c>
      <c r="O113" s="20" t="s">
        <v>27</v>
      </c>
      <c r="P113" s="21" t="s">
        <v>6367</v>
      </c>
      <c r="Q113" s="26" t="s">
        <v>822</v>
      </c>
      <c r="R113" s="20" t="s">
        <v>823</v>
      </c>
      <c r="S113" s="20"/>
      <c r="T113" s="20"/>
      <c r="U113" s="20"/>
      <c r="V113" s="20"/>
    </row>
    <row r="114" spans="1:22" ht="34">
      <c r="A114">
        <v>3</v>
      </c>
      <c r="B114" s="11" t="s">
        <v>824</v>
      </c>
      <c r="C114" s="23" t="s">
        <v>678</v>
      </c>
      <c r="D114" s="13" t="s">
        <v>55</v>
      </c>
      <c r="E114" s="24">
        <v>800000</v>
      </c>
      <c r="F114" s="25">
        <f>Table2[[#This Row],[Price]]/Table2[[#This Row],[Tot Ht Area]]</f>
        <v>327.46623004502663</v>
      </c>
      <c r="G114" s="16">
        <v>2443</v>
      </c>
      <c r="H114" s="16">
        <v>2508</v>
      </c>
      <c r="I114" s="17" t="s">
        <v>825</v>
      </c>
      <c r="J114" s="18" t="s">
        <v>66</v>
      </c>
      <c r="K114" s="19" t="s">
        <v>680</v>
      </c>
      <c r="L114" s="19" t="s">
        <v>696</v>
      </c>
      <c r="M114" s="19" t="s">
        <v>826</v>
      </c>
      <c r="N114" s="20" t="s">
        <v>26</v>
      </c>
      <c r="O114" s="20" t="s">
        <v>27</v>
      </c>
      <c r="P114" s="21" t="s">
        <v>6599</v>
      </c>
      <c r="Q114" s="26" t="s">
        <v>828</v>
      </c>
      <c r="R114" s="26" t="s">
        <v>829</v>
      </c>
      <c r="S114" s="20"/>
      <c r="T114" s="20"/>
      <c r="U114" s="20"/>
      <c r="V114" s="20"/>
    </row>
    <row r="115" spans="1:22" ht="17">
      <c r="A115">
        <v>3</v>
      </c>
      <c r="B115" s="11" t="s">
        <v>830</v>
      </c>
      <c r="C115" s="23" t="s">
        <v>678</v>
      </c>
      <c r="D115" s="13" t="s">
        <v>158</v>
      </c>
      <c r="E115" s="24">
        <v>1550000</v>
      </c>
      <c r="F115" s="25">
        <f>Table2[[#This Row],[Price]]/Table2[[#This Row],[Tot Ht Area]]</f>
        <v>325.97266035751841</v>
      </c>
      <c r="G115" s="16">
        <v>4755</v>
      </c>
      <c r="H115" s="16">
        <v>5138</v>
      </c>
      <c r="I115" s="17" t="s">
        <v>831</v>
      </c>
      <c r="J115" s="18" t="s">
        <v>646</v>
      </c>
      <c r="K115" s="19" t="s">
        <v>680</v>
      </c>
      <c r="L115" s="19" t="s">
        <v>696</v>
      </c>
      <c r="M115" s="19" t="s">
        <v>832</v>
      </c>
      <c r="N115" s="20" t="s">
        <v>26</v>
      </c>
      <c r="O115" s="20" t="s">
        <v>27</v>
      </c>
      <c r="P115" s="21" t="s">
        <v>833</v>
      </c>
      <c r="Q115" s="26" t="s">
        <v>834</v>
      </c>
      <c r="R115" s="20" t="s">
        <v>835</v>
      </c>
      <c r="S115" s="20"/>
      <c r="T115" s="20"/>
      <c r="U115" s="20"/>
      <c r="V115" s="20"/>
    </row>
    <row r="116" spans="1:22" ht="34">
      <c r="A116">
        <v>3</v>
      </c>
      <c r="B116" s="11" t="s">
        <v>836</v>
      </c>
      <c r="C116" s="23" t="s">
        <v>678</v>
      </c>
      <c r="D116" s="13" t="s">
        <v>686</v>
      </c>
      <c r="E116" s="24">
        <v>2450000</v>
      </c>
      <c r="F116" s="25">
        <f>Table2[[#This Row],[Price]]/Table2[[#This Row],[Tot Ht Area]]</f>
        <v>714.70245040840143</v>
      </c>
      <c r="G116" s="16">
        <v>3428</v>
      </c>
      <c r="H116" s="16">
        <v>3649</v>
      </c>
      <c r="I116" s="17" t="s">
        <v>837</v>
      </c>
      <c r="J116" s="18" t="s">
        <v>760</v>
      </c>
      <c r="K116" s="19" t="s">
        <v>680</v>
      </c>
      <c r="L116" s="19" t="s">
        <v>696</v>
      </c>
      <c r="M116" s="19" t="s">
        <v>838</v>
      </c>
      <c r="N116" s="20" t="s">
        <v>26</v>
      </c>
      <c r="O116" s="20" t="s">
        <v>27</v>
      </c>
      <c r="P116" s="21" t="s">
        <v>6342</v>
      </c>
      <c r="Q116" s="26" t="s">
        <v>840</v>
      </c>
      <c r="R116" s="20" t="s">
        <v>841</v>
      </c>
      <c r="S116" s="20"/>
      <c r="T116" s="20" t="s">
        <v>6318</v>
      </c>
      <c r="U116" s="20" t="s">
        <v>6542</v>
      </c>
      <c r="V116" s="20" t="s">
        <v>6541</v>
      </c>
    </row>
    <row r="117" spans="1:22" ht="34">
      <c r="A117">
        <v>3</v>
      </c>
      <c r="B117" s="11" t="s">
        <v>842</v>
      </c>
      <c r="C117" s="23" t="s">
        <v>678</v>
      </c>
      <c r="D117" s="13" t="s">
        <v>516</v>
      </c>
      <c r="E117" s="24">
        <v>1800000</v>
      </c>
      <c r="F117" s="25">
        <f>Table2[[#This Row],[Price]]/Table2[[#This Row],[Tot Ht Area]]</f>
        <v>294.45444135449043</v>
      </c>
      <c r="G117" s="16">
        <v>6113</v>
      </c>
      <c r="H117" s="16">
        <v>6326</v>
      </c>
      <c r="I117" s="17" t="s">
        <v>843</v>
      </c>
      <c r="J117" s="18" t="s">
        <v>422</v>
      </c>
      <c r="K117" s="19" t="s">
        <v>680</v>
      </c>
      <c r="L117" s="19" t="s">
        <v>696</v>
      </c>
      <c r="M117" s="19" t="s">
        <v>844</v>
      </c>
      <c r="N117" s="20" t="s">
        <v>26</v>
      </c>
      <c r="O117" s="20" t="s">
        <v>27</v>
      </c>
      <c r="P117" s="21" t="s">
        <v>845</v>
      </c>
      <c r="Q117" s="26" t="s">
        <v>846</v>
      </c>
      <c r="R117" s="20" t="s">
        <v>847</v>
      </c>
      <c r="S117" s="20"/>
      <c r="T117" s="20"/>
      <c r="U117" s="20"/>
      <c r="V117" s="20"/>
    </row>
    <row r="118" spans="1:22" ht="34">
      <c r="A118">
        <v>3</v>
      </c>
      <c r="B118" s="11" t="s">
        <v>848</v>
      </c>
      <c r="C118" s="23" t="s">
        <v>678</v>
      </c>
      <c r="D118" s="13" t="s">
        <v>686</v>
      </c>
      <c r="E118" s="24">
        <v>2450000</v>
      </c>
      <c r="F118" s="25">
        <f>Table2[[#This Row],[Price]]/Table2[[#This Row],[Tot Ht Area]]</f>
        <v>418.9466484268126</v>
      </c>
      <c r="G118" s="16">
        <v>5848</v>
      </c>
      <c r="H118" s="16">
        <v>6266</v>
      </c>
      <c r="I118" s="17" t="s">
        <v>837</v>
      </c>
      <c r="J118" s="18" t="s">
        <v>767</v>
      </c>
      <c r="K118" s="19" t="s">
        <v>680</v>
      </c>
      <c r="L118" s="19" t="s">
        <v>696</v>
      </c>
      <c r="M118" s="19" t="s">
        <v>849</v>
      </c>
      <c r="N118" s="20" t="s">
        <v>26</v>
      </c>
      <c r="O118" s="20" t="s">
        <v>27</v>
      </c>
      <c r="P118" s="21" t="s">
        <v>6341</v>
      </c>
      <c r="Q118" s="26" t="s">
        <v>851</v>
      </c>
      <c r="R118" s="20" t="s">
        <v>852</v>
      </c>
      <c r="S118" s="20"/>
      <c r="T118" s="20"/>
      <c r="U118" s="20"/>
      <c r="V118" s="20"/>
    </row>
    <row r="119" spans="1:22" ht="34">
      <c r="A119">
        <v>3</v>
      </c>
      <c r="B119" s="11" t="s">
        <v>853</v>
      </c>
      <c r="C119" s="23" t="s">
        <v>678</v>
      </c>
      <c r="D119" s="13" t="s">
        <v>336</v>
      </c>
      <c r="E119" s="24">
        <v>3552600</v>
      </c>
      <c r="F119" s="25">
        <f>Table2[[#This Row],[Price]]/Table2[[#This Row],[Tot Ht Area]]</f>
        <v>466.9558359621451</v>
      </c>
      <c r="G119" s="16">
        <v>7608</v>
      </c>
      <c r="H119" s="16">
        <v>8124</v>
      </c>
      <c r="I119" s="17" t="s">
        <v>854</v>
      </c>
      <c r="J119" s="18" t="s">
        <v>201</v>
      </c>
      <c r="K119" s="19" t="s">
        <v>680</v>
      </c>
      <c r="L119" s="19" t="s">
        <v>855</v>
      </c>
      <c r="M119" s="19" t="s">
        <v>856</v>
      </c>
      <c r="N119" s="20" t="s">
        <v>6212</v>
      </c>
      <c r="O119" s="20" t="s">
        <v>27</v>
      </c>
      <c r="P119" s="21" t="s">
        <v>6515</v>
      </c>
      <c r="Q119" s="26" t="s">
        <v>857</v>
      </c>
      <c r="R119" s="26" t="s">
        <v>858</v>
      </c>
      <c r="S119" s="20"/>
      <c r="T119" s="20"/>
      <c r="U119" s="20" t="s">
        <v>6512</v>
      </c>
      <c r="V119" s="20"/>
    </row>
    <row r="120" spans="1:22" ht="34">
      <c r="A120">
        <v>3</v>
      </c>
      <c r="B120" s="29" t="s">
        <v>859</v>
      </c>
      <c r="C120" s="12" t="s">
        <v>20</v>
      </c>
      <c r="D120" s="30" t="s">
        <v>253</v>
      </c>
      <c r="E120" s="31">
        <v>100</v>
      </c>
      <c r="F120" s="32">
        <f>Table2[[#This Row],[Price]]/Table2[[#This Row],[Tot Ht Area]]</f>
        <v>0.05</v>
      </c>
      <c r="G120" s="33">
        <v>2000</v>
      </c>
      <c r="H120" s="33">
        <v>2000</v>
      </c>
      <c r="I120" s="34" t="s">
        <v>860</v>
      </c>
      <c r="J120" s="35">
        <v>1983</v>
      </c>
      <c r="K120" s="30" t="s">
        <v>172</v>
      </c>
      <c r="L120" s="30"/>
      <c r="M120" s="30" t="s">
        <v>861</v>
      </c>
      <c r="N120" s="20" t="s">
        <v>26</v>
      </c>
      <c r="O120" s="20" t="s">
        <v>27</v>
      </c>
      <c r="P120" s="21" t="s">
        <v>862</v>
      </c>
      <c r="Q120" s="26" t="s">
        <v>863</v>
      </c>
      <c r="R120" s="20" t="s">
        <v>864</v>
      </c>
      <c r="S120" s="20"/>
      <c r="T120" s="20" t="s">
        <v>6318</v>
      </c>
      <c r="U120" s="20"/>
      <c r="V120" s="20"/>
    </row>
    <row r="121" spans="1:22" ht="32">
      <c r="A121">
        <v>3</v>
      </c>
      <c r="B121" s="29" t="s">
        <v>865</v>
      </c>
      <c r="C121" s="12" t="s">
        <v>20</v>
      </c>
      <c r="D121" s="30" t="s">
        <v>686</v>
      </c>
      <c r="E121" s="31">
        <v>100</v>
      </c>
      <c r="F121" s="32">
        <f>Table2[[#This Row],[Price]]/Table2[[#This Row],[Tot Ht Area]]</f>
        <v>4.7619047619047616E-2</v>
      </c>
      <c r="G121" s="33">
        <v>2100</v>
      </c>
      <c r="H121" s="33">
        <v>2100</v>
      </c>
      <c r="I121" s="34" t="s">
        <v>866</v>
      </c>
      <c r="J121" s="35">
        <v>1983</v>
      </c>
      <c r="K121" s="30" t="s">
        <v>172</v>
      </c>
      <c r="L121" s="30"/>
      <c r="M121" s="30" t="s">
        <v>867</v>
      </c>
      <c r="N121" s="20" t="s">
        <v>26</v>
      </c>
      <c r="O121" s="20" t="s">
        <v>27</v>
      </c>
      <c r="P121" s="21" t="s">
        <v>868</v>
      </c>
      <c r="Q121" s="26" t="s">
        <v>869</v>
      </c>
      <c r="R121" s="20" t="s">
        <v>870</v>
      </c>
      <c r="S121" s="20"/>
      <c r="T121" s="20" t="s">
        <v>6318</v>
      </c>
      <c r="U121" s="20"/>
      <c r="V121" s="20"/>
    </row>
    <row r="122" spans="1:22" ht="32">
      <c r="A122">
        <v>3</v>
      </c>
      <c r="B122" s="29" t="s">
        <v>871</v>
      </c>
      <c r="C122" s="12" t="s">
        <v>20</v>
      </c>
      <c r="D122" s="30" t="s">
        <v>223</v>
      </c>
      <c r="E122" s="31">
        <v>100</v>
      </c>
      <c r="F122" s="32">
        <f>Table2[[#This Row],[Price]]/Table2[[#This Row],[Tot Ht Area]]</f>
        <v>4.5454545454545456E-2</v>
      </c>
      <c r="G122" s="33">
        <v>2200</v>
      </c>
      <c r="H122" s="33">
        <v>2200</v>
      </c>
      <c r="I122" s="34" t="s">
        <v>872</v>
      </c>
      <c r="J122" s="35">
        <v>1983</v>
      </c>
      <c r="K122" s="30" t="s">
        <v>172</v>
      </c>
      <c r="L122" s="30"/>
      <c r="M122" s="30" t="s">
        <v>873</v>
      </c>
      <c r="N122" s="20" t="s">
        <v>26</v>
      </c>
      <c r="O122" s="20" t="s">
        <v>27</v>
      </c>
      <c r="P122" s="21" t="s">
        <v>874</v>
      </c>
      <c r="Q122" s="26"/>
      <c r="R122" s="20" t="s">
        <v>875</v>
      </c>
      <c r="S122" s="20"/>
      <c r="T122" s="20" t="s">
        <v>6318</v>
      </c>
      <c r="U122" s="20"/>
      <c r="V122" s="20"/>
    </row>
    <row r="123" spans="1:22" ht="32">
      <c r="A123">
        <v>3</v>
      </c>
      <c r="B123" s="29" t="s">
        <v>876</v>
      </c>
      <c r="C123" s="12" t="s">
        <v>20</v>
      </c>
      <c r="D123" s="30" t="s">
        <v>877</v>
      </c>
      <c r="E123" s="31">
        <v>330000</v>
      </c>
      <c r="F123" s="32">
        <f>Table2[[#This Row],[Price]]/Table2[[#This Row],[Tot Ht Area]]</f>
        <v>165</v>
      </c>
      <c r="G123" s="33">
        <v>2000</v>
      </c>
      <c r="H123" s="33">
        <v>2000</v>
      </c>
      <c r="I123" s="34" t="s">
        <v>878</v>
      </c>
      <c r="J123" s="35">
        <v>1983</v>
      </c>
      <c r="K123" s="30" t="s">
        <v>172</v>
      </c>
      <c r="L123" s="30"/>
      <c r="M123" s="30" t="s">
        <v>879</v>
      </c>
      <c r="N123" s="20" t="s">
        <v>26</v>
      </c>
      <c r="O123" s="20" t="s">
        <v>27</v>
      </c>
      <c r="P123" s="21" t="s">
        <v>880</v>
      </c>
      <c r="Q123" s="26" t="s">
        <v>881</v>
      </c>
      <c r="R123" s="20" t="s">
        <v>882</v>
      </c>
      <c r="S123" s="20"/>
      <c r="T123" s="20"/>
      <c r="U123" s="20"/>
      <c r="V123" s="20"/>
    </row>
    <row r="124" spans="1:22" ht="48">
      <c r="A124">
        <v>3</v>
      </c>
      <c r="B124" s="29" t="s">
        <v>883</v>
      </c>
      <c r="C124" s="12" t="s">
        <v>20</v>
      </c>
      <c r="D124" s="30" t="s">
        <v>158</v>
      </c>
      <c r="E124" s="31">
        <v>1991400</v>
      </c>
      <c r="F124" s="32">
        <f>Table2[[#This Row],[Price]]/Table2[[#This Row],[Tot Ht Area]]</f>
        <v>466.58856607310213</v>
      </c>
      <c r="G124" s="33">
        <v>4268</v>
      </c>
      <c r="H124" s="33">
        <v>3969</v>
      </c>
      <c r="I124" s="34" t="s">
        <v>884</v>
      </c>
      <c r="J124" s="35">
        <v>2004</v>
      </c>
      <c r="K124" s="30" t="s">
        <v>24</v>
      </c>
      <c r="L124" s="30"/>
      <c r="M124" s="30" t="s">
        <v>885</v>
      </c>
      <c r="N124" s="20" t="s">
        <v>26</v>
      </c>
      <c r="O124" s="20" t="s">
        <v>27</v>
      </c>
      <c r="P124" s="21" t="s">
        <v>6600</v>
      </c>
      <c r="Q124" s="26" t="s">
        <v>887</v>
      </c>
      <c r="R124" s="20" t="s">
        <v>888</v>
      </c>
      <c r="S124" s="20"/>
      <c r="T124" s="20"/>
      <c r="U124" s="20"/>
      <c r="V124" s="20"/>
    </row>
    <row r="125" spans="1:22" ht="17">
      <c r="A125">
        <v>3</v>
      </c>
      <c r="B125" s="29" t="s">
        <v>889</v>
      </c>
      <c r="C125" s="12" t="s">
        <v>20</v>
      </c>
      <c r="D125" s="30" t="s">
        <v>336</v>
      </c>
      <c r="E125" s="31">
        <v>250100</v>
      </c>
      <c r="F125" s="32">
        <f>Table2[[#This Row],[Price]]/Table2[[#This Row],[Tot Ht Area]]</f>
        <v>116.32558139534883</v>
      </c>
      <c r="G125" s="33">
        <v>2150</v>
      </c>
      <c r="H125" s="33">
        <v>2150</v>
      </c>
      <c r="I125" s="34" t="s">
        <v>890</v>
      </c>
      <c r="J125" s="35">
        <v>2007</v>
      </c>
      <c r="K125" s="30" t="s">
        <v>172</v>
      </c>
      <c r="L125" s="30"/>
      <c r="M125" s="30" t="s">
        <v>891</v>
      </c>
      <c r="N125" s="20" t="s">
        <v>26</v>
      </c>
      <c r="O125" s="20" t="s">
        <v>27</v>
      </c>
      <c r="P125" s="21" t="s">
        <v>6360</v>
      </c>
      <c r="Q125" s="26" t="s">
        <v>893</v>
      </c>
      <c r="R125" s="20" t="s">
        <v>894</v>
      </c>
      <c r="S125" s="20"/>
      <c r="T125" s="20"/>
      <c r="U125" s="20"/>
      <c r="V125" s="20"/>
    </row>
    <row r="126" spans="1:22" ht="32">
      <c r="A126">
        <v>3</v>
      </c>
      <c r="B126" s="29" t="s">
        <v>895</v>
      </c>
      <c r="C126" s="12" t="s">
        <v>20</v>
      </c>
      <c r="D126" s="30" t="s">
        <v>896</v>
      </c>
      <c r="E126" s="31">
        <v>100</v>
      </c>
      <c r="F126" s="32">
        <f>Table2[[#This Row],[Price]]/Table2[[#This Row],[Tot Ht Area]]</f>
        <v>3.8654812524159254E-2</v>
      </c>
      <c r="G126" s="33">
        <v>2587</v>
      </c>
      <c r="H126" s="33">
        <v>2587</v>
      </c>
      <c r="I126" s="34" t="s">
        <v>897</v>
      </c>
      <c r="J126" s="35">
        <v>2007</v>
      </c>
      <c r="K126" s="30" t="s">
        <v>172</v>
      </c>
      <c r="L126" s="30"/>
      <c r="M126" s="30" t="s">
        <v>898</v>
      </c>
      <c r="N126" s="20" t="s">
        <v>26</v>
      </c>
      <c r="O126" s="20" t="s">
        <v>27</v>
      </c>
      <c r="P126" s="21" t="s">
        <v>6601</v>
      </c>
      <c r="Q126" s="26" t="s">
        <v>899</v>
      </c>
      <c r="R126" s="20" t="s">
        <v>900</v>
      </c>
      <c r="S126" s="20"/>
      <c r="T126" s="20" t="s">
        <v>6318</v>
      </c>
      <c r="U126" s="20"/>
      <c r="V126" s="20"/>
    </row>
    <row r="127" spans="1:22" ht="32">
      <c r="A127">
        <v>3</v>
      </c>
      <c r="B127" s="29" t="s">
        <v>901</v>
      </c>
      <c r="C127" s="12" t="s">
        <v>20</v>
      </c>
      <c r="D127" s="30" t="s">
        <v>450</v>
      </c>
      <c r="E127" s="31">
        <v>1340000</v>
      </c>
      <c r="F127" s="32">
        <f>Table2[[#This Row],[Price]]/Table2[[#This Row],[Tot Ht Area]]</f>
        <v>517.97448782373408</v>
      </c>
      <c r="G127" s="33">
        <v>2587</v>
      </c>
      <c r="H127" s="33">
        <v>2587</v>
      </c>
      <c r="I127" s="34" t="s">
        <v>902</v>
      </c>
      <c r="J127" s="35">
        <v>2007</v>
      </c>
      <c r="K127" s="30" t="s">
        <v>172</v>
      </c>
      <c r="L127" s="30"/>
      <c r="M127" s="30" t="s">
        <v>903</v>
      </c>
      <c r="N127" s="20" t="s">
        <v>26</v>
      </c>
      <c r="O127" s="20" t="s">
        <v>27</v>
      </c>
      <c r="P127" s="21" t="s">
        <v>6530</v>
      </c>
      <c r="Q127" s="26" t="s">
        <v>904</v>
      </c>
      <c r="R127" s="20" t="s">
        <v>905</v>
      </c>
      <c r="S127" s="20"/>
      <c r="T127" s="20" t="s">
        <v>6318</v>
      </c>
      <c r="U127" s="20" t="s">
        <v>6509</v>
      </c>
      <c r="V127" s="20" t="s">
        <v>6539</v>
      </c>
    </row>
    <row r="128" spans="1:22" ht="48">
      <c r="A128">
        <v>3</v>
      </c>
      <c r="B128" s="29" t="s">
        <v>906</v>
      </c>
      <c r="C128" s="12" t="s">
        <v>20</v>
      </c>
      <c r="D128" s="30" t="s">
        <v>207</v>
      </c>
      <c r="E128" s="31">
        <v>2853400</v>
      </c>
      <c r="F128" s="32">
        <f>Table2[[#This Row],[Price]]/Table2[[#This Row],[Tot Ht Area]]</f>
        <v>686.73886883273167</v>
      </c>
      <c r="G128" s="33">
        <v>4155</v>
      </c>
      <c r="H128" s="33">
        <v>4155</v>
      </c>
      <c r="I128" s="34" t="s">
        <v>907</v>
      </c>
      <c r="J128" s="35">
        <v>2020</v>
      </c>
      <c r="K128" s="30" t="s">
        <v>24</v>
      </c>
      <c r="L128" s="30"/>
      <c r="M128" s="30" t="s">
        <v>908</v>
      </c>
      <c r="N128" s="20" t="s">
        <v>26</v>
      </c>
      <c r="O128" s="20" t="s">
        <v>27</v>
      </c>
      <c r="P128" s="21" t="s">
        <v>6375</v>
      </c>
      <c r="Q128" s="26" t="s">
        <v>910</v>
      </c>
      <c r="R128" s="20" t="s">
        <v>911</v>
      </c>
      <c r="S128" s="20"/>
      <c r="T128" s="20" t="s">
        <v>6318</v>
      </c>
      <c r="U128" s="20" t="s">
        <v>6512</v>
      </c>
      <c r="V128" s="20" t="s">
        <v>6553</v>
      </c>
    </row>
    <row r="129" spans="1:22" ht="34">
      <c r="A129">
        <v>3</v>
      </c>
      <c r="B129" s="29" t="s">
        <v>912</v>
      </c>
      <c r="C129" s="12" t="s">
        <v>20</v>
      </c>
      <c r="D129" s="30" t="s">
        <v>215</v>
      </c>
      <c r="E129" s="31">
        <v>840000</v>
      </c>
      <c r="F129" s="32">
        <f>Table2[[#This Row],[Price]]/Table2[[#This Row],[Tot Ht Area]]</f>
        <v>252.32802643436469</v>
      </c>
      <c r="G129" s="33">
        <v>3329</v>
      </c>
      <c r="H129" s="33">
        <v>3329</v>
      </c>
      <c r="I129" s="34" t="s">
        <v>913</v>
      </c>
      <c r="J129" s="35">
        <v>2005</v>
      </c>
      <c r="K129" s="30" t="s">
        <v>172</v>
      </c>
      <c r="L129" s="30"/>
      <c r="M129" s="30" t="s">
        <v>914</v>
      </c>
      <c r="N129" s="20" t="s">
        <v>26</v>
      </c>
      <c r="O129" s="20" t="s">
        <v>27</v>
      </c>
      <c r="P129" s="21" t="s">
        <v>6368</v>
      </c>
      <c r="Q129" s="26" t="s">
        <v>916</v>
      </c>
      <c r="R129" s="20" t="s">
        <v>917</v>
      </c>
      <c r="S129" s="20"/>
      <c r="T129" s="20"/>
      <c r="U129" s="20"/>
      <c r="V129" s="20"/>
    </row>
    <row r="130" spans="1:22" ht="32">
      <c r="A130">
        <v>3</v>
      </c>
      <c r="B130" s="29" t="s">
        <v>918</v>
      </c>
      <c r="C130" s="12" t="s">
        <v>20</v>
      </c>
      <c r="D130" s="30" t="s">
        <v>611</v>
      </c>
      <c r="E130" s="31">
        <v>2900000</v>
      </c>
      <c r="F130" s="32">
        <f>Table2[[#This Row],[Price]]/Table2[[#This Row],[Tot Ht Area]]</f>
        <v>385.22848034006375</v>
      </c>
      <c r="G130" s="33">
        <v>7528</v>
      </c>
      <c r="H130" s="33">
        <v>7528</v>
      </c>
      <c r="I130" s="34" t="s">
        <v>919</v>
      </c>
      <c r="J130" s="35">
        <v>2005</v>
      </c>
      <c r="K130" s="30" t="s">
        <v>172</v>
      </c>
      <c r="L130" s="30"/>
      <c r="M130" s="30" t="s">
        <v>920</v>
      </c>
      <c r="N130" s="20" t="s">
        <v>26</v>
      </c>
      <c r="O130" s="20" t="s">
        <v>27</v>
      </c>
      <c r="P130" s="21" t="s">
        <v>6340</v>
      </c>
      <c r="Q130" s="26" t="s">
        <v>922</v>
      </c>
      <c r="R130" s="20" t="s">
        <v>923</v>
      </c>
      <c r="S130" s="20"/>
      <c r="T130" s="20"/>
      <c r="U130" s="20"/>
      <c r="V130" s="20"/>
    </row>
    <row r="131" spans="1:22" ht="34">
      <c r="A131">
        <v>3</v>
      </c>
      <c r="B131" s="29" t="s">
        <v>924</v>
      </c>
      <c r="C131" s="12" t="s">
        <v>20</v>
      </c>
      <c r="D131" s="30" t="s">
        <v>925</v>
      </c>
      <c r="E131" s="31">
        <v>610000</v>
      </c>
      <c r="F131" s="32">
        <f>Table2[[#This Row],[Price]]/Table2[[#This Row],[Tot Ht Area]]</f>
        <v>271.35231316725981</v>
      </c>
      <c r="G131" s="33">
        <v>2248</v>
      </c>
      <c r="H131" s="33">
        <v>2248</v>
      </c>
      <c r="I131" s="34" t="s">
        <v>926</v>
      </c>
      <c r="J131" s="35">
        <v>2005</v>
      </c>
      <c r="K131" s="30" t="s">
        <v>172</v>
      </c>
      <c r="L131" s="30"/>
      <c r="M131" s="30" t="s">
        <v>927</v>
      </c>
      <c r="N131" s="20" t="s">
        <v>26</v>
      </c>
      <c r="O131" s="20" t="s">
        <v>27</v>
      </c>
      <c r="P131" s="21" t="s">
        <v>928</v>
      </c>
      <c r="Q131" s="26" t="s">
        <v>929</v>
      </c>
      <c r="R131" s="20" t="s">
        <v>930</v>
      </c>
      <c r="S131" s="20"/>
      <c r="T131" s="20"/>
      <c r="U131" s="20"/>
      <c r="V131" s="20"/>
    </row>
    <row r="132" spans="1:22" ht="17">
      <c r="A132">
        <v>2</v>
      </c>
      <c r="B132" s="29" t="s">
        <v>931</v>
      </c>
      <c r="C132" s="12" t="s">
        <v>20</v>
      </c>
      <c r="D132" s="30" t="s">
        <v>223</v>
      </c>
      <c r="E132" s="31">
        <v>665000</v>
      </c>
      <c r="F132" s="32">
        <f>Table2[[#This Row],[Price]]/Table2[[#This Row],[Tot Ht Area]]</f>
        <v>295.8185053380783</v>
      </c>
      <c r="G132" s="33">
        <v>2248</v>
      </c>
      <c r="H132" s="33">
        <v>2248</v>
      </c>
      <c r="I132" s="34" t="s">
        <v>932</v>
      </c>
      <c r="J132" s="35">
        <v>2005</v>
      </c>
      <c r="K132" s="30" t="s">
        <v>172</v>
      </c>
      <c r="L132" s="30"/>
      <c r="M132" s="30" t="s">
        <v>933</v>
      </c>
      <c r="N132" s="20" t="s">
        <v>26</v>
      </c>
      <c r="O132" s="20" t="s">
        <v>27</v>
      </c>
      <c r="P132" s="21" t="s">
        <v>934</v>
      </c>
      <c r="Q132" s="26" t="s">
        <v>935</v>
      </c>
      <c r="R132" s="20" t="s">
        <v>936</v>
      </c>
      <c r="S132" s="20"/>
      <c r="T132" s="20"/>
      <c r="U132" s="20"/>
      <c r="V132" s="20"/>
    </row>
    <row r="133" spans="1:22" ht="17">
      <c r="A133">
        <v>3</v>
      </c>
      <c r="B133" s="29" t="s">
        <v>937</v>
      </c>
      <c r="C133" s="12" t="s">
        <v>20</v>
      </c>
      <c r="D133" s="30" t="s">
        <v>877</v>
      </c>
      <c r="E133" s="31">
        <v>4225000</v>
      </c>
      <c r="F133" s="32">
        <f>Table2[[#This Row],[Price]]/Table2[[#This Row],[Tot Ht Area]]</f>
        <v>479.56867196367762</v>
      </c>
      <c r="G133" s="33">
        <v>8810</v>
      </c>
      <c r="H133" s="33">
        <v>8810</v>
      </c>
      <c r="I133" s="34" t="s">
        <v>938</v>
      </c>
      <c r="J133" s="35">
        <v>2005</v>
      </c>
      <c r="K133" s="30" t="s">
        <v>172</v>
      </c>
      <c r="L133" s="30"/>
      <c r="M133" s="30" t="s">
        <v>939</v>
      </c>
      <c r="N133" s="20" t="s">
        <v>26</v>
      </c>
      <c r="O133" s="20" t="s">
        <v>27</v>
      </c>
      <c r="P133" s="21" t="s">
        <v>940</v>
      </c>
      <c r="Q133" s="26" t="s">
        <v>941</v>
      </c>
      <c r="R133" s="20" t="s">
        <v>942</v>
      </c>
      <c r="S133" s="20"/>
      <c r="T133" s="20" t="s">
        <v>6318</v>
      </c>
      <c r="U133" s="20" t="s">
        <v>6509</v>
      </c>
      <c r="V133" s="20" t="s">
        <v>6561</v>
      </c>
    </row>
    <row r="134" spans="1:22" ht="34">
      <c r="A134">
        <v>3</v>
      </c>
      <c r="B134" s="29" t="s">
        <v>943</v>
      </c>
      <c r="C134" s="12" t="s">
        <v>20</v>
      </c>
      <c r="D134" s="30" t="s">
        <v>177</v>
      </c>
      <c r="E134" s="31">
        <v>100</v>
      </c>
      <c r="F134" s="32">
        <f>Table2[[#This Row],[Price]]/Table2[[#This Row],[Tot Ht Area]]</f>
        <v>3.9154267815191858E-2</v>
      </c>
      <c r="G134" s="33">
        <v>2554</v>
      </c>
      <c r="H134" s="33">
        <v>2554</v>
      </c>
      <c r="I134" s="34" t="s">
        <v>944</v>
      </c>
      <c r="J134" s="35">
        <v>2017</v>
      </c>
      <c r="K134" s="30" t="s">
        <v>24</v>
      </c>
      <c r="L134" s="30"/>
      <c r="M134" s="30" t="s">
        <v>945</v>
      </c>
      <c r="N134" s="20" t="s">
        <v>26</v>
      </c>
      <c r="O134" s="20" t="s">
        <v>27</v>
      </c>
      <c r="P134" s="21" t="s">
        <v>946</v>
      </c>
      <c r="Q134" s="26" t="s">
        <v>947</v>
      </c>
      <c r="R134" s="20" t="s">
        <v>948</v>
      </c>
      <c r="S134" s="20"/>
      <c r="T134" s="20" t="s">
        <v>6318</v>
      </c>
      <c r="U134" s="20"/>
      <c r="V134" s="20"/>
    </row>
    <row r="135" spans="1:22" ht="34">
      <c r="A135">
        <v>3</v>
      </c>
      <c r="B135" s="29" t="s">
        <v>949</v>
      </c>
      <c r="C135" s="12" t="s">
        <v>20</v>
      </c>
      <c r="D135" s="30" t="s">
        <v>177</v>
      </c>
      <c r="E135" s="31">
        <v>100</v>
      </c>
      <c r="F135" s="32">
        <f>Table2[[#This Row],[Price]]/Table2[[#This Row],[Tot Ht Area]]</f>
        <v>3.9154267815191858E-2</v>
      </c>
      <c r="G135" s="33">
        <v>2554</v>
      </c>
      <c r="H135" s="33">
        <v>2554</v>
      </c>
      <c r="I135" s="34" t="s">
        <v>944</v>
      </c>
      <c r="J135" s="35">
        <v>2017</v>
      </c>
      <c r="K135" s="30" t="s">
        <v>24</v>
      </c>
      <c r="L135" s="30"/>
      <c r="M135" s="30" t="s">
        <v>950</v>
      </c>
      <c r="N135" s="20" t="s">
        <v>26</v>
      </c>
      <c r="O135" s="20" t="s">
        <v>27</v>
      </c>
      <c r="P135" s="21" t="s">
        <v>946</v>
      </c>
      <c r="Q135" s="26" t="s">
        <v>951</v>
      </c>
      <c r="R135" s="20" t="s">
        <v>952</v>
      </c>
      <c r="S135" s="20"/>
      <c r="T135" s="20" t="s">
        <v>6318</v>
      </c>
      <c r="U135" s="20"/>
      <c r="V135" s="20"/>
    </row>
    <row r="136" spans="1:22" ht="34">
      <c r="A136">
        <v>3</v>
      </c>
      <c r="B136" s="29" t="s">
        <v>953</v>
      </c>
      <c r="C136" s="12" t="s">
        <v>20</v>
      </c>
      <c r="D136" s="30" t="s">
        <v>954</v>
      </c>
      <c r="E136" s="31">
        <v>1150000</v>
      </c>
      <c r="F136" s="32">
        <f>Table2[[#This Row],[Price]]/Table2[[#This Row],[Tot Ht Area]]</f>
        <v>275.64717162032599</v>
      </c>
      <c r="G136" s="33">
        <v>4172</v>
      </c>
      <c r="H136" s="33">
        <v>4172</v>
      </c>
      <c r="I136" s="34" t="s">
        <v>955</v>
      </c>
      <c r="J136" s="35">
        <v>2017</v>
      </c>
      <c r="K136" s="30" t="s">
        <v>24</v>
      </c>
      <c r="L136" s="30"/>
      <c r="M136" s="30" t="s">
        <v>956</v>
      </c>
      <c r="N136" s="20" t="s">
        <v>26</v>
      </c>
      <c r="O136" s="20" t="s">
        <v>27</v>
      </c>
      <c r="P136" s="21" t="s">
        <v>957</v>
      </c>
      <c r="Q136" s="26" t="s">
        <v>958</v>
      </c>
      <c r="R136" s="20" t="s">
        <v>959</v>
      </c>
      <c r="S136" s="20"/>
      <c r="T136" s="20"/>
      <c r="U136" s="20"/>
      <c r="V136" s="20"/>
    </row>
    <row r="137" spans="1:22" ht="17">
      <c r="A137">
        <v>3</v>
      </c>
      <c r="B137" s="29" t="s">
        <v>960</v>
      </c>
      <c r="C137" s="12" t="s">
        <v>20</v>
      </c>
      <c r="D137" s="30" t="s">
        <v>260</v>
      </c>
      <c r="E137" s="31">
        <v>100</v>
      </c>
      <c r="F137" s="32">
        <f>Table2[[#This Row],[Price]]/Table2[[#This Row],[Tot Ht Area]]</f>
        <v>2.7533039647577091E-2</v>
      </c>
      <c r="G137" s="33">
        <v>3632</v>
      </c>
      <c r="H137" s="33">
        <v>3632</v>
      </c>
      <c r="I137" s="34" t="s">
        <v>961</v>
      </c>
      <c r="J137" s="35">
        <v>1996</v>
      </c>
      <c r="K137" s="30" t="s">
        <v>172</v>
      </c>
      <c r="L137" s="30"/>
      <c r="M137" s="30" t="s">
        <v>962</v>
      </c>
      <c r="N137" s="20" t="s">
        <v>26</v>
      </c>
      <c r="O137" s="20" t="s">
        <v>27</v>
      </c>
      <c r="P137" s="21" t="s">
        <v>963</v>
      </c>
      <c r="Q137" s="26" t="s">
        <v>964</v>
      </c>
      <c r="R137" s="26" t="s">
        <v>965</v>
      </c>
      <c r="S137" s="20"/>
      <c r="T137" s="20" t="s">
        <v>6318</v>
      </c>
      <c r="U137" s="20"/>
      <c r="V137" s="20"/>
    </row>
    <row r="138" spans="1:22" ht="17">
      <c r="A138">
        <v>3</v>
      </c>
      <c r="B138" s="29" t="s">
        <v>966</v>
      </c>
      <c r="C138" s="12" t="s">
        <v>20</v>
      </c>
      <c r="D138" s="30" t="s">
        <v>260</v>
      </c>
      <c r="E138" s="31">
        <v>100</v>
      </c>
      <c r="F138" s="32">
        <f>Table2[[#This Row],[Price]]/Table2[[#This Row],[Tot Ht Area]]</f>
        <v>2.7533039647577091E-2</v>
      </c>
      <c r="G138" s="33">
        <v>3632</v>
      </c>
      <c r="H138" s="33">
        <v>3685</v>
      </c>
      <c r="I138" s="34" t="s">
        <v>961</v>
      </c>
      <c r="J138" s="35">
        <v>2000</v>
      </c>
      <c r="K138" s="30" t="s">
        <v>172</v>
      </c>
      <c r="L138" s="30"/>
      <c r="M138" s="30" t="s">
        <v>967</v>
      </c>
      <c r="N138" s="20" t="s">
        <v>26</v>
      </c>
      <c r="O138" s="20" t="s">
        <v>27</v>
      </c>
      <c r="P138" s="21" t="s">
        <v>963</v>
      </c>
      <c r="Q138" s="20" t="s">
        <v>968</v>
      </c>
      <c r="R138" s="20" t="s">
        <v>969</v>
      </c>
      <c r="S138" s="20"/>
      <c r="T138" s="20" t="s">
        <v>6318</v>
      </c>
      <c r="U138" s="20"/>
      <c r="V138" s="20"/>
    </row>
    <row r="139" spans="1:22" ht="17">
      <c r="A139">
        <v>3</v>
      </c>
      <c r="B139" s="29" t="s">
        <v>970</v>
      </c>
      <c r="C139" s="12" t="s">
        <v>20</v>
      </c>
      <c r="D139" s="30" t="s">
        <v>260</v>
      </c>
      <c r="E139" s="31">
        <v>100</v>
      </c>
      <c r="F139" s="32">
        <f>Table2[[#This Row],[Price]]/Table2[[#This Row],[Tot Ht Area]]</f>
        <v>2.7196083763937992E-2</v>
      </c>
      <c r="G139" s="33">
        <v>3677</v>
      </c>
      <c r="H139" s="33">
        <v>3677</v>
      </c>
      <c r="I139" s="34" t="s">
        <v>961</v>
      </c>
      <c r="J139" s="35">
        <v>1997</v>
      </c>
      <c r="K139" s="30" t="s">
        <v>172</v>
      </c>
      <c r="L139" s="30"/>
      <c r="M139" s="30" t="s">
        <v>971</v>
      </c>
      <c r="N139" s="20" t="s">
        <v>26</v>
      </c>
      <c r="O139" s="20" t="s">
        <v>27</v>
      </c>
      <c r="P139" s="21" t="s">
        <v>972</v>
      </c>
      <c r="Q139" s="26" t="s">
        <v>973</v>
      </c>
      <c r="R139" s="26" t="s">
        <v>974</v>
      </c>
      <c r="S139" s="20"/>
      <c r="T139" s="20" t="s">
        <v>6318</v>
      </c>
      <c r="U139" s="20"/>
      <c r="V139" s="20"/>
    </row>
    <row r="140" spans="1:22" ht="32">
      <c r="A140">
        <v>3</v>
      </c>
      <c r="B140" s="29" t="s">
        <v>975</v>
      </c>
      <c r="C140" s="12" t="s">
        <v>20</v>
      </c>
      <c r="D140" s="30" t="s">
        <v>554</v>
      </c>
      <c r="E140" s="31">
        <v>1200000</v>
      </c>
      <c r="F140" s="32">
        <f>Table2[[#This Row],[Price]]/Table2[[#This Row],[Tot Ht Area]]</f>
        <v>266.96329254727476</v>
      </c>
      <c r="G140" s="33">
        <v>4495</v>
      </c>
      <c r="H140" s="33">
        <v>4495</v>
      </c>
      <c r="I140" s="34" t="s">
        <v>976</v>
      </c>
      <c r="J140" s="35">
        <v>2003</v>
      </c>
      <c r="K140" s="30" t="s">
        <v>172</v>
      </c>
      <c r="L140" s="30"/>
      <c r="M140" s="30" t="s">
        <v>977</v>
      </c>
      <c r="N140" s="20" t="s">
        <v>26</v>
      </c>
      <c r="O140" s="20" t="s">
        <v>27</v>
      </c>
      <c r="P140" s="21" t="s">
        <v>978</v>
      </c>
      <c r="Q140" s="26" t="s">
        <v>979</v>
      </c>
      <c r="R140" s="20" t="s">
        <v>980</v>
      </c>
      <c r="S140" s="20"/>
      <c r="T140" s="20"/>
      <c r="U140" s="20"/>
      <c r="V140" s="20"/>
    </row>
    <row r="141" spans="1:22" ht="34">
      <c r="A141">
        <v>3</v>
      </c>
      <c r="B141" s="29" t="s">
        <v>981</v>
      </c>
      <c r="C141" s="12" t="s">
        <v>20</v>
      </c>
      <c r="D141" s="30" t="s">
        <v>982</v>
      </c>
      <c r="E141" s="31">
        <v>100</v>
      </c>
      <c r="F141" s="32">
        <f>Table2[[#This Row],[Price]]/Table2[[#This Row],[Tot Ht Area]]</f>
        <v>3.2786885245901641E-2</v>
      </c>
      <c r="G141" s="33">
        <v>3050</v>
      </c>
      <c r="H141" s="33">
        <v>3050</v>
      </c>
      <c r="I141" s="34" t="s">
        <v>983</v>
      </c>
      <c r="J141" s="35">
        <v>2004</v>
      </c>
      <c r="K141" s="30" t="s">
        <v>172</v>
      </c>
      <c r="L141" s="30"/>
      <c r="M141" s="30" t="s">
        <v>984</v>
      </c>
      <c r="N141" s="20" t="s">
        <v>26</v>
      </c>
      <c r="O141" s="20" t="s">
        <v>27</v>
      </c>
      <c r="P141" s="21" t="s">
        <v>985</v>
      </c>
      <c r="Q141" s="26" t="s">
        <v>986</v>
      </c>
      <c r="R141" s="26" t="s">
        <v>987</v>
      </c>
      <c r="S141" s="20"/>
      <c r="T141" s="20" t="s">
        <v>6318</v>
      </c>
      <c r="U141" s="20"/>
      <c r="V141" s="20"/>
    </row>
    <row r="142" spans="1:22" ht="34">
      <c r="A142">
        <v>3</v>
      </c>
      <c r="B142" s="29" t="s">
        <v>988</v>
      </c>
      <c r="C142" s="12" t="s">
        <v>20</v>
      </c>
      <c r="D142" s="30" t="s">
        <v>436</v>
      </c>
      <c r="E142" s="31">
        <v>100</v>
      </c>
      <c r="F142" s="32">
        <f>Table2[[#This Row],[Price]]/Table2[[#This Row],[Tot Ht Area]]</f>
        <v>6.6409881790410411E-3</v>
      </c>
      <c r="G142" s="33">
        <v>15058</v>
      </c>
      <c r="H142" s="33">
        <v>15058</v>
      </c>
      <c r="I142" s="34" t="s">
        <v>989</v>
      </c>
      <c r="J142" s="35">
        <v>2007</v>
      </c>
      <c r="K142" s="30" t="s">
        <v>172</v>
      </c>
      <c r="L142" s="30"/>
      <c r="M142" s="30" t="s">
        <v>990</v>
      </c>
      <c r="N142" s="20" t="s">
        <v>26</v>
      </c>
      <c r="O142" s="20" t="s">
        <v>27</v>
      </c>
      <c r="P142" s="21" t="s">
        <v>991</v>
      </c>
      <c r="Q142" s="26" t="s">
        <v>992</v>
      </c>
      <c r="R142" s="26" t="s">
        <v>993</v>
      </c>
      <c r="S142" s="20"/>
      <c r="T142" s="20" t="s">
        <v>6318</v>
      </c>
      <c r="U142" s="20"/>
      <c r="V142" s="20"/>
    </row>
    <row r="143" spans="1:22" ht="32">
      <c r="A143">
        <v>3</v>
      </c>
      <c r="B143" s="29" t="s">
        <v>994</v>
      </c>
      <c r="C143" s="12" t="s">
        <v>20</v>
      </c>
      <c r="D143" s="30" t="s">
        <v>995</v>
      </c>
      <c r="E143" s="31">
        <v>1650000</v>
      </c>
      <c r="F143" s="32">
        <f>Table2[[#This Row],[Price]]/Table2[[#This Row],[Tot Ht Area]]</f>
        <v>402.046783625731</v>
      </c>
      <c r="G143" s="33">
        <v>4104</v>
      </c>
      <c r="H143" s="33">
        <v>4104</v>
      </c>
      <c r="I143" s="34" t="s">
        <v>996</v>
      </c>
      <c r="J143" s="35">
        <v>2006</v>
      </c>
      <c r="K143" s="30" t="s">
        <v>172</v>
      </c>
      <c r="L143" s="30"/>
      <c r="M143" s="30" t="s">
        <v>997</v>
      </c>
      <c r="N143" s="20" t="s">
        <v>26</v>
      </c>
      <c r="O143" s="20" t="s">
        <v>27</v>
      </c>
      <c r="P143" s="21" t="s">
        <v>998</v>
      </c>
      <c r="Q143" s="26" t="s">
        <v>999</v>
      </c>
      <c r="R143" s="26" t="s">
        <v>1000</v>
      </c>
      <c r="S143" s="20"/>
      <c r="T143" s="20"/>
      <c r="U143" s="20"/>
      <c r="V143" s="20"/>
    </row>
    <row r="144" spans="1:22" ht="17">
      <c r="A144">
        <v>3</v>
      </c>
      <c r="B144" s="29" t="s">
        <v>1001</v>
      </c>
      <c r="C144" s="12" t="s">
        <v>20</v>
      </c>
      <c r="D144" s="30" t="s">
        <v>407</v>
      </c>
      <c r="E144" s="31">
        <v>685000</v>
      </c>
      <c r="F144" s="32">
        <f>Table2[[#This Row],[Price]]/Table2[[#This Row],[Tot Ht Area]]</f>
        <v>152.22222222222223</v>
      </c>
      <c r="G144" s="33">
        <v>4500</v>
      </c>
      <c r="H144" s="33">
        <v>4094</v>
      </c>
      <c r="I144" s="34" t="s">
        <v>1002</v>
      </c>
      <c r="J144" s="35">
        <v>2023</v>
      </c>
      <c r="K144" s="30" t="s">
        <v>24</v>
      </c>
      <c r="L144" s="30"/>
      <c r="M144" s="30" t="s">
        <v>1003</v>
      </c>
      <c r="N144" s="20" t="s">
        <v>26</v>
      </c>
      <c r="O144" s="20" t="s">
        <v>27</v>
      </c>
      <c r="P144" s="21" t="s">
        <v>1004</v>
      </c>
      <c r="Q144" s="26" t="s">
        <v>1005</v>
      </c>
      <c r="R144" s="20" t="s">
        <v>1006</v>
      </c>
      <c r="S144" s="20"/>
      <c r="T144" s="20"/>
      <c r="U144" s="20"/>
      <c r="V144" s="20"/>
    </row>
    <row r="145" spans="1:22" ht="17">
      <c r="A145">
        <v>3</v>
      </c>
      <c r="B145" s="29" t="s">
        <v>1007</v>
      </c>
      <c r="C145" s="12" t="s">
        <v>20</v>
      </c>
      <c r="D145" s="30" t="s">
        <v>372</v>
      </c>
      <c r="E145" s="31">
        <v>742000</v>
      </c>
      <c r="F145" s="32">
        <f>Table2[[#This Row],[Price]]/Table2[[#This Row],[Tot Ht Area]]</f>
        <v>285.38461538461536</v>
      </c>
      <c r="G145" s="33">
        <v>2600</v>
      </c>
      <c r="H145" s="33">
        <v>2600</v>
      </c>
      <c r="I145" s="34" t="s">
        <v>1008</v>
      </c>
      <c r="J145" s="35">
        <v>2017</v>
      </c>
      <c r="K145" s="30" t="s">
        <v>172</v>
      </c>
      <c r="L145" s="30"/>
      <c r="M145" s="30" t="s">
        <v>1009</v>
      </c>
      <c r="N145" s="20" t="s">
        <v>26</v>
      </c>
      <c r="O145" s="20" t="s">
        <v>27</v>
      </c>
      <c r="P145" s="21" t="s">
        <v>1010</v>
      </c>
      <c r="Q145" s="26" t="s">
        <v>1011</v>
      </c>
      <c r="R145" s="20" t="s">
        <v>1012</v>
      </c>
      <c r="S145" s="20"/>
      <c r="T145" s="20"/>
      <c r="U145" s="20"/>
      <c r="V145" s="20"/>
    </row>
    <row r="146" spans="1:22" ht="34">
      <c r="A146">
        <v>3</v>
      </c>
      <c r="B146" s="29" t="s">
        <v>1013</v>
      </c>
      <c r="C146" s="12" t="s">
        <v>20</v>
      </c>
      <c r="D146" s="30" t="s">
        <v>293</v>
      </c>
      <c r="E146" s="31">
        <v>3889000</v>
      </c>
      <c r="F146" s="32">
        <f>Table2[[#This Row],[Price]]/Table2[[#This Row],[Tot Ht Area]]</f>
        <v>136.42741878902686</v>
      </c>
      <c r="G146" s="33">
        <v>28506</v>
      </c>
      <c r="H146" s="33">
        <v>28506</v>
      </c>
      <c r="I146" s="34" t="s">
        <v>1014</v>
      </c>
      <c r="J146" s="35">
        <v>2024</v>
      </c>
      <c r="K146" s="30" t="s">
        <v>1015</v>
      </c>
      <c r="L146" s="30"/>
      <c r="M146" s="30" t="s">
        <v>1016</v>
      </c>
      <c r="N146" s="20" t="s">
        <v>6212</v>
      </c>
      <c r="O146" s="20" t="s">
        <v>27</v>
      </c>
      <c r="P146" s="21" t="s">
        <v>6206</v>
      </c>
      <c r="Q146" s="20" t="s">
        <v>1017</v>
      </c>
      <c r="R146" s="20" t="s">
        <v>1018</v>
      </c>
      <c r="S146" s="20"/>
      <c r="T146" s="20" t="s">
        <v>6318</v>
      </c>
      <c r="U146" s="20" t="s">
        <v>6527</v>
      </c>
      <c r="V146" s="20" t="s">
        <v>6559</v>
      </c>
    </row>
    <row r="147" spans="1:22" ht="17">
      <c r="A147">
        <v>3</v>
      </c>
      <c r="B147" s="29" t="s">
        <v>1019</v>
      </c>
      <c r="C147" s="12" t="s">
        <v>20</v>
      </c>
      <c r="D147" s="30" t="s">
        <v>124</v>
      </c>
      <c r="E147" s="31">
        <v>625000</v>
      </c>
      <c r="F147" s="32">
        <f>Table2[[#This Row],[Price]]/Table2[[#This Row],[Tot Ht Area]]</f>
        <v>231.56724712856612</v>
      </c>
      <c r="G147" s="33">
        <v>2699</v>
      </c>
      <c r="H147" s="33">
        <v>2699</v>
      </c>
      <c r="I147" s="34" t="s">
        <v>1020</v>
      </c>
      <c r="J147" s="35">
        <v>1989</v>
      </c>
      <c r="K147" s="30" t="s">
        <v>172</v>
      </c>
      <c r="L147" s="30"/>
      <c r="M147" s="30" t="s">
        <v>1021</v>
      </c>
      <c r="N147" s="20" t="s">
        <v>26</v>
      </c>
      <c r="O147" s="20" t="s">
        <v>27</v>
      </c>
      <c r="P147" s="21" t="s">
        <v>1022</v>
      </c>
      <c r="Q147" s="26" t="s">
        <v>1023</v>
      </c>
      <c r="R147" s="20" t="s">
        <v>1024</v>
      </c>
      <c r="S147" s="20"/>
      <c r="T147" s="20"/>
      <c r="U147" s="20"/>
      <c r="V147" s="20"/>
    </row>
    <row r="148" spans="1:22" ht="34">
      <c r="A148">
        <v>3</v>
      </c>
      <c r="B148" s="29" t="s">
        <v>1025</v>
      </c>
      <c r="C148" s="12" t="s">
        <v>20</v>
      </c>
      <c r="D148" s="30" t="s">
        <v>307</v>
      </c>
      <c r="E148" s="31">
        <v>535200</v>
      </c>
      <c r="F148" s="32">
        <f>Table2[[#This Row],[Price]]/Table2[[#This Row],[Tot Ht Area]]</f>
        <v>227.06830717013153</v>
      </c>
      <c r="G148" s="33">
        <v>2357</v>
      </c>
      <c r="H148" s="33">
        <v>2357</v>
      </c>
      <c r="I148" s="34" t="s">
        <v>1026</v>
      </c>
      <c r="J148" s="35">
        <v>1989</v>
      </c>
      <c r="K148" s="30" t="s">
        <v>172</v>
      </c>
      <c r="L148" s="30"/>
      <c r="M148" s="30" t="s">
        <v>1027</v>
      </c>
      <c r="N148" s="20" t="s">
        <v>26</v>
      </c>
      <c r="O148" s="20" t="s">
        <v>27</v>
      </c>
      <c r="P148" s="21" t="s">
        <v>1028</v>
      </c>
      <c r="Q148" s="26" t="s">
        <v>1029</v>
      </c>
      <c r="R148" s="20" t="s">
        <v>1030</v>
      </c>
      <c r="S148" s="20"/>
      <c r="T148" s="20"/>
      <c r="U148" s="20"/>
      <c r="V148" s="20"/>
    </row>
    <row r="149" spans="1:22" ht="34">
      <c r="A149">
        <v>3</v>
      </c>
      <c r="B149" s="29" t="s">
        <v>1031</v>
      </c>
      <c r="C149" s="12" t="s">
        <v>20</v>
      </c>
      <c r="D149" s="30" t="s">
        <v>276</v>
      </c>
      <c r="E149" s="31">
        <v>780000</v>
      </c>
      <c r="F149" s="32">
        <f>Table2[[#This Row],[Price]]/Table2[[#This Row],[Tot Ht Area]]</f>
        <v>296.01518026565464</v>
      </c>
      <c r="G149" s="33">
        <v>2635</v>
      </c>
      <c r="H149" s="33">
        <v>2635</v>
      </c>
      <c r="I149" s="34" t="s">
        <v>1032</v>
      </c>
      <c r="J149" s="35">
        <v>1989</v>
      </c>
      <c r="K149" s="30" t="s">
        <v>172</v>
      </c>
      <c r="L149" s="30"/>
      <c r="M149" s="30" t="s">
        <v>1033</v>
      </c>
      <c r="N149" s="20" t="s">
        <v>26</v>
      </c>
      <c r="O149" s="20" t="s">
        <v>27</v>
      </c>
      <c r="P149" s="21" t="s">
        <v>1034</v>
      </c>
      <c r="Q149" s="26" t="s">
        <v>1035</v>
      </c>
      <c r="R149" s="26" t="s">
        <v>1036</v>
      </c>
      <c r="S149" s="20"/>
      <c r="T149" s="20"/>
      <c r="U149" s="20"/>
      <c r="V149" s="20"/>
    </row>
    <row r="150" spans="1:22" ht="34">
      <c r="A150">
        <v>3</v>
      </c>
      <c r="B150" s="29" t="s">
        <v>1037</v>
      </c>
      <c r="C150" s="12" t="s">
        <v>20</v>
      </c>
      <c r="D150" s="30" t="s">
        <v>591</v>
      </c>
      <c r="E150" s="31">
        <v>350000</v>
      </c>
      <c r="F150" s="32">
        <f>Table2[[#This Row],[Price]]/Table2[[#This Row],[Tot Ht Area]]</f>
        <v>171.82130584192439</v>
      </c>
      <c r="G150" s="33">
        <v>2037</v>
      </c>
      <c r="H150" s="33">
        <v>2037</v>
      </c>
      <c r="I150" s="34" t="s">
        <v>1038</v>
      </c>
      <c r="J150" s="35">
        <v>1989</v>
      </c>
      <c r="K150" s="30" t="s">
        <v>172</v>
      </c>
      <c r="L150" s="30"/>
      <c r="M150" s="30" t="s">
        <v>1039</v>
      </c>
      <c r="N150" s="20" t="s">
        <v>26</v>
      </c>
      <c r="O150" s="20" t="s">
        <v>27</v>
      </c>
      <c r="P150" s="21" t="s">
        <v>6419</v>
      </c>
      <c r="Q150" s="26" t="s">
        <v>1041</v>
      </c>
      <c r="R150" s="20" t="s">
        <v>1042</v>
      </c>
      <c r="S150" s="20"/>
      <c r="T150" s="20"/>
      <c r="U150" s="20"/>
      <c r="V150" s="20"/>
    </row>
    <row r="151" spans="1:22" ht="17">
      <c r="A151">
        <v>3</v>
      </c>
      <c r="B151" s="29" t="s">
        <v>1043</v>
      </c>
      <c r="C151" s="12" t="s">
        <v>20</v>
      </c>
      <c r="D151" s="30" t="s">
        <v>253</v>
      </c>
      <c r="E151" s="31">
        <v>4100000</v>
      </c>
      <c r="F151" s="32">
        <f>Table2[[#This Row],[Price]]/Table2[[#This Row],[Tot Ht Area]]</f>
        <v>227.77777777777777</v>
      </c>
      <c r="G151" s="33">
        <v>18000</v>
      </c>
      <c r="H151" s="33">
        <v>18000</v>
      </c>
      <c r="I151" s="34" t="s">
        <v>1044</v>
      </c>
      <c r="J151" s="35">
        <v>1997</v>
      </c>
      <c r="K151" s="30" t="s">
        <v>24</v>
      </c>
      <c r="L151" s="30"/>
      <c r="M151" s="30" t="s">
        <v>1045</v>
      </c>
      <c r="N151" s="20" t="s">
        <v>26</v>
      </c>
      <c r="O151" s="20" t="s">
        <v>27</v>
      </c>
      <c r="P151" s="21" t="s">
        <v>6431</v>
      </c>
      <c r="Q151" s="26" t="s">
        <v>1047</v>
      </c>
      <c r="R151" s="20" t="s">
        <v>1048</v>
      </c>
      <c r="S151" s="20"/>
      <c r="T151" s="20"/>
      <c r="U151" s="20"/>
      <c r="V151" s="20"/>
    </row>
    <row r="152" spans="1:22" ht="17">
      <c r="A152">
        <v>3</v>
      </c>
      <c r="B152" s="29" t="s">
        <v>1049</v>
      </c>
      <c r="C152" s="12" t="s">
        <v>20</v>
      </c>
      <c r="D152" s="30" t="s">
        <v>792</v>
      </c>
      <c r="E152" s="31">
        <v>725000</v>
      </c>
      <c r="F152" s="32">
        <f>Table2[[#This Row],[Price]]/Table2[[#This Row],[Tot Ht Area]]</f>
        <v>241.66666666666666</v>
      </c>
      <c r="G152" s="33">
        <v>3000</v>
      </c>
      <c r="H152" s="33">
        <v>3000</v>
      </c>
      <c r="I152" s="34" t="s">
        <v>1050</v>
      </c>
      <c r="J152" s="35">
        <v>1999</v>
      </c>
      <c r="K152" s="30" t="s">
        <v>24</v>
      </c>
      <c r="L152" s="30"/>
      <c r="M152" s="30" t="s">
        <v>1051</v>
      </c>
      <c r="N152" s="20" t="s">
        <v>26</v>
      </c>
      <c r="O152" s="20" t="s">
        <v>27</v>
      </c>
      <c r="P152" s="21" t="s">
        <v>1052</v>
      </c>
      <c r="Q152" s="26" t="s">
        <v>1053</v>
      </c>
      <c r="R152" s="26" t="s">
        <v>1054</v>
      </c>
      <c r="S152" s="20"/>
      <c r="T152" s="20"/>
      <c r="U152" s="20"/>
      <c r="V152" s="20"/>
    </row>
    <row r="153" spans="1:22" ht="34">
      <c r="A153">
        <v>3</v>
      </c>
      <c r="B153" s="11" t="s">
        <v>1055</v>
      </c>
      <c r="C153" s="12" t="s">
        <v>184</v>
      </c>
      <c r="D153" s="13" t="s">
        <v>450</v>
      </c>
      <c r="E153" s="24">
        <v>810000</v>
      </c>
      <c r="F153" s="25">
        <f>Table2[[#This Row],[Price]]/Table2[[#This Row],[Tot Ht Area]]</f>
        <v>322.96650717703352</v>
      </c>
      <c r="G153" s="16">
        <v>2508</v>
      </c>
      <c r="H153" s="16">
        <v>2603</v>
      </c>
      <c r="I153" s="17" t="s">
        <v>1056</v>
      </c>
      <c r="J153" s="18" t="s">
        <v>1057</v>
      </c>
      <c r="K153" s="19" t="s">
        <v>48</v>
      </c>
      <c r="L153" s="19"/>
      <c r="M153" s="19" t="s">
        <v>1058</v>
      </c>
      <c r="N153" s="20" t="s">
        <v>26</v>
      </c>
      <c r="O153" s="20" t="s">
        <v>27</v>
      </c>
      <c r="P153" s="21" t="s">
        <v>1059</v>
      </c>
      <c r="Q153" s="26" t="s">
        <v>1060</v>
      </c>
      <c r="R153" s="26" t="s">
        <v>1061</v>
      </c>
      <c r="S153" s="20"/>
      <c r="T153" s="20"/>
      <c r="U153" s="20"/>
      <c r="V153" s="20"/>
    </row>
    <row r="154" spans="1:22" ht="34">
      <c r="A154">
        <v>3</v>
      </c>
      <c r="B154" s="11" t="s">
        <v>1062</v>
      </c>
      <c r="C154" s="12" t="s">
        <v>184</v>
      </c>
      <c r="D154" s="13" t="s">
        <v>436</v>
      </c>
      <c r="E154" s="24">
        <v>100</v>
      </c>
      <c r="F154" s="25">
        <f>Table2[[#This Row],[Price]]/Table2[[#This Row],[Tot Ht Area]]</f>
        <v>1.5309246785058175E-2</v>
      </c>
      <c r="G154" s="16">
        <v>6532</v>
      </c>
      <c r="H154" s="16">
        <v>6532</v>
      </c>
      <c r="I154" s="17" t="s">
        <v>1063</v>
      </c>
      <c r="J154" s="18" t="s">
        <v>422</v>
      </c>
      <c r="K154" s="19" t="s">
        <v>48</v>
      </c>
      <c r="L154" s="19"/>
      <c r="M154" s="19" t="s">
        <v>1064</v>
      </c>
      <c r="N154" s="20" t="s">
        <v>26</v>
      </c>
      <c r="O154" s="20" t="s">
        <v>27</v>
      </c>
      <c r="P154" s="21" t="s">
        <v>1065</v>
      </c>
      <c r="Q154" s="26" t="s">
        <v>1066</v>
      </c>
      <c r="R154" s="26" t="s">
        <v>1067</v>
      </c>
      <c r="S154" s="20"/>
      <c r="T154" s="20" t="s">
        <v>6318</v>
      </c>
      <c r="U154" s="20"/>
      <c r="V154" s="20"/>
    </row>
    <row r="155" spans="1:22" ht="17">
      <c r="A155">
        <v>3</v>
      </c>
      <c r="B155" s="11" t="s">
        <v>1068</v>
      </c>
      <c r="C155" s="12" t="s">
        <v>184</v>
      </c>
      <c r="D155" s="13" t="s">
        <v>34</v>
      </c>
      <c r="E155" s="24">
        <v>100</v>
      </c>
      <c r="F155" s="25">
        <f>Table2[[#This Row],[Price]]/Table2[[#This Row],[Tot Ht Area]]</f>
        <v>1.8014772113132769E-2</v>
      </c>
      <c r="G155" s="16">
        <v>5551</v>
      </c>
      <c r="H155" s="16">
        <v>5975</v>
      </c>
      <c r="I155" s="17" t="s">
        <v>1069</v>
      </c>
      <c r="J155" s="18" t="s">
        <v>566</v>
      </c>
      <c r="K155" s="19" t="s">
        <v>48</v>
      </c>
      <c r="L155" s="19"/>
      <c r="M155" s="19" t="s">
        <v>1070</v>
      </c>
      <c r="N155" s="20" t="s">
        <v>26</v>
      </c>
      <c r="O155" s="20" t="s">
        <v>27</v>
      </c>
      <c r="P155" s="21" t="s">
        <v>1071</v>
      </c>
      <c r="Q155" s="26" t="s">
        <v>1072</v>
      </c>
      <c r="R155" s="26" t="s">
        <v>1073</v>
      </c>
      <c r="S155" s="20"/>
      <c r="T155" s="20" t="s">
        <v>6318</v>
      </c>
      <c r="U155" s="20"/>
      <c r="V155" s="20"/>
    </row>
    <row r="156" spans="1:22" ht="34">
      <c r="A156">
        <v>3</v>
      </c>
      <c r="B156" s="11" t="s">
        <v>1074</v>
      </c>
      <c r="C156" s="12" t="s">
        <v>184</v>
      </c>
      <c r="D156" s="13" t="s">
        <v>223</v>
      </c>
      <c r="E156" s="24">
        <v>620000</v>
      </c>
      <c r="F156" s="25">
        <f>Table2[[#This Row],[Price]]/Table2[[#This Row],[Tot Ht Area]]</f>
        <v>238.55328972681801</v>
      </c>
      <c r="G156" s="16">
        <v>2599</v>
      </c>
      <c r="H156" s="16">
        <v>2599</v>
      </c>
      <c r="I156" s="17" t="s">
        <v>1075</v>
      </c>
      <c r="J156" s="18" t="s">
        <v>422</v>
      </c>
      <c r="K156" s="19" t="s">
        <v>48</v>
      </c>
      <c r="L156" s="19"/>
      <c r="M156" s="19" t="s">
        <v>1076</v>
      </c>
      <c r="N156" s="20" t="s">
        <v>26</v>
      </c>
      <c r="O156" s="20" t="s">
        <v>27</v>
      </c>
      <c r="P156" s="21" t="s">
        <v>1077</v>
      </c>
      <c r="Q156" s="26" t="s">
        <v>1078</v>
      </c>
      <c r="R156" s="20" t="s">
        <v>1079</v>
      </c>
      <c r="S156" s="20"/>
      <c r="T156" s="20"/>
      <c r="U156" s="20"/>
      <c r="V156" s="20"/>
    </row>
    <row r="157" spans="1:22" ht="34">
      <c r="A157">
        <v>3</v>
      </c>
      <c r="B157" s="11" t="s">
        <v>1080</v>
      </c>
      <c r="C157" s="12" t="s">
        <v>184</v>
      </c>
      <c r="D157" s="13" t="s">
        <v>34</v>
      </c>
      <c r="E157" s="24">
        <v>525000</v>
      </c>
      <c r="F157" s="25">
        <f>Table2[[#This Row],[Price]]/Table2[[#This Row],[Tot Ht Area]]</f>
        <v>243.05555555555554</v>
      </c>
      <c r="G157" s="16">
        <v>2160</v>
      </c>
      <c r="H157" s="16">
        <v>2300</v>
      </c>
      <c r="I157" s="17" t="s">
        <v>1075</v>
      </c>
      <c r="J157" s="18" t="s">
        <v>548</v>
      </c>
      <c r="K157" s="19" t="s">
        <v>37</v>
      </c>
      <c r="L157" s="19"/>
      <c r="M157" s="19" t="s">
        <v>1081</v>
      </c>
      <c r="N157" s="20" t="s">
        <v>26</v>
      </c>
      <c r="O157" s="20" t="s">
        <v>27</v>
      </c>
      <c r="P157" s="21" t="s">
        <v>1082</v>
      </c>
      <c r="Q157" s="20" t="s">
        <v>1078</v>
      </c>
      <c r="R157" s="20" t="s">
        <v>1083</v>
      </c>
      <c r="S157" s="20"/>
      <c r="T157" s="20"/>
      <c r="U157" s="20"/>
      <c r="V157" s="20"/>
    </row>
    <row r="158" spans="1:22" ht="34">
      <c r="A158">
        <v>3</v>
      </c>
      <c r="B158" s="11" t="s">
        <v>1084</v>
      </c>
      <c r="C158" s="12" t="s">
        <v>184</v>
      </c>
      <c r="D158" s="13" t="s">
        <v>231</v>
      </c>
      <c r="E158" s="24">
        <v>1100000</v>
      </c>
      <c r="F158" s="25">
        <f>Table2[[#This Row],[Price]]/Table2[[#This Row],[Tot Ht Area]]</f>
        <v>269.60784313725492</v>
      </c>
      <c r="G158" s="16">
        <v>4080</v>
      </c>
      <c r="H158" s="16">
        <v>4556</v>
      </c>
      <c r="I158" s="17" t="s">
        <v>1085</v>
      </c>
      <c r="J158" s="18" t="s">
        <v>83</v>
      </c>
      <c r="K158" s="19" t="s">
        <v>48</v>
      </c>
      <c r="L158" s="19"/>
      <c r="M158" s="19" t="s">
        <v>1086</v>
      </c>
      <c r="N158" s="20" t="s">
        <v>26</v>
      </c>
      <c r="O158" s="20" t="s">
        <v>27</v>
      </c>
      <c r="P158" s="21" t="s">
        <v>1087</v>
      </c>
      <c r="Q158" s="26" t="s">
        <v>1088</v>
      </c>
      <c r="R158" s="20" t="s">
        <v>1089</v>
      </c>
      <c r="S158" s="20"/>
      <c r="T158" s="20"/>
      <c r="U158" s="20"/>
      <c r="V158" s="20"/>
    </row>
    <row r="159" spans="1:22" ht="34">
      <c r="A159">
        <v>3</v>
      </c>
      <c r="B159" s="11" t="s">
        <v>1090</v>
      </c>
      <c r="C159" s="12" t="s">
        <v>184</v>
      </c>
      <c r="D159" s="13" t="s">
        <v>925</v>
      </c>
      <c r="E159" s="24">
        <v>417500</v>
      </c>
      <c r="F159" s="25">
        <f>Table2[[#This Row],[Price]]/Table2[[#This Row],[Tot Ht Area]]</f>
        <v>224.94612068965517</v>
      </c>
      <c r="G159" s="16">
        <v>1856</v>
      </c>
      <c r="H159" s="16">
        <v>2200</v>
      </c>
      <c r="I159" s="17" t="s">
        <v>1091</v>
      </c>
      <c r="J159" s="18" t="s">
        <v>75</v>
      </c>
      <c r="K159" s="19" t="s">
        <v>37</v>
      </c>
      <c r="L159" s="19"/>
      <c r="M159" s="19" t="s">
        <v>1092</v>
      </c>
      <c r="N159" s="20" t="s">
        <v>26</v>
      </c>
      <c r="O159" s="20" t="s">
        <v>27</v>
      </c>
      <c r="P159" s="21" t="s">
        <v>1093</v>
      </c>
      <c r="Q159" s="26" t="s">
        <v>1094</v>
      </c>
      <c r="R159" s="26" t="s">
        <v>1095</v>
      </c>
      <c r="S159" s="20"/>
      <c r="T159" s="20"/>
      <c r="U159" s="20"/>
      <c r="V159" s="20"/>
    </row>
    <row r="160" spans="1:22" ht="17">
      <c r="A160">
        <v>3</v>
      </c>
      <c r="B160" s="11" t="s">
        <v>1096</v>
      </c>
      <c r="C160" s="12" t="s">
        <v>184</v>
      </c>
      <c r="D160" s="13" t="s">
        <v>474</v>
      </c>
      <c r="E160" s="24">
        <v>650000</v>
      </c>
      <c r="F160" s="25">
        <f>Table2[[#This Row],[Price]]/Table2[[#This Row],[Tot Ht Area]]</f>
        <v>135.41666666666666</v>
      </c>
      <c r="G160" s="16">
        <v>4800</v>
      </c>
      <c r="H160" s="16">
        <v>4832</v>
      </c>
      <c r="I160" s="17" t="s">
        <v>1097</v>
      </c>
      <c r="J160" s="18" t="s">
        <v>66</v>
      </c>
      <c r="K160" s="19" t="s">
        <v>101</v>
      </c>
      <c r="L160" s="19"/>
      <c r="M160" s="19" t="s">
        <v>1098</v>
      </c>
      <c r="N160" s="20" t="s">
        <v>26</v>
      </c>
      <c r="O160" s="20" t="s">
        <v>27</v>
      </c>
      <c r="P160" s="21" t="s">
        <v>1099</v>
      </c>
      <c r="Q160" s="26" t="s">
        <v>1100</v>
      </c>
      <c r="R160" s="20" t="s">
        <v>1101</v>
      </c>
      <c r="S160" s="20"/>
      <c r="T160" s="20"/>
      <c r="U160" s="20"/>
      <c r="V160" s="20"/>
    </row>
    <row r="161" spans="1:22" ht="34">
      <c r="A161">
        <v>3</v>
      </c>
      <c r="B161" s="11" t="s">
        <v>1102</v>
      </c>
      <c r="C161" s="12" t="s">
        <v>184</v>
      </c>
      <c r="D161" s="13" t="s">
        <v>995</v>
      </c>
      <c r="E161" s="24"/>
      <c r="F161" s="25">
        <f>Table2[[#This Row],[Price]]/Table2[[#This Row],[Tot Ht Area]]</f>
        <v>0</v>
      </c>
      <c r="G161" s="16">
        <v>6332</v>
      </c>
      <c r="H161" s="16">
        <v>7746</v>
      </c>
      <c r="I161" s="17" t="s">
        <v>1103</v>
      </c>
      <c r="J161" s="18" t="s">
        <v>627</v>
      </c>
      <c r="K161" s="19" t="s">
        <v>37</v>
      </c>
      <c r="L161" s="19"/>
      <c r="M161" s="19" t="s">
        <v>1104</v>
      </c>
      <c r="N161" s="20" t="s">
        <v>26</v>
      </c>
      <c r="O161" s="20" t="s">
        <v>27</v>
      </c>
      <c r="P161" s="21" t="s">
        <v>1105</v>
      </c>
      <c r="Q161" s="26" t="s">
        <v>1106</v>
      </c>
      <c r="R161" s="26" t="s">
        <v>1107</v>
      </c>
      <c r="S161" s="20"/>
      <c r="T161" s="20"/>
      <c r="U161" s="20"/>
      <c r="V161" s="20"/>
    </row>
    <row r="162" spans="1:22" ht="17">
      <c r="A162">
        <v>3</v>
      </c>
      <c r="B162" s="11" t="s">
        <v>1108</v>
      </c>
      <c r="C162" s="12" t="s">
        <v>184</v>
      </c>
      <c r="D162" s="13" t="s">
        <v>407</v>
      </c>
      <c r="E162" s="24">
        <v>475000</v>
      </c>
      <c r="F162" s="25">
        <f>Table2[[#This Row],[Price]]/Table2[[#This Row],[Tot Ht Area]]</f>
        <v>193.08943089430895</v>
      </c>
      <c r="G162" s="16">
        <v>2460</v>
      </c>
      <c r="H162" s="16">
        <v>2915</v>
      </c>
      <c r="I162" s="17" t="s">
        <v>1109</v>
      </c>
      <c r="J162" s="18" t="s">
        <v>542</v>
      </c>
      <c r="K162" s="19" t="s">
        <v>37</v>
      </c>
      <c r="L162" s="19"/>
      <c r="M162" s="19" t="s">
        <v>1110</v>
      </c>
      <c r="N162" s="20" t="s">
        <v>26</v>
      </c>
      <c r="O162" s="20" t="s">
        <v>27</v>
      </c>
      <c r="P162" s="21" t="s">
        <v>1111</v>
      </c>
      <c r="Q162" s="26" t="s">
        <v>1112</v>
      </c>
      <c r="R162" s="26" t="s">
        <v>1113</v>
      </c>
      <c r="S162" s="20"/>
      <c r="T162" s="20"/>
      <c r="U162" s="20"/>
      <c r="V162" s="20"/>
    </row>
    <row r="163" spans="1:22" ht="17">
      <c r="A163">
        <v>3</v>
      </c>
      <c r="B163" s="11" t="s">
        <v>1114</v>
      </c>
      <c r="C163" s="12" t="s">
        <v>184</v>
      </c>
      <c r="D163" s="13" t="s">
        <v>90</v>
      </c>
      <c r="E163" s="14">
        <v>5272900</v>
      </c>
      <c r="F163" s="15">
        <f>Table2[[#This Row],[Price]]/Table2[[#This Row],[Tot Ht Area]]</f>
        <v>263.64499999999998</v>
      </c>
      <c r="G163" s="16">
        <v>20000</v>
      </c>
      <c r="H163" s="16">
        <v>20866</v>
      </c>
      <c r="I163" s="17" t="s">
        <v>1115</v>
      </c>
      <c r="J163" s="18" t="s">
        <v>1116</v>
      </c>
      <c r="K163" s="19" t="s">
        <v>48</v>
      </c>
      <c r="L163" s="19"/>
      <c r="M163" s="19" t="s">
        <v>1117</v>
      </c>
      <c r="N163" s="20" t="s">
        <v>1519</v>
      </c>
      <c r="O163" s="20" t="s">
        <v>27</v>
      </c>
      <c r="P163" s="21" t="s">
        <v>706</v>
      </c>
      <c r="Q163" s="22" t="s">
        <v>1118</v>
      </c>
      <c r="R163" s="22" t="s">
        <v>1119</v>
      </c>
      <c r="S163" s="20"/>
      <c r="T163" s="20"/>
      <c r="U163" s="20"/>
      <c r="V163" s="20"/>
    </row>
    <row r="164" spans="1:22" ht="17">
      <c r="A164">
        <v>3</v>
      </c>
      <c r="B164" s="11" t="s">
        <v>1120</v>
      </c>
      <c r="C164" s="12" t="s">
        <v>184</v>
      </c>
      <c r="D164" s="13" t="s">
        <v>407</v>
      </c>
      <c r="E164" s="24">
        <v>390000</v>
      </c>
      <c r="F164" s="25">
        <f>Table2[[#This Row],[Price]]/Table2[[#This Row],[Tot Ht Area]]</f>
        <v>106.73234811165845</v>
      </c>
      <c r="G164" s="16">
        <v>3654</v>
      </c>
      <c r="H164" s="16">
        <v>4134</v>
      </c>
      <c r="I164" s="17" t="s">
        <v>1121</v>
      </c>
      <c r="J164" s="18" t="s">
        <v>135</v>
      </c>
      <c r="K164" s="19" t="s">
        <v>48</v>
      </c>
      <c r="L164" s="19"/>
      <c r="M164" s="19" t="s">
        <v>1122</v>
      </c>
      <c r="N164" s="20" t="s">
        <v>26</v>
      </c>
      <c r="O164" s="20" t="s">
        <v>27</v>
      </c>
      <c r="P164" s="21" t="s">
        <v>6420</v>
      </c>
      <c r="Q164" s="26" t="s">
        <v>1124</v>
      </c>
      <c r="R164" s="20" t="s">
        <v>1125</v>
      </c>
      <c r="S164" s="20"/>
      <c r="T164" s="20"/>
      <c r="U164" s="20"/>
      <c r="V164" s="20"/>
    </row>
    <row r="165" spans="1:22" ht="34">
      <c r="A165">
        <v>3</v>
      </c>
      <c r="B165" s="11" t="s">
        <v>1126</v>
      </c>
      <c r="C165" s="12" t="s">
        <v>184</v>
      </c>
      <c r="D165" s="13" t="s">
        <v>954</v>
      </c>
      <c r="E165" s="24">
        <v>100</v>
      </c>
      <c r="F165" s="25">
        <f>Table2[[#This Row],[Price]]/Table2[[#This Row],[Tot Ht Area]]</f>
        <v>2.9638411381149969E-2</v>
      </c>
      <c r="G165" s="16">
        <v>3374</v>
      </c>
      <c r="H165" s="16">
        <v>3590</v>
      </c>
      <c r="I165" s="17" t="s">
        <v>1127</v>
      </c>
      <c r="J165" s="18" t="s">
        <v>646</v>
      </c>
      <c r="K165" s="19" t="s">
        <v>48</v>
      </c>
      <c r="L165" s="19"/>
      <c r="M165" s="19" t="s">
        <v>1128</v>
      </c>
      <c r="N165" s="20" t="s">
        <v>26</v>
      </c>
      <c r="O165" s="20" t="s">
        <v>27</v>
      </c>
      <c r="P165" s="21" t="s">
        <v>6602</v>
      </c>
      <c r="Q165" s="26" t="s">
        <v>1129</v>
      </c>
      <c r="R165" s="20" t="s">
        <v>1130</v>
      </c>
      <c r="S165" s="20"/>
      <c r="T165" s="20" t="s">
        <v>6318</v>
      </c>
      <c r="U165" s="20"/>
      <c r="V165" s="20"/>
    </row>
    <row r="166" spans="1:22" ht="34">
      <c r="A166">
        <v>3</v>
      </c>
      <c r="B166" s="11" t="s">
        <v>1131</v>
      </c>
      <c r="C166" s="12" t="s">
        <v>184</v>
      </c>
      <c r="D166" s="13" t="s">
        <v>293</v>
      </c>
      <c r="E166" s="24">
        <v>750000</v>
      </c>
      <c r="F166" s="25">
        <f>Table2[[#This Row],[Price]]/Table2[[#This Row],[Tot Ht Area]]</f>
        <v>157.72870662460568</v>
      </c>
      <c r="G166" s="16">
        <v>4755</v>
      </c>
      <c r="H166" s="16">
        <v>4952</v>
      </c>
      <c r="I166" s="17" t="s">
        <v>1132</v>
      </c>
      <c r="J166" s="18" t="s">
        <v>379</v>
      </c>
      <c r="K166" s="19" t="s">
        <v>48</v>
      </c>
      <c r="L166" s="19"/>
      <c r="M166" s="19" t="s">
        <v>1133</v>
      </c>
      <c r="N166" s="20" t="s">
        <v>26</v>
      </c>
      <c r="O166" s="20" t="s">
        <v>27</v>
      </c>
      <c r="P166" s="21" t="s">
        <v>26</v>
      </c>
      <c r="Q166" s="26" t="s">
        <v>1134</v>
      </c>
      <c r="R166" s="26" t="s">
        <v>1135</v>
      </c>
      <c r="S166" s="20"/>
      <c r="T166" s="20"/>
      <c r="U166" s="20"/>
      <c r="V166" s="20"/>
    </row>
    <row r="167" spans="1:22" ht="17">
      <c r="A167">
        <v>3</v>
      </c>
      <c r="B167" s="11" t="s">
        <v>1136</v>
      </c>
      <c r="C167" s="12" t="s">
        <v>184</v>
      </c>
      <c r="D167" s="13" t="s">
        <v>925</v>
      </c>
      <c r="E167" s="24">
        <v>545000</v>
      </c>
      <c r="F167" s="25">
        <f>Table2[[#This Row],[Price]]/Table2[[#This Row],[Tot Ht Area]]</f>
        <v>72.860962566844918</v>
      </c>
      <c r="G167" s="16">
        <v>7480</v>
      </c>
      <c r="H167" s="16">
        <v>7480</v>
      </c>
      <c r="I167" s="17" t="s">
        <v>1137</v>
      </c>
      <c r="J167" s="18" t="s">
        <v>1138</v>
      </c>
      <c r="K167" s="19" t="s">
        <v>48</v>
      </c>
      <c r="L167" s="19"/>
      <c r="M167" s="19" t="s">
        <v>1139</v>
      </c>
      <c r="N167" s="20" t="s">
        <v>26</v>
      </c>
      <c r="O167" s="20" t="s">
        <v>27</v>
      </c>
      <c r="P167" s="21" t="s">
        <v>6366</v>
      </c>
      <c r="Q167" s="26" t="s">
        <v>1141</v>
      </c>
      <c r="R167" s="20" t="s">
        <v>1142</v>
      </c>
      <c r="S167" s="20"/>
      <c r="T167" s="20" t="s">
        <v>6318</v>
      </c>
      <c r="U167" s="20" t="s">
        <v>6511</v>
      </c>
      <c r="V167" s="20" t="s">
        <v>6547</v>
      </c>
    </row>
    <row r="168" spans="1:22" ht="17">
      <c r="A168">
        <v>3</v>
      </c>
      <c r="B168" s="11" t="s">
        <v>1143</v>
      </c>
      <c r="C168" s="12" t="s">
        <v>184</v>
      </c>
      <c r="D168" s="13" t="s">
        <v>336</v>
      </c>
      <c r="E168" s="24">
        <v>494000</v>
      </c>
      <c r="F168" s="25">
        <f>Table2[[#This Row],[Price]]/Table2[[#This Row],[Tot Ht Area]]</f>
        <v>166.21803499327052</v>
      </c>
      <c r="G168" s="16">
        <v>2972</v>
      </c>
      <c r="H168" s="16">
        <v>2988</v>
      </c>
      <c r="I168" s="17" t="s">
        <v>1144</v>
      </c>
      <c r="J168" s="18" t="s">
        <v>187</v>
      </c>
      <c r="K168" s="19" t="s">
        <v>37</v>
      </c>
      <c r="L168" s="19"/>
      <c r="M168" s="19" t="s">
        <v>1145</v>
      </c>
      <c r="N168" s="20" t="s">
        <v>26</v>
      </c>
      <c r="O168" s="20" t="s">
        <v>27</v>
      </c>
      <c r="P168" s="21" t="s">
        <v>1146</v>
      </c>
      <c r="Q168" s="26" t="s">
        <v>1147</v>
      </c>
      <c r="R168" s="26" t="s">
        <v>1148</v>
      </c>
      <c r="S168" s="20"/>
      <c r="T168" s="20"/>
      <c r="U168" s="20"/>
      <c r="V168" s="20"/>
    </row>
    <row r="169" spans="1:22" ht="34">
      <c r="A169">
        <v>3</v>
      </c>
      <c r="B169" s="11" t="s">
        <v>1149</v>
      </c>
      <c r="C169" s="12" t="s">
        <v>184</v>
      </c>
      <c r="D169" s="13" t="s">
        <v>407</v>
      </c>
      <c r="E169" s="24">
        <v>399000</v>
      </c>
      <c r="F169" s="25">
        <f>Table2[[#This Row],[Price]]/Table2[[#This Row],[Tot Ht Area]]</f>
        <v>199.5</v>
      </c>
      <c r="G169" s="16">
        <v>2000</v>
      </c>
      <c r="H169" s="16">
        <v>2355</v>
      </c>
      <c r="I169" s="17" t="s">
        <v>1150</v>
      </c>
      <c r="J169" s="18" t="s">
        <v>100</v>
      </c>
      <c r="K169" s="19" t="s">
        <v>48</v>
      </c>
      <c r="L169" s="19"/>
      <c r="M169" s="19" t="s">
        <v>1151</v>
      </c>
      <c r="N169" s="20" t="s">
        <v>26</v>
      </c>
      <c r="O169" s="20" t="s">
        <v>27</v>
      </c>
      <c r="P169" s="21" t="s">
        <v>6421</v>
      </c>
      <c r="Q169" s="26" t="s">
        <v>1153</v>
      </c>
      <c r="R169" s="20" t="s">
        <v>1154</v>
      </c>
      <c r="S169" s="20"/>
      <c r="T169" s="20"/>
      <c r="U169" s="20"/>
      <c r="V169" s="20"/>
    </row>
    <row r="170" spans="1:22" ht="34">
      <c r="A170">
        <v>3</v>
      </c>
      <c r="B170" s="11" t="s">
        <v>1155</v>
      </c>
      <c r="C170" s="12" t="s">
        <v>184</v>
      </c>
      <c r="D170" s="13" t="s">
        <v>702</v>
      </c>
      <c r="E170" s="24">
        <v>100</v>
      </c>
      <c r="F170" s="25">
        <f>Table2[[#This Row],[Price]]/Table2[[#This Row],[Tot Ht Area]]</f>
        <v>2.4307243558580455E-2</v>
      </c>
      <c r="G170" s="16">
        <v>4114</v>
      </c>
      <c r="H170" s="16">
        <v>4264</v>
      </c>
      <c r="I170" s="17" t="s">
        <v>1156</v>
      </c>
      <c r="J170" s="18" t="s">
        <v>92</v>
      </c>
      <c r="K170" s="19" t="s">
        <v>48</v>
      </c>
      <c r="L170" s="19"/>
      <c r="M170" s="19" t="s">
        <v>1157</v>
      </c>
      <c r="N170" s="20" t="s">
        <v>26</v>
      </c>
      <c r="O170" s="20" t="s">
        <v>27</v>
      </c>
      <c r="P170" s="21" t="s">
        <v>1158</v>
      </c>
      <c r="Q170" s="26" t="s">
        <v>1159</v>
      </c>
      <c r="R170" s="20" t="s">
        <v>1160</v>
      </c>
      <c r="S170" s="20"/>
      <c r="T170" s="20" t="s">
        <v>6318</v>
      </c>
      <c r="U170" s="20"/>
      <c r="V170" s="20"/>
    </row>
    <row r="171" spans="1:22" ht="34">
      <c r="A171">
        <v>3</v>
      </c>
      <c r="B171" s="11" t="s">
        <v>1161</v>
      </c>
      <c r="C171" s="12" t="s">
        <v>184</v>
      </c>
      <c r="D171" s="13" t="s">
        <v>307</v>
      </c>
      <c r="E171" s="24">
        <v>210000</v>
      </c>
      <c r="F171" s="25">
        <f>Table2[[#This Row],[Price]]/Table2[[#This Row],[Tot Ht Area]]</f>
        <v>108.63942058975685</v>
      </c>
      <c r="G171" s="16">
        <v>1933</v>
      </c>
      <c r="H171" s="16">
        <v>2665</v>
      </c>
      <c r="I171" s="17" t="s">
        <v>1162</v>
      </c>
      <c r="J171" s="18" t="s">
        <v>1163</v>
      </c>
      <c r="K171" s="19" t="s">
        <v>37</v>
      </c>
      <c r="L171" s="19"/>
      <c r="M171" s="19" t="s">
        <v>1164</v>
      </c>
      <c r="N171" s="20" t="s">
        <v>26</v>
      </c>
      <c r="O171" s="20" t="s">
        <v>27</v>
      </c>
      <c r="P171" s="21" t="s">
        <v>1165</v>
      </c>
      <c r="Q171" s="26" t="s">
        <v>1166</v>
      </c>
      <c r="R171" s="20" t="s">
        <v>1167</v>
      </c>
      <c r="S171" s="20"/>
      <c r="T171" s="20"/>
      <c r="U171" s="20"/>
      <c r="V171" s="20"/>
    </row>
    <row r="172" spans="1:22" ht="34">
      <c r="A172">
        <v>3</v>
      </c>
      <c r="B172" s="11" t="s">
        <v>1168</v>
      </c>
      <c r="C172" s="12" t="s">
        <v>184</v>
      </c>
      <c r="D172" s="13" t="s">
        <v>571</v>
      </c>
      <c r="E172" s="24">
        <v>100</v>
      </c>
      <c r="F172" s="25">
        <f>Table2[[#This Row],[Price]]/Table2[[#This Row],[Tot Ht Area]]</f>
        <v>3.6509675063891932E-2</v>
      </c>
      <c r="G172" s="16">
        <v>2739</v>
      </c>
      <c r="H172" s="16">
        <v>2739</v>
      </c>
      <c r="I172" s="17" t="s">
        <v>1169</v>
      </c>
      <c r="J172" s="18" t="s">
        <v>1170</v>
      </c>
      <c r="K172" s="19" t="s">
        <v>37</v>
      </c>
      <c r="L172" s="19"/>
      <c r="M172" s="19" t="s">
        <v>1171</v>
      </c>
      <c r="N172" s="20" t="s">
        <v>26</v>
      </c>
      <c r="O172" s="20" t="s">
        <v>27</v>
      </c>
      <c r="P172" s="21" t="s">
        <v>1172</v>
      </c>
      <c r="Q172" s="26" t="s">
        <v>1173</v>
      </c>
      <c r="R172" s="20" t="s">
        <v>1174</v>
      </c>
      <c r="S172" s="20"/>
      <c r="T172" s="20" t="s">
        <v>6318</v>
      </c>
      <c r="U172" s="20"/>
      <c r="V172" s="20"/>
    </row>
    <row r="173" spans="1:22" ht="34">
      <c r="A173">
        <v>3</v>
      </c>
      <c r="B173" s="11" t="s">
        <v>1175</v>
      </c>
      <c r="C173" s="12" t="s">
        <v>184</v>
      </c>
      <c r="D173" s="13" t="s">
        <v>428</v>
      </c>
      <c r="E173" s="24">
        <v>3060000</v>
      </c>
      <c r="F173" s="25">
        <f>Table2[[#This Row],[Price]]/Table2[[#This Row],[Tot Ht Area]]</f>
        <v>278.71390837052553</v>
      </c>
      <c r="G173" s="16">
        <v>10979</v>
      </c>
      <c r="H173" s="16">
        <v>12986</v>
      </c>
      <c r="I173" s="17" t="s">
        <v>1176</v>
      </c>
      <c r="J173" s="18" t="s">
        <v>287</v>
      </c>
      <c r="K173" s="19" t="s">
        <v>48</v>
      </c>
      <c r="L173" s="19"/>
      <c r="M173" s="19" t="s">
        <v>1177</v>
      </c>
      <c r="N173" s="20" t="s">
        <v>6212</v>
      </c>
      <c r="O173" s="20" t="s">
        <v>27</v>
      </c>
      <c r="P173" s="21" t="s">
        <v>6377</v>
      </c>
      <c r="Q173" s="26" t="s">
        <v>1178</v>
      </c>
      <c r="R173" s="20" t="s">
        <v>1179</v>
      </c>
      <c r="S173" s="20"/>
      <c r="T173" s="20"/>
      <c r="U173" s="20"/>
      <c r="V173" s="20"/>
    </row>
    <row r="174" spans="1:22" ht="34">
      <c r="A174">
        <v>3</v>
      </c>
      <c r="B174" s="11" t="s">
        <v>1180</v>
      </c>
      <c r="C174" s="12" t="s">
        <v>184</v>
      </c>
      <c r="D174" s="13" t="s">
        <v>658</v>
      </c>
      <c r="E174" s="24">
        <v>2050000</v>
      </c>
      <c r="F174" s="25">
        <f>Table2[[#This Row],[Price]]/Table2[[#This Row],[Tot Ht Area]]</f>
        <v>341.66666666666669</v>
      </c>
      <c r="G174" s="16">
        <v>6000</v>
      </c>
      <c r="H174" s="16">
        <v>7100</v>
      </c>
      <c r="I174" s="17" t="s">
        <v>1181</v>
      </c>
      <c r="J174" s="18" t="s">
        <v>358</v>
      </c>
      <c r="K174" s="19" t="s">
        <v>48</v>
      </c>
      <c r="L174" s="19"/>
      <c r="M174" s="19" t="s">
        <v>1182</v>
      </c>
      <c r="N174" s="20" t="s">
        <v>26</v>
      </c>
      <c r="O174" s="20" t="s">
        <v>27</v>
      </c>
      <c r="P174" s="21" t="s">
        <v>6603</v>
      </c>
      <c r="Q174" s="26" t="s">
        <v>1184</v>
      </c>
      <c r="R174" s="26" t="s">
        <v>1185</v>
      </c>
      <c r="S174" s="20"/>
      <c r="T174" s="20"/>
      <c r="U174" s="20"/>
      <c r="V174" s="20"/>
    </row>
    <row r="175" spans="1:22" ht="17">
      <c r="A175">
        <v>3</v>
      </c>
      <c r="B175" s="11" t="s">
        <v>1186</v>
      </c>
      <c r="C175" s="12" t="s">
        <v>184</v>
      </c>
      <c r="D175" s="13" t="s">
        <v>293</v>
      </c>
      <c r="E175" s="24">
        <v>900000</v>
      </c>
      <c r="F175" s="25">
        <f>Table2[[#This Row],[Price]]/Table2[[#This Row],[Tot Ht Area]]</f>
        <v>214.28571428571428</v>
      </c>
      <c r="G175" s="16">
        <v>4200</v>
      </c>
      <c r="H175" s="16">
        <v>4435</v>
      </c>
      <c r="I175" s="17" t="s">
        <v>1187</v>
      </c>
      <c r="J175" s="18" t="s">
        <v>47</v>
      </c>
      <c r="K175" s="19" t="s">
        <v>48</v>
      </c>
      <c r="L175" s="19"/>
      <c r="M175" s="19" t="s">
        <v>1188</v>
      </c>
      <c r="N175" s="20" t="s">
        <v>26</v>
      </c>
      <c r="O175" s="20" t="s">
        <v>27</v>
      </c>
      <c r="P175" s="21"/>
      <c r="Q175" s="26"/>
      <c r="R175" s="20" t="s">
        <v>1189</v>
      </c>
      <c r="S175" s="20"/>
      <c r="T175" s="20"/>
      <c r="U175" s="20"/>
      <c r="V175" s="20"/>
    </row>
    <row r="176" spans="1:22" ht="17">
      <c r="A176">
        <v>3</v>
      </c>
      <c r="B176" s="11" t="s">
        <v>1190</v>
      </c>
      <c r="C176" s="12" t="s">
        <v>184</v>
      </c>
      <c r="D176" s="13" t="s">
        <v>792</v>
      </c>
      <c r="E176" s="24">
        <v>3300000</v>
      </c>
      <c r="F176" s="25">
        <f>Table2[[#This Row],[Price]]/Table2[[#This Row],[Tot Ht Area]]</f>
        <v>422.53521126760563</v>
      </c>
      <c r="G176" s="16">
        <v>7810</v>
      </c>
      <c r="H176" s="16">
        <v>8314</v>
      </c>
      <c r="I176" s="17" t="s">
        <v>1191</v>
      </c>
      <c r="J176" s="18" t="s">
        <v>358</v>
      </c>
      <c r="K176" s="19" t="s">
        <v>48</v>
      </c>
      <c r="L176" s="19"/>
      <c r="M176" s="19" t="s">
        <v>1192</v>
      </c>
      <c r="N176" s="20" t="s">
        <v>26</v>
      </c>
      <c r="O176" s="20" t="s">
        <v>27</v>
      </c>
      <c r="P176" s="21"/>
      <c r="Q176" s="26"/>
      <c r="R176" s="20" t="s">
        <v>1193</v>
      </c>
      <c r="S176" s="20"/>
      <c r="T176" s="20"/>
      <c r="U176" s="20"/>
      <c r="V176" s="20"/>
    </row>
    <row r="177" spans="1:22" ht="34">
      <c r="A177">
        <v>3</v>
      </c>
      <c r="B177" s="11" t="s">
        <v>1194</v>
      </c>
      <c r="C177" s="12" t="s">
        <v>184</v>
      </c>
      <c r="D177" s="13" t="s">
        <v>307</v>
      </c>
      <c r="E177" s="24">
        <v>1340800</v>
      </c>
      <c r="F177" s="25">
        <f>Table2[[#This Row],[Price]]/Table2[[#This Row],[Tot Ht Area]]</f>
        <v>111.71471421429762</v>
      </c>
      <c r="G177" s="16">
        <v>12002</v>
      </c>
      <c r="H177" s="16">
        <v>12360</v>
      </c>
      <c r="I177" s="17" t="s">
        <v>1195</v>
      </c>
      <c r="J177" s="18" t="s">
        <v>209</v>
      </c>
      <c r="K177" s="19" t="s">
        <v>48</v>
      </c>
      <c r="L177" s="19"/>
      <c r="M177" s="19" t="s">
        <v>1196</v>
      </c>
      <c r="N177" s="20" t="s">
        <v>6212</v>
      </c>
      <c r="O177" s="20" t="s">
        <v>27</v>
      </c>
      <c r="P177" s="21" t="s">
        <v>6335</v>
      </c>
      <c r="Q177" s="26" t="s">
        <v>1197</v>
      </c>
      <c r="R177" s="20" t="s">
        <v>1198</v>
      </c>
      <c r="S177" s="20"/>
      <c r="T177" s="20"/>
      <c r="U177" s="20"/>
      <c r="V177" s="20"/>
    </row>
    <row r="178" spans="1:22" ht="17">
      <c r="A178">
        <v>3</v>
      </c>
      <c r="B178" s="11" t="s">
        <v>1199</v>
      </c>
      <c r="C178" s="12" t="s">
        <v>184</v>
      </c>
      <c r="D178" s="13" t="s">
        <v>177</v>
      </c>
      <c r="E178" s="24">
        <v>100</v>
      </c>
      <c r="F178" s="25">
        <f>Table2[[#This Row],[Price]]/Table2[[#This Row],[Tot Ht Area]]</f>
        <v>2.3342670401493931E-2</v>
      </c>
      <c r="G178" s="16">
        <v>4284</v>
      </c>
      <c r="H178" s="16">
        <v>4364</v>
      </c>
      <c r="I178" s="17" t="s">
        <v>944</v>
      </c>
      <c r="J178" s="18" t="s">
        <v>536</v>
      </c>
      <c r="K178" s="19" t="s">
        <v>101</v>
      </c>
      <c r="L178" s="19"/>
      <c r="M178" s="19" t="s">
        <v>1200</v>
      </c>
      <c r="N178" s="20" t="s">
        <v>26</v>
      </c>
      <c r="O178" s="20" t="s">
        <v>27</v>
      </c>
      <c r="P178" s="21" t="s">
        <v>1201</v>
      </c>
      <c r="Q178" s="26" t="s">
        <v>1202</v>
      </c>
      <c r="R178" s="26" t="s">
        <v>1203</v>
      </c>
      <c r="S178" s="20"/>
      <c r="T178" s="20" t="s">
        <v>6318</v>
      </c>
      <c r="U178" s="20"/>
      <c r="V178" s="20"/>
    </row>
    <row r="179" spans="1:22" ht="17">
      <c r="A179">
        <v>3</v>
      </c>
      <c r="B179" s="11" t="s">
        <v>1204</v>
      </c>
      <c r="C179" s="12" t="s">
        <v>20</v>
      </c>
      <c r="D179" s="13" t="s">
        <v>253</v>
      </c>
      <c r="E179" s="24">
        <v>3735000</v>
      </c>
      <c r="F179" s="25">
        <f>Table2[[#This Row],[Price]]/Table2[[#This Row],[Tot Ht Area]]</f>
        <v>647.08939708939704</v>
      </c>
      <c r="G179" s="16">
        <v>5772</v>
      </c>
      <c r="H179" s="16">
        <v>5772</v>
      </c>
      <c r="I179" s="17" t="s">
        <v>1205</v>
      </c>
      <c r="J179" s="18" t="s">
        <v>23</v>
      </c>
      <c r="K179" s="19" t="s">
        <v>24</v>
      </c>
      <c r="L179" s="19"/>
      <c r="M179" s="19" t="s">
        <v>1206</v>
      </c>
      <c r="N179" s="20" t="s">
        <v>1519</v>
      </c>
      <c r="O179" s="20" t="s">
        <v>27</v>
      </c>
      <c r="P179" s="21" t="s">
        <v>1207</v>
      </c>
      <c r="Q179" s="26" t="s">
        <v>1208</v>
      </c>
      <c r="R179" s="26" t="s">
        <v>1209</v>
      </c>
      <c r="S179" s="20"/>
      <c r="T179" s="20" t="s">
        <v>6318</v>
      </c>
      <c r="U179" s="20"/>
      <c r="V179" s="20" t="s">
        <v>6555</v>
      </c>
    </row>
    <row r="180" spans="1:22" ht="17">
      <c r="A180">
        <v>2</v>
      </c>
      <c r="B180" s="11" t="s">
        <v>1210</v>
      </c>
      <c r="C180" s="12" t="s">
        <v>20</v>
      </c>
      <c r="D180" s="13" t="s">
        <v>877</v>
      </c>
      <c r="E180" s="24">
        <v>420000</v>
      </c>
      <c r="F180" s="25">
        <f>Table2[[#This Row],[Price]]/Table2[[#This Row],[Tot Ht Area]]</f>
        <v>152.39477503628447</v>
      </c>
      <c r="G180" s="16">
        <v>2756</v>
      </c>
      <c r="H180" s="16">
        <v>2756</v>
      </c>
      <c r="I180" s="17" t="s">
        <v>989</v>
      </c>
      <c r="J180" s="18" t="s">
        <v>135</v>
      </c>
      <c r="K180" s="19" t="s">
        <v>172</v>
      </c>
      <c r="L180" s="19"/>
      <c r="M180" s="19" t="s">
        <v>1211</v>
      </c>
      <c r="N180" s="20" t="s">
        <v>26</v>
      </c>
      <c r="O180" s="20" t="s">
        <v>27</v>
      </c>
      <c r="P180" s="21" t="s">
        <v>6604</v>
      </c>
      <c r="Q180" s="26" t="s">
        <v>1213</v>
      </c>
      <c r="R180" s="20" t="s">
        <v>1214</v>
      </c>
      <c r="S180" s="20"/>
      <c r="T180" s="20"/>
      <c r="U180" s="20"/>
      <c r="V180" s="20"/>
    </row>
    <row r="181" spans="1:22" ht="17">
      <c r="A181">
        <v>3</v>
      </c>
      <c r="B181" s="11" t="s">
        <v>1215</v>
      </c>
      <c r="C181" s="12" t="s">
        <v>20</v>
      </c>
      <c r="D181" s="13" t="s">
        <v>579</v>
      </c>
      <c r="E181" s="24">
        <v>293000</v>
      </c>
      <c r="F181" s="25">
        <f>Table2[[#This Row],[Price]]/Table2[[#This Row],[Tot Ht Area]]</f>
        <v>127.66884531590414</v>
      </c>
      <c r="G181" s="16">
        <v>2295</v>
      </c>
      <c r="H181" s="16">
        <v>2295</v>
      </c>
      <c r="I181" s="17" t="s">
        <v>989</v>
      </c>
      <c r="J181" s="18" t="s">
        <v>135</v>
      </c>
      <c r="K181" s="19" t="s">
        <v>172</v>
      </c>
      <c r="L181" s="19"/>
      <c r="M181" s="19" t="s">
        <v>1216</v>
      </c>
      <c r="N181" s="20" t="s">
        <v>26</v>
      </c>
      <c r="O181" s="20" t="s">
        <v>27</v>
      </c>
      <c r="P181" s="21" t="s">
        <v>6457</v>
      </c>
      <c r="Q181" s="20" t="s">
        <v>1213</v>
      </c>
      <c r="R181" s="20" t="s">
        <v>1218</v>
      </c>
      <c r="S181" s="20"/>
      <c r="T181" s="20"/>
      <c r="U181" s="20"/>
      <c r="V181" s="20"/>
    </row>
    <row r="182" spans="1:22" ht="17">
      <c r="A182">
        <v>3</v>
      </c>
      <c r="B182" s="11" t="s">
        <v>1219</v>
      </c>
      <c r="C182" s="12" t="s">
        <v>20</v>
      </c>
      <c r="D182" s="13" t="s">
        <v>253</v>
      </c>
      <c r="E182" s="24">
        <v>100</v>
      </c>
      <c r="F182" s="25">
        <f>Table2[[#This Row],[Price]]/Table2[[#This Row],[Tot Ht Area]]</f>
        <v>2.3228803716608595E-2</v>
      </c>
      <c r="G182" s="16">
        <v>4305</v>
      </c>
      <c r="H182" s="16">
        <v>4305</v>
      </c>
      <c r="I182" s="17" t="s">
        <v>860</v>
      </c>
      <c r="J182" s="18" t="s">
        <v>716</v>
      </c>
      <c r="K182" s="19" t="s">
        <v>24</v>
      </c>
      <c r="L182" s="19"/>
      <c r="M182" s="19" t="s">
        <v>1220</v>
      </c>
      <c r="N182" s="20" t="s">
        <v>26</v>
      </c>
      <c r="O182" s="20" t="s">
        <v>27</v>
      </c>
      <c r="P182" s="21" t="s">
        <v>6605</v>
      </c>
      <c r="Q182" s="26" t="s">
        <v>1221</v>
      </c>
      <c r="R182" s="20" t="s">
        <v>1222</v>
      </c>
      <c r="S182" s="20"/>
      <c r="T182" s="20" t="s">
        <v>6318</v>
      </c>
      <c r="U182" s="20"/>
      <c r="V182" s="20"/>
    </row>
    <row r="183" spans="1:22" ht="51">
      <c r="A183">
        <v>3</v>
      </c>
      <c r="B183" s="11" t="s">
        <v>1223</v>
      </c>
      <c r="C183" s="12" t="s">
        <v>20</v>
      </c>
      <c r="D183" s="13" t="s">
        <v>253</v>
      </c>
      <c r="E183" s="24">
        <v>100</v>
      </c>
      <c r="F183" s="25">
        <f>Table2[[#This Row],[Price]]/Table2[[#This Row],[Tot Ht Area]]</f>
        <v>1.7164435290078956E-2</v>
      </c>
      <c r="G183" s="16">
        <v>5826</v>
      </c>
      <c r="H183" s="16">
        <v>5826</v>
      </c>
      <c r="I183" s="17" t="s">
        <v>1224</v>
      </c>
      <c r="J183" s="18" t="s">
        <v>1116</v>
      </c>
      <c r="K183" s="19" t="s">
        <v>24</v>
      </c>
      <c r="L183" s="19"/>
      <c r="M183" s="19" t="s">
        <v>1225</v>
      </c>
      <c r="N183" s="20" t="s">
        <v>26</v>
      </c>
      <c r="O183" s="20" t="s">
        <v>27</v>
      </c>
      <c r="P183" s="21" t="s">
        <v>1226</v>
      </c>
      <c r="Q183" s="26" t="s">
        <v>1227</v>
      </c>
      <c r="R183" s="26" t="s">
        <v>1228</v>
      </c>
      <c r="S183" s="20"/>
      <c r="T183" s="20" t="s">
        <v>6318</v>
      </c>
      <c r="U183" s="20"/>
      <c r="V183" s="20"/>
    </row>
    <row r="184" spans="1:22" ht="34">
      <c r="A184">
        <v>3</v>
      </c>
      <c r="B184" s="11" t="s">
        <v>1229</v>
      </c>
      <c r="C184" s="12" t="s">
        <v>20</v>
      </c>
      <c r="D184" s="13" t="s">
        <v>372</v>
      </c>
      <c r="E184" s="24">
        <v>100</v>
      </c>
      <c r="F184" s="25">
        <f>Table2[[#This Row],[Price]]/Table2[[#This Row],[Tot Ht Area]]</f>
        <v>4.3122035360068998E-2</v>
      </c>
      <c r="G184" s="16">
        <v>2319</v>
      </c>
      <c r="H184" s="16">
        <v>2319</v>
      </c>
      <c r="I184" s="17" t="s">
        <v>1230</v>
      </c>
      <c r="J184" s="18" t="s">
        <v>1231</v>
      </c>
      <c r="K184" s="19" t="s">
        <v>24</v>
      </c>
      <c r="L184" s="19"/>
      <c r="M184" s="19" t="s">
        <v>1232</v>
      </c>
      <c r="N184" s="20" t="s">
        <v>26</v>
      </c>
      <c r="O184" s="20" t="s">
        <v>27</v>
      </c>
      <c r="P184" s="21" t="s">
        <v>1233</v>
      </c>
      <c r="Q184" s="26" t="s">
        <v>1234</v>
      </c>
      <c r="R184" s="26" t="s">
        <v>1235</v>
      </c>
      <c r="S184" s="20"/>
      <c r="T184" s="20" t="s">
        <v>6318</v>
      </c>
      <c r="U184" s="20"/>
      <c r="V184" s="20"/>
    </row>
    <row r="185" spans="1:22" ht="51">
      <c r="A185">
        <v>3</v>
      </c>
      <c r="B185" s="11" t="s">
        <v>1236</v>
      </c>
      <c r="C185" s="12" t="s">
        <v>20</v>
      </c>
      <c r="D185" s="13" t="s">
        <v>124</v>
      </c>
      <c r="E185" s="24">
        <v>510000</v>
      </c>
      <c r="F185" s="25">
        <f>Table2[[#This Row],[Price]]/Table2[[#This Row],[Tot Ht Area]]</f>
        <v>202.06022187004754</v>
      </c>
      <c r="G185" s="16">
        <v>2524</v>
      </c>
      <c r="H185" s="16">
        <v>2524</v>
      </c>
      <c r="I185" s="17" t="s">
        <v>1237</v>
      </c>
      <c r="J185" s="18" t="s">
        <v>301</v>
      </c>
      <c r="K185" s="19" t="s">
        <v>24</v>
      </c>
      <c r="L185" s="19"/>
      <c r="M185" s="19" t="s">
        <v>1238</v>
      </c>
      <c r="N185" s="20" t="s">
        <v>26</v>
      </c>
      <c r="O185" s="20" t="s">
        <v>27</v>
      </c>
      <c r="P185" s="21" t="s">
        <v>6423</v>
      </c>
      <c r="Q185" s="26" t="s">
        <v>1240</v>
      </c>
      <c r="R185" s="20" t="s">
        <v>1241</v>
      </c>
      <c r="S185" s="20"/>
      <c r="T185" s="20"/>
      <c r="U185" s="20"/>
      <c r="V185" s="20"/>
    </row>
    <row r="186" spans="1:22" ht="34">
      <c r="A186">
        <v>3</v>
      </c>
      <c r="B186" s="11" t="s">
        <v>1242</v>
      </c>
      <c r="C186" s="12" t="s">
        <v>20</v>
      </c>
      <c r="D186" s="13" t="s">
        <v>686</v>
      </c>
      <c r="E186" s="24">
        <v>400000</v>
      </c>
      <c r="F186" s="25">
        <f>Table2[[#This Row],[Price]]/Table2[[#This Row],[Tot Ht Area]]</f>
        <v>166.66666666666666</v>
      </c>
      <c r="G186" s="16">
        <v>2400</v>
      </c>
      <c r="H186" s="16">
        <v>2400</v>
      </c>
      <c r="I186" s="17" t="s">
        <v>1243</v>
      </c>
      <c r="J186" s="18" t="s">
        <v>767</v>
      </c>
      <c r="K186" s="19" t="s">
        <v>24</v>
      </c>
      <c r="L186" s="19"/>
      <c r="M186" s="19" t="s">
        <v>1244</v>
      </c>
      <c r="N186" s="20" t="s">
        <v>26</v>
      </c>
      <c r="O186" s="20" t="s">
        <v>27</v>
      </c>
      <c r="P186" s="21" t="s">
        <v>6336</v>
      </c>
      <c r="Q186" s="26" t="s">
        <v>1246</v>
      </c>
      <c r="R186" s="20" t="s">
        <v>1247</v>
      </c>
      <c r="S186" s="20"/>
      <c r="T186" s="20"/>
      <c r="U186" s="20"/>
      <c r="V186" s="20"/>
    </row>
    <row r="187" spans="1:22" ht="34">
      <c r="A187">
        <v>3</v>
      </c>
      <c r="B187" s="11" t="s">
        <v>1248</v>
      </c>
      <c r="C187" s="12" t="s">
        <v>20</v>
      </c>
      <c r="D187" s="13" t="s">
        <v>253</v>
      </c>
      <c r="E187" s="24">
        <v>460000</v>
      </c>
      <c r="F187" s="25">
        <f>Table2[[#This Row],[Price]]/Table2[[#This Row],[Tot Ht Area]]</f>
        <v>180.39215686274511</v>
      </c>
      <c r="G187" s="16">
        <v>2550</v>
      </c>
      <c r="H187" s="16">
        <v>2550</v>
      </c>
      <c r="I187" s="17" t="s">
        <v>1249</v>
      </c>
      <c r="J187" s="18" t="s">
        <v>57</v>
      </c>
      <c r="K187" s="19" t="s">
        <v>172</v>
      </c>
      <c r="L187" s="19"/>
      <c r="M187" s="19" t="s">
        <v>1250</v>
      </c>
      <c r="N187" s="20" t="s">
        <v>26</v>
      </c>
      <c r="O187" s="20" t="s">
        <v>27</v>
      </c>
      <c r="P187" s="21" t="s">
        <v>6422</v>
      </c>
      <c r="Q187" s="26" t="s">
        <v>1252</v>
      </c>
      <c r="R187" s="20" t="s">
        <v>1253</v>
      </c>
      <c r="S187" s="20"/>
      <c r="T187" s="20"/>
      <c r="U187" s="20"/>
      <c r="V187" s="20"/>
    </row>
    <row r="188" spans="1:22" ht="17">
      <c r="A188">
        <v>3</v>
      </c>
      <c r="B188" s="11" t="s">
        <v>1254</v>
      </c>
      <c r="C188" s="12" t="s">
        <v>20</v>
      </c>
      <c r="D188" s="13" t="s">
        <v>1255</v>
      </c>
      <c r="E188" s="24">
        <v>100</v>
      </c>
      <c r="F188" s="25">
        <f>Table2[[#This Row],[Price]]/Table2[[#This Row],[Tot Ht Area]]</f>
        <v>3.4482758620689655E-2</v>
      </c>
      <c r="G188" s="16">
        <v>2900</v>
      </c>
      <c r="H188" s="16">
        <v>2900</v>
      </c>
      <c r="I188" s="17" t="s">
        <v>1256</v>
      </c>
      <c r="J188" s="18" t="s">
        <v>1231</v>
      </c>
      <c r="K188" s="19" t="s">
        <v>172</v>
      </c>
      <c r="L188" s="19"/>
      <c r="M188" s="19" t="s">
        <v>1257</v>
      </c>
      <c r="N188" s="20" t="s">
        <v>26</v>
      </c>
      <c r="O188" s="20" t="s">
        <v>27</v>
      </c>
      <c r="P188" s="21" t="s">
        <v>6606</v>
      </c>
      <c r="Q188" s="26" t="s">
        <v>1258</v>
      </c>
      <c r="R188" s="20" t="s">
        <v>1259</v>
      </c>
      <c r="S188" s="20"/>
      <c r="T188" s="20" t="s">
        <v>6318</v>
      </c>
      <c r="U188" s="20"/>
      <c r="V188" s="20"/>
    </row>
    <row r="189" spans="1:22" ht="34">
      <c r="A189">
        <v>3</v>
      </c>
      <c r="B189" s="11" t="s">
        <v>1260</v>
      </c>
      <c r="C189" s="12" t="s">
        <v>20</v>
      </c>
      <c r="D189" s="13" t="s">
        <v>170</v>
      </c>
      <c r="E189" s="24">
        <v>100</v>
      </c>
      <c r="F189" s="25">
        <f>Table2[[#This Row],[Price]]/Table2[[#This Row],[Tot Ht Area]]</f>
        <v>2.0820320632937747E-2</v>
      </c>
      <c r="G189" s="16">
        <v>4803</v>
      </c>
      <c r="H189" s="16">
        <v>4803</v>
      </c>
      <c r="I189" s="17" t="s">
        <v>1261</v>
      </c>
      <c r="J189" s="18" t="s">
        <v>75</v>
      </c>
      <c r="K189" s="19" t="s">
        <v>172</v>
      </c>
      <c r="L189" s="19"/>
      <c r="M189" s="19" t="s">
        <v>1262</v>
      </c>
      <c r="N189" s="20" t="s">
        <v>26</v>
      </c>
      <c r="O189" s="20" t="s">
        <v>27</v>
      </c>
      <c r="P189" s="21" t="s">
        <v>6607</v>
      </c>
      <c r="Q189" s="20" t="s">
        <v>1263</v>
      </c>
      <c r="R189" s="20" t="s">
        <v>1264</v>
      </c>
      <c r="S189" s="20"/>
      <c r="T189" s="20" t="s">
        <v>6318</v>
      </c>
      <c r="U189" s="20"/>
      <c r="V189" s="20"/>
    </row>
    <row r="190" spans="1:22" ht="17">
      <c r="A190">
        <v>3</v>
      </c>
      <c r="B190" s="11" t="s">
        <v>1265</v>
      </c>
      <c r="C190" s="12" t="s">
        <v>20</v>
      </c>
      <c r="D190" s="13" t="s">
        <v>428</v>
      </c>
      <c r="E190" s="24">
        <v>537000</v>
      </c>
      <c r="F190" s="25">
        <f>Table2[[#This Row],[Price]]/Table2[[#This Row],[Tot Ht Area]]</f>
        <v>224.87437185929647</v>
      </c>
      <c r="G190" s="16">
        <v>2388</v>
      </c>
      <c r="H190" s="16">
        <v>2388</v>
      </c>
      <c r="I190" s="17" t="s">
        <v>1266</v>
      </c>
      <c r="J190" s="18" t="s">
        <v>1116</v>
      </c>
      <c r="K190" s="19" t="s">
        <v>24</v>
      </c>
      <c r="L190" s="19"/>
      <c r="M190" s="19" t="s">
        <v>1267</v>
      </c>
      <c r="N190" s="20" t="s">
        <v>26</v>
      </c>
      <c r="O190" s="20" t="s">
        <v>27</v>
      </c>
      <c r="P190" s="21" t="s">
        <v>6365</v>
      </c>
      <c r="Q190" s="26" t="s">
        <v>1269</v>
      </c>
      <c r="R190" s="20" t="s">
        <v>1270</v>
      </c>
      <c r="S190" s="20"/>
      <c r="T190" s="20"/>
      <c r="U190" s="20"/>
      <c r="V190" s="20"/>
    </row>
    <row r="191" spans="1:22" ht="17">
      <c r="A191">
        <v>3</v>
      </c>
      <c r="B191" s="11" t="s">
        <v>1271</v>
      </c>
      <c r="C191" s="12" t="s">
        <v>20</v>
      </c>
      <c r="D191" s="13" t="s">
        <v>307</v>
      </c>
      <c r="E191" s="24">
        <v>100</v>
      </c>
      <c r="F191" s="25">
        <f>Table2[[#This Row],[Price]]/Table2[[#This Row],[Tot Ht Area]]</f>
        <v>8.8059175766114824E-3</v>
      </c>
      <c r="G191" s="16">
        <v>11356</v>
      </c>
      <c r="H191" s="16">
        <v>11355</v>
      </c>
      <c r="I191" s="17" t="s">
        <v>1272</v>
      </c>
      <c r="J191" s="18" t="s">
        <v>187</v>
      </c>
      <c r="K191" s="19" t="s">
        <v>24</v>
      </c>
      <c r="L191" s="19"/>
      <c r="M191" s="19" t="s">
        <v>1273</v>
      </c>
      <c r="N191" s="20" t="s">
        <v>26</v>
      </c>
      <c r="O191" s="20" t="s">
        <v>27</v>
      </c>
      <c r="P191" s="21" t="s">
        <v>6608</v>
      </c>
      <c r="Q191" s="26" t="s">
        <v>1274</v>
      </c>
      <c r="R191" s="26" t="s">
        <v>1275</v>
      </c>
      <c r="S191" s="20"/>
      <c r="T191" s="20" t="s">
        <v>6318</v>
      </c>
      <c r="U191" s="20"/>
      <c r="V191" s="20"/>
    </row>
    <row r="192" spans="1:22" ht="34">
      <c r="A192">
        <v>3</v>
      </c>
      <c r="B192" s="11" t="s">
        <v>1276</v>
      </c>
      <c r="C192" s="12" t="s">
        <v>20</v>
      </c>
      <c r="D192" s="13" t="s">
        <v>330</v>
      </c>
      <c r="E192" s="24">
        <v>550000</v>
      </c>
      <c r="F192" s="25">
        <f>Table2[[#This Row],[Price]]/Table2[[#This Row],[Tot Ht Area]]</f>
        <v>45.304777594728172</v>
      </c>
      <c r="G192" s="16">
        <v>12140</v>
      </c>
      <c r="H192" s="16">
        <v>12140</v>
      </c>
      <c r="I192" s="17" t="s">
        <v>1277</v>
      </c>
      <c r="J192" s="18" t="s">
        <v>287</v>
      </c>
      <c r="K192" s="19" t="s">
        <v>24</v>
      </c>
      <c r="L192" s="19"/>
      <c r="M192" s="19" t="s">
        <v>1278</v>
      </c>
      <c r="N192" s="20" t="s">
        <v>6212</v>
      </c>
      <c r="O192" s="20" t="s">
        <v>27</v>
      </c>
      <c r="P192" s="21" t="s">
        <v>6334</v>
      </c>
      <c r="Q192" s="26" t="s">
        <v>1279</v>
      </c>
      <c r="R192" s="20" t="s">
        <v>1280</v>
      </c>
      <c r="S192" s="20"/>
      <c r="T192" s="20" t="s">
        <v>6318</v>
      </c>
      <c r="U192" s="20" t="s">
        <v>6535</v>
      </c>
      <c r="V192" s="20" t="s">
        <v>6534</v>
      </c>
    </row>
    <row r="193" spans="1:22" ht="34">
      <c r="A193">
        <v>3</v>
      </c>
      <c r="B193" s="11" t="s">
        <v>1281</v>
      </c>
      <c r="C193" s="12" t="s">
        <v>20</v>
      </c>
      <c r="D193" s="13" t="s">
        <v>428</v>
      </c>
      <c r="E193" s="24">
        <v>5050000</v>
      </c>
      <c r="F193" s="25">
        <f>Table2[[#This Row],[Price]]/Table2[[#This Row],[Tot Ht Area]]</f>
        <v>202.46161247644631</v>
      </c>
      <c r="G193" s="16">
        <v>24943</v>
      </c>
      <c r="H193" s="16">
        <v>24943</v>
      </c>
      <c r="I193" s="17" t="s">
        <v>1282</v>
      </c>
      <c r="J193" s="18" t="s">
        <v>126</v>
      </c>
      <c r="K193" s="19" t="s">
        <v>48</v>
      </c>
      <c r="L193" s="19"/>
      <c r="M193" s="19" t="s">
        <v>1283</v>
      </c>
      <c r="N193" s="20" t="s">
        <v>26</v>
      </c>
      <c r="O193" s="20" t="s">
        <v>27</v>
      </c>
      <c r="P193" s="21" t="s">
        <v>1284</v>
      </c>
      <c r="Q193" s="26" t="s">
        <v>1285</v>
      </c>
      <c r="R193" s="20" t="s">
        <v>1286</v>
      </c>
      <c r="S193" s="20"/>
      <c r="T193" s="20"/>
      <c r="U193" s="20"/>
      <c r="V193" s="20"/>
    </row>
    <row r="194" spans="1:22" ht="51">
      <c r="A194">
        <v>3</v>
      </c>
      <c r="B194" s="11" t="s">
        <v>1287</v>
      </c>
      <c r="C194" s="12" t="s">
        <v>20</v>
      </c>
      <c r="D194" s="13" t="s">
        <v>428</v>
      </c>
      <c r="E194" s="24">
        <v>486500</v>
      </c>
      <c r="F194" s="25">
        <f>Table2[[#This Row],[Price]]/Table2[[#This Row],[Tot Ht Area]]</f>
        <v>112.61574074074075</v>
      </c>
      <c r="G194" s="16">
        <v>4320</v>
      </c>
      <c r="H194" s="16">
        <v>4320</v>
      </c>
      <c r="I194" s="17" t="s">
        <v>1288</v>
      </c>
      <c r="J194" s="18" t="s">
        <v>126</v>
      </c>
      <c r="K194" s="19" t="s">
        <v>24</v>
      </c>
      <c r="L194" s="19"/>
      <c r="M194" s="19" t="s">
        <v>1289</v>
      </c>
      <c r="N194" s="20" t="s">
        <v>26</v>
      </c>
      <c r="O194" s="20" t="s">
        <v>27</v>
      </c>
      <c r="P194" s="21" t="s">
        <v>1290</v>
      </c>
      <c r="Q194" s="26" t="s">
        <v>1291</v>
      </c>
      <c r="R194" s="26" t="s">
        <v>1292</v>
      </c>
      <c r="S194" s="20"/>
      <c r="T194" s="20"/>
      <c r="U194" s="20"/>
      <c r="V194" s="20"/>
    </row>
    <row r="195" spans="1:22" ht="34">
      <c r="A195">
        <v>3</v>
      </c>
      <c r="B195" s="11" t="s">
        <v>1293</v>
      </c>
      <c r="C195" s="12" t="s">
        <v>20</v>
      </c>
      <c r="D195" s="13" t="s">
        <v>124</v>
      </c>
      <c r="E195" s="24">
        <v>560000</v>
      </c>
      <c r="F195" s="25">
        <f>Table2[[#This Row],[Price]]/Table2[[#This Row],[Tot Ht Area]]</f>
        <v>240.13722126929673</v>
      </c>
      <c r="G195" s="16">
        <v>2332</v>
      </c>
      <c r="H195" s="16">
        <v>2332</v>
      </c>
      <c r="I195" s="17" t="s">
        <v>659</v>
      </c>
      <c r="J195" s="18" t="s">
        <v>23</v>
      </c>
      <c r="K195" s="19" t="s">
        <v>172</v>
      </c>
      <c r="L195" s="19"/>
      <c r="M195" s="19" t="s">
        <v>1294</v>
      </c>
      <c r="N195" s="20" t="s">
        <v>26</v>
      </c>
      <c r="O195" s="20" t="s">
        <v>27</v>
      </c>
      <c r="P195" s="21" t="s">
        <v>6424</v>
      </c>
      <c r="Q195" s="20" t="s">
        <v>1296</v>
      </c>
      <c r="R195" s="20" t="s">
        <v>1297</v>
      </c>
      <c r="S195" s="20"/>
      <c r="T195" s="20"/>
      <c r="U195" s="20"/>
      <c r="V195" s="20"/>
    </row>
    <row r="196" spans="1:22" ht="34">
      <c r="A196">
        <v>3</v>
      </c>
      <c r="B196" s="11" t="s">
        <v>1298</v>
      </c>
      <c r="C196" s="12" t="s">
        <v>20</v>
      </c>
      <c r="D196" s="13" t="s">
        <v>982</v>
      </c>
      <c r="E196" s="24">
        <v>1040000</v>
      </c>
      <c r="F196" s="25">
        <f>Table2[[#This Row],[Price]]/Table2[[#This Row],[Tot Ht Area]]</f>
        <v>238.91569032850907</v>
      </c>
      <c r="G196" s="16">
        <v>4353</v>
      </c>
      <c r="H196" s="16">
        <v>4353</v>
      </c>
      <c r="I196" s="17" t="s">
        <v>659</v>
      </c>
      <c r="J196" s="18" t="s">
        <v>760</v>
      </c>
      <c r="K196" s="19" t="s">
        <v>172</v>
      </c>
      <c r="L196" s="19"/>
      <c r="M196" s="19" t="s">
        <v>1299</v>
      </c>
      <c r="N196" s="20" t="s">
        <v>26</v>
      </c>
      <c r="O196" s="20" t="s">
        <v>27</v>
      </c>
      <c r="P196" s="21" t="s">
        <v>6424</v>
      </c>
      <c r="Q196" s="26" t="s">
        <v>1296</v>
      </c>
      <c r="R196" s="20" t="s">
        <v>1300</v>
      </c>
      <c r="S196" s="20"/>
      <c r="T196" s="20"/>
      <c r="U196" s="20"/>
      <c r="V196" s="20"/>
    </row>
    <row r="197" spans="1:22" ht="17">
      <c r="A197">
        <v>3</v>
      </c>
      <c r="B197" s="11" t="s">
        <v>1301</v>
      </c>
      <c r="C197" s="12" t="s">
        <v>20</v>
      </c>
      <c r="D197" s="13" t="s">
        <v>925</v>
      </c>
      <c r="E197" s="24">
        <v>725000</v>
      </c>
      <c r="F197" s="25">
        <f>Table2[[#This Row],[Price]]/Table2[[#This Row],[Tot Ht Area]]</f>
        <v>170.34774436090225</v>
      </c>
      <c r="G197" s="16">
        <v>4256</v>
      </c>
      <c r="H197" s="16">
        <v>4256</v>
      </c>
      <c r="I197" s="17" t="s">
        <v>1302</v>
      </c>
      <c r="J197" s="18" t="s">
        <v>187</v>
      </c>
      <c r="K197" s="19" t="s">
        <v>24</v>
      </c>
      <c r="L197" s="19"/>
      <c r="M197" s="19" t="s">
        <v>1303</v>
      </c>
      <c r="N197" s="20" t="s">
        <v>26</v>
      </c>
      <c r="O197" s="20" t="s">
        <v>27</v>
      </c>
      <c r="P197" s="21" t="s">
        <v>1304</v>
      </c>
      <c r="Q197" s="26" t="s">
        <v>1305</v>
      </c>
      <c r="R197" s="26" t="s">
        <v>1306</v>
      </c>
      <c r="S197" s="20"/>
      <c r="T197" s="20"/>
      <c r="U197" s="20"/>
      <c r="V197" s="20"/>
    </row>
    <row r="198" spans="1:22" ht="68">
      <c r="A198">
        <v>3</v>
      </c>
      <c r="B198" s="11" t="s">
        <v>1307</v>
      </c>
      <c r="C198" s="12" t="s">
        <v>20</v>
      </c>
      <c r="D198" s="13" t="s">
        <v>428</v>
      </c>
      <c r="E198" s="14">
        <v>3000000</v>
      </c>
      <c r="F198" s="15">
        <f>Table2[[#This Row],[Price]]/Table2[[#This Row],[Tot Ht Area]]</f>
        <v>351.00035100035097</v>
      </c>
      <c r="G198" s="16">
        <v>8547</v>
      </c>
      <c r="H198" s="16">
        <v>8547</v>
      </c>
      <c r="I198" s="17" t="s">
        <v>524</v>
      </c>
      <c r="J198" s="18" t="s">
        <v>316</v>
      </c>
      <c r="K198" s="19" t="s">
        <v>24</v>
      </c>
      <c r="L198" s="19"/>
      <c r="M198" s="19" t="s">
        <v>1308</v>
      </c>
      <c r="N198" s="20" t="s">
        <v>26</v>
      </c>
      <c r="O198" s="20" t="s">
        <v>27</v>
      </c>
      <c r="P198" s="21" t="s">
        <v>1309</v>
      </c>
      <c r="Q198" s="22" t="s">
        <v>1310</v>
      </c>
      <c r="R198" s="22" t="s">
        <v>1311</v>
      </c>
      <c r="S198" s="20"/>
      <c r="T198" s="20"/>
      <c r="U198" s="20"/>
      <c r="V198" s="20"/>
    </row>
    <row r="199" spans="1:22" ht="34">
      <c r="A199">
        <v>3</v>
      </c>
      <c r="B199" s="11" t="s">
        <v>1312</v>
      </c>
      <c r="C199" s="12" t="s">
        <v>20</v>
      </c>
      <c r="D199" s="13" t="s">
        <v>896</v>
      </c>
      <c r="E199" s="24">
        <v>786000</v>
      </c>
      <c r="F199" s="25">
        <f>Table2[[#This Row],[Price]]/Table2[[#This Row],[Tot Ht Area]]</f>
        <v>123.39089481946625</v>
      </c>
      <c r="G199" s="16">
        <v>6370</v>
      </c>
      <c r="H199" s="16">
        <v>6370</v>
      </c>
      <c r="I199" s="17" t="s">
        <v>1313</v>
      </c>
      <c r="J199" s="18" t="s">
        <v>358</v>
      </c>
      <c r="K199" s="19" t="s">
        <v>24</v>
      </c>
      <c r="L199" s="19"/>
      <c r="M199" s="19" t="s">
        <v>1314</v>
      </c>
      <c r="N199" s="20" t="s">
        <v>26</v>
      </c>
      <c r="O199" s="20" t="s">
        <v>27</v>
      </c>
      <c r="P199" s="21" t="s">
        <v>6458</v>
      </c>
      <c r="Q199" s="26" t="s">
        <v>1316</v>
      </c>
      <c r="R199" s="20" t="s">
        <v>1317</v>
      </c>
      <c r="S199" s="20"/>
      <c r="T199" s="20"/>
      <c r="U199" s="20"/>
      <c r="V199" s="20"/>
    </row>
    <row r="200" spans="1:22" ht="34">
      <c r="A200">
        <v>3</v>
      </c>
      <c r="B200" s="11" t="s">
        <v>1318</v>
      </c>
      <c r="C200" s="12" t="s">
        <v>20</v>
      </c>
      <c r="D200" s="13" t="s">
        <v>779</v>
      </c>
      <c r="E200" s="24">
        <v>2000000</v>
      </c>
      <c r="F200" s="25">
        <f>Table2[[#This Row],[Price]]/Table2[[#This Row],[Tot Ht Area]]</f>
        <v>244.85798237022527</v>
      </c>
      <c r="G200" s="16">
        <v>8168</v>
      </c>
      <c r="H200" s="16">
        <v>8168</v>
      </c>
      <c r="I200" s="17" t="s">
        <v>1319</v>
      </c>
      <c r="J200" s="18" t="s">
        <v>747</v>
      </c>
      <c r="K200" s="19" t="s">
        <v>1320</v>
      </c>
      <c r="L200" s="19"/>
      <c r="M200" s="19" t="s">
        <v>1321</v>
      </c>
      <c r="N200" s="20" t="s">
        <v>26</v>
      </c>
      <c r="O200" s="20" t="s">
        <v>27</v>
      </c>
      <c r="P200" s="21" t="s">
        <v>1322</v>
      </c>
      <c r="Q200" s="26" t="s">
        <v>1323</v>
      </c>
      <c r="R200" s="26" t="s">
        <v>1324</v>
      </c>
      <c r="S200" s="20"/>
      <c r="T200" s="20"/>
      <c r="U200" s="20"/>
      <c r="V200" s="20"/>
    </row>
    <row r="201" spans="1:22" ht="17">
      <c r="A201">
        <v>3</v>
      </c>
      <c r="B201" s="11" t="s">
        <v>1325</v>
      </c>
      <c r="C201" s="12" t="s">
        <v>20</v>
      </c>
      <c r="D201" s="13" t="s">
        <v>611</v>
      </c>
      <c r="E201" s="24">
        <v>100</v>
      </c>
      <c r="F201" s="25">
        <f>Table2[[#This Row],[Price]]/Table2[[#This Row],[Tot Ht Area]]</f>
        <v>2.8026905829596414E-2</v>
      </c>
      <c r="G201" s="16">
        <v>3568</v>
      </c>
      <c r="H201" s="16">
        <v>3568</v>
      </c>
      <c r="I201" s="17" t="s">
        <v>1326</v>
      </c>
      <c r="J201" s="18" t="s">
        <v>747</v>
      </c>
      <c r="K201" s="19" t="s">
        <v>24</v>
      </c>
      <c r="L201" s="19"/>
      <c r="M201" s="19" t="s">
        <v>1327</v>
      </c>
      <c r="N201" s="20" t="s">
        <v>26</v>
      </c>
      <c r="O201" s="20" t="s">
        <v>27</v>
      </c>
      <c r="P201" s="21" t="s">
        <v>1328</v>
      </c>
      <c r="Q201" s="26" t="s">
        <v>1329</v>
      </c>
      <c r="R201" s="26" t="s">
        <v>1330</v>
      </c>
      <c r="S201" s="20"/>
      <c r="T201" s="20" t="s">
        <v>6318</v>
      </c>
      <c r="U201" s="20"/>
      <c r="V201" s="20"/>
    </row>
    <row r="202" spans="1:22" ht="34">
      <c r="A202">
        <v>3</v>
      </c>
      <c r="B202" s="11" t="s">
        <v>1331</v>
      </c>
      <c r="C202" s="12" t="s">
        <v>20</v>
      </c>
      <c r="D202" s="13" t="s">
        <v>73</v>
      </c>
      <c r="E202" s="24">
        <v>1225000</v>
      </c>
      <c r="F202" s="25">
        <f>Table2[[#This Row],[Price]]/Table2[[#This Row],[Tot Ht Area]]</f>
        <v>360.29411764705884</v>
      </c>
      <c r="G202" s="16">
        <v>3400</v>
      </c>
      <c r="H202" s="16">
        <v>3400</v>
      </c>
      <c r="I202" s="17" t="s">
        <v>1332</v>
      </c>
      <c r="J202" s="18" t="s">
        <v>358</v>
      </c>
      <c r="K202" s="19" t="s">
        <v>172</v>
      </c>
      <c r="L202" s="19"/>
      <c r="M202" s="19" t="s">
        <v>1333</v>
      </c>
      <c r="N202" s="20" t="s">
        <v>26</v>
      </c>
      <c r="O202" s="20" t="s">
        <v>27</v>
      </c>
      <c r="P202" s="21" t="s">
        <v>1334</v>
      </c>
      <c r="Q202" s="26" t="s">
        <v>1335</v>
      </c>
      <c r="R202" s="20" t="s">
        <v>1336</v>
      </c>
      <c r="S202" s="20"/>
      <c r="T202" s="20"/>
      <c r="U202" s="20"/>
      <c r="V202" s="20"/>
    </row>
    <row r="203" spans="1:22" ht="34">
      <c r="A203">
        <v>3</v>
      </c>
      <c r="B203" s="11" t="s">
        <v>1337</v>
      </c>
      <c r="C203" s="12" t="s">
        <v>20</v>
      </c>
      <c r="D203" s="13" t="s">
        <v>356</v>
      </c>
      <c r="E203" s="24">
        <v>850000</v>
      </c>
      <c r="F203" s="25">
        <f>Table2[[#This Row],[Price]]/Table2[[#This Row],[Tot Ht Area]]</f>
        <v>358.19637589549092</v>
      </c>
      <c r="G203" s="16">
        <v>2373</v>
      </c>
      <c r="H203" s="16">
        <v>2373</v>
      </c>
      <c r="I203" s="17" t="s">
        <v>1338</v>
      </c>
      <c r="J203" s="18" t="s">
        <v>75</v>
      </c>
      <c r="K203" s="19" t="s">
        <v>24</v>
      </c>
      <c r="L203" s="19"/>
      <c r="M203" s="19" t="s">
        <v>1339</v>
      </c>
      <c r="N203" s="20" t="s">
        <v>26</v>
      </c>
      <c r="O203" s="20" t="s">
        <v>27</v>
      </c>
      <c r="P203" s="21" t="s">
        <v>1340</v>
      </c>
      <c r="Q203" s="26" t="s">
        <v>1341</v>
      </c>
      <c r="R203" s="20" t="s">
        <v>1342</v>
      </c>
      <c r="S203" s="20"/>
      <c r="T203" s="20"/>
      <c r="U203" s="20"/>
      <c r="V203" s="20"/>
    </row>
    <row r="204" spans="1:22" ht="51">
      <c r="A204">
        <v>3</v>
      </c>
      <c r="B204" s="11" t="s">
        <v>1343</v>
      </c>
      <c r="C204" s="12" t="s">
        <v>20</v>
      </c>
      <c r="D204" s="13" t="s">
        <v>658</v>
      </c>
      <c r="E204" s="24">
        <v>514200</v>
      </c>
      <c r="F204" s="25">
        <f>Table2[[#This Row],[Price]]/Table2[[#This Row],[Tot Ht Area]]</f>
        <v>205.68</v>
      </c>
      <c r="G204" s="16">
        <v>2500</v>
      </c>
      <c r="H204" s="16">
        <v>2500</v>
      </c>
      <c r="I204" s="17" t="s">
        <v>1344</v>
      </c>
      <c r="J204" s="18" t="s">
        <v>646</v>
      </c>
      <c r="K204" s="19" t="s">
        <v>24</v>
      </c>
      <c r="L204" s="19"/>
      <c r="M204" s="19" t="s">
        <v>1345</v>
      </c>
      <c r="N204" s="20" t="s">
        <v>26</v>
      </c>
      <c r="O204" s="20" t="s">
        <v>27</v>
      </c>
      <c r="P204" s="21" t="s">
        <v>6609</v>
      </c>
      <c r="Q204" s="26" t="s">
        <v>1347</v>
      </c>
      <c r="R204" s="20" t="s">
        <v>1348</v>
      </c>
      <c r="S204" s="20"/>
      <c r="T204" s="20"/>
      <c r="U204" s="20"/>
      <c r="V204" s="20"/>
    </row>
    <row r="205" spans="1:22" ht="17">
      <c r="A205">
        <v>3</v>
      </c>
      <c r="B205" s="11" t="s">
        <v>1349</v>
      </c>
      <c r="C205" s="12" t="s">
        <v>20</v>
      </c>
      <c r="D205" s="13" t="s">
        <v>21</v>
      </c>
      <c r="E205" s="24">
        <v>621000</v>
      </c>
      <c r="F205" s="25">
        <f>Table2[[#This Row],[Price]]/Table2[[#This Row],[Tot Ht Area]]</f>
        <v>197.14285714285714</v>
      </c>
      <c r="G205" s="16">
        <v>3150</v>
      </c>
      <c r="H205" s="16">
        <v>3150</v>
      </c>
      <c r="I205" s="17" t="s">
        <v>1350</v>
      </c>
      <c r="J205" s="18" t="s">
        <v>241</v>
      </c>
      <c r="K205" s="19" t="s">
        <v>1320</v>
      </c>
      <c r="L205" s="19"/>
      <c r="M205" s="19" t="s">
        <v>1351</v>
      </c>
      <c r="N205" s="20" t="s">
        <v>26</v>
      </c>
      <c r="O205" s="20" t="s">
        <v>27</v>
      </c>
      <c r="P205" s="21" t="s">
        <v>1352</v>
      </c>
      <c r="Q205" s="26" t="s">
        <v>1353</v>
      </c>
      <c r="R205" s="20" t="s">
        <v>1354</v>
      </c>
      <c r="S205" s="20"/>
      <c r="T205" s="20"/>
      <c r="U205" s="20"/>
      <c r="V205" s="20"/>
    </row>
    <row r="206" spans="1:22" ht="17">
      <c r="A206">
        <v>3</v>
      </c>
      <c r="B206" s="11" t="s">
        <v>1355</v>
      </c>
      <c r="C206" s="12" t="s">
        <v>20</v>
      </c>
      <c r="D206" s="13" t="s">
        <v>253</v>
      </c>
      <c r="E206" s="24">
        <v>3735000</v>
      </c>
      <c r="F206" s="25">
        <f>Table2[[#This Row],[Price]]/Table2[[#This Row],[Tot Ht Area]]</f>
        <v>772.0132286068623</v>
      </c>
      <c r="G206" s="16">
        <v>4838</v>
      </c>
      <c r="H206" s="16">
        <v>4838</v>
      </c>
      <c r="I206" s="17" t="s">
        <v>1205</v>
      </c>
      <c r="J206" s="18" t="s">
        <v>83</v>
      </c>
      <c r="K206" s="19" t="s">
        <v>24</v>
      </c>
      <c r="L206" s="19"/>
      <c r="M206" s="19" t="s">
        <v>1356</v>
      </c>
      <c r="N206" s="20" t="s">
        <v>26</v>
      </c>
      <c r="O206" s="20" t="s">
        <v>27</v>
      </c>
      <c r="P206" s="21" t="s">
        <v>1357</v>
      </c>
      <c r="Q206" s="26" t="s">
        <v>1358</v>
      </c>
      <c r="R206" s="26" t="s">
        <v>1359</v>
      </c>
      <c r="S206" s="20"/>
      <c r="T206" s="20" t="s">
        <v>6318</v>
      </c>
      <c r="U206" s="20"/>
      <c r="V206" s="20" t="s">
        <v>6556</v>
      </c>
    </row>
    <row r="207" spans="1:22" ht="34">
      <c r="A207">
        <v>3</v>
      </c>
      <c r="B207" s="11" t="s">
        <v>1360</v>
      </c>
      <c r="C207" s="12" t="s">
        <v>20</v>
      </c>
      <c r="D207" s="13" t="s">
        <v>372</v>
      </c>
      <c r="E207" s="24">
        <v>100</v>
      </c>
      <c r="F207" s="25">
        <f>Table2[[#This Row],[Price]]/Table2[[#This Row],[Tot Ht Area]]</f>
        <v>4.2444821731748725E-2</v>
      </c>
      <c r="G207" s="16">
        <v>2356</v>
      </c>
      <c r="H207" s="16">
        <v>2356</v>
      </c>
      <c r="I207" s="17" t="s">
        <v>1361</v>
      </c>
      <c r="J207" s="18" t="s">
        <v>233</v>
      </c>
      <c r="K207" s="19" t="s">
        <v>24</v>
      </c>
      <c r="L207" s="19"/>
      <c r="M207" s="19" t="s">
        <v>1362</v>
      </c>
      <c r="N207" s="20" t="s">
        <v>26</v>
      </c>
      <c r="O207" s="20" t="s">
        <v>27</v>
      </c>
      <c r="P207" s="21" t="s">
        <v>6610</v>
      </c>
      <c r="Q207" s="26" t="s">
        <v>1363</v>
      </c>
      <c r="R207" s="26" t="s">
        <v>1364</v>
      </c>
      <c r="S207" s="20"/>
      <c r="T207" s="20" t="s">
        <v>6318</v>
      </c>
      <c r="U207" s="20"/>
      <c r="V207" s="20"/>
    </row>
    <row r="208" spans="1:22" ht="17">
      <c r="A208">
        <v>3</v>
      </c>
      <c r="B208" s="11" t="s">
        <v>1365</v>
      </c>
      <c r="C208" s="12" t="s">
        <v>20</v>
      </c>
      <c r="D208" s="13" t="s">
        <v>356</v>
      </c>
      <c r="E208" s="24">
        <v>3425000</v>
      </c>
      <c r="F208" s="25">
        <f>Table2[[#This Row],[Price]]/Table2[[#This Row],[Tot Ht Area]]</f>
        <v>267.8292148889584</v>
      </c>
      <c r="G208" s="16">
        <v>12788</v>
      </c>
      <c r="H208" s="16">
        <v>12788</v>
      </c>
      <c r="I208" s="17" t="s">
        <v>1366</v>
      </c>
      <c r="J208" s="18" t="s">
        <v>760</v>
      </c>
      <c r="K208" s="19" t="s">
        <v>24</v>
      </c>
      <c r="L208" s="19"/>
      <c r="M208" s="19" t="s">
        <v>1367</v>
      </c>
      <c r="N208" s="20" t="s">
        <v>1519</v>
      </c>
      <c r="O208" s="20" t="s">
        <v>27</v>
      </c>
      <c r="P208" s="21" t="s">
        <v>6611</v>
      </c>
      <c r="Q208" s="26" t="s">
        <v>1369</v>
      </c>
      <c r="R208" s="20" t="s">
        <v>1370</v>
      </c>
      <c r="S208" s="20"/>
      <c r="T208" s="20"/>
      <c r="U208" s="20"/>
      <c r="V208" s="20"/>
    </row>
    <row r="209" spans="1:22" ht="34">
      <c r="A209">
        <v>3</v>
      </c>
      <c r="B209" s="11" t="s">
        <v>1371</v>
      </c>
      <c r="C209" s="12" t="s">
        <v>20</v>
      </c>
      <c r="D209" s="13" t="s">
        <v>307</v>
      </c>
      <c r="E209" s="24">
        <v>533000</v>
      </c>
      <c r="F209" s="25">
        <f>Table2[[#This Row],[Price]]/Table2[[#This Row],[Tot Ht Area]]</f>
        <v>221.16182572614107</v>
      </c>
      <c r="G209" s="16">
        <v>2410</v>
      </c>
      <c r="H209" s="16">
        <v>2410</v>
      </c>
      <c r="I209" s="17" t="s">
        <v>1372</v>
      </c>
      <c r="J209" s="18" t="s">
        <v>1138</v>
      </c>
      <c r="K209" s="19" t="s">
        <v>24</v>
      </c>
      <c r="L209" s="19"/>
      <c r="M209" s="19" t="s">
        <v>1373</v>
      </c>
      <c r="N209" s="20" t="s">
        <v>26</v>
      </c>
      <c r="O209" s="20" t="s">
        <v>27</v>
      </c>
      <c r="P209" s="21" t="s">
        <v>1374</v>
      </c>
      <c r="Q209" s="26" t="s">
        <v>1375</v>
      </c>
      <c r="R209" s="26" t="s">
        <v>1376</v>
      </c>
      <c r="S209" s="20"/>
      <c r="T209" s="20"/>
      <c r="U209" s="20"/>
      <c r="V209" s="20"/>
    </row>
    <row r="210" spans="1:22" ht="34">
      <c r="A210">
        <v>3</v>
      </c>
      <c r="B210" s="11" t="s">
        <v>1377</v>
      </c>
      <c r="C210" s="12" t="s">
        <v>20</v>
      </c>
      <c r="D210" s="13" t="s">
        <v>779</v>
      </c>
      <c r="E210" s="24">
        <v>825000</v>
      </c>
      <c r="F210" s="25">
        <f>Table2[[#This Row],[Price]]/Table2[[#This Row],[Tot Ht Area]]</f>
        <v>320.5128205128205</v>
      </c>
      <c r="G210" s="16">
        <v>2574</v>
      </c>
      <c r="H210" s="16">
        <v>2574</v>
      </c>
      <c r="I210" s="17" t="s">
        <v>1378</v>
      </c>
      <c r="J210" s="18" t="s">
        <v>23</v>
      </c>
      <c r="K210" s="19" t="s">
        <v>24</v>
      </c>
      <c r="L210" s="19"/>
      <c r="M210" s="19" t="s">
        <v>1379</v>
      </c>
      <c r="N210" s="20" t="s">
        <v>26</v>
      </c>
      <c r="O210" s="20" t="s">
        <v>27</v>
      </c>
      <c r="P210" s="21"/>
      <c r="Q210" s="26"/>
      <c r="R210" s="26" t="s">
        <v>1380</v>
      </c>
      <c r="S210" s="20"/>
      <c r="T210" s="20"/>
      <c r="U210" s="20"/>
      <c r="V210" s="20"/>
    </row>
    <row r="211" spans="1:22" ht="34">
      <c r="A211">
        <v>3</v>
      </c>
      <c r="B211" s="11" t="s">
        <v>1381</v>
      </c>
      <c r="C211" s="12" t="s">
        <v>20</v>
      </c>
      <c r="D211" s="13" t="s">
        <v>428</v>
      </c>
      <c r="E211" s="24">
        <v>1200000</v>
      </c>
      <c r="F211" s="25">
        <f>Table2[[#This Row],[Price]]/Table2[[#This Row],[Tot Ht Area]]</f>
        <v>342.95513003715348</v>
      </c>
      <c r="G211" s="16">
        <v>3499</v>
      </c>
      <c r="H211" s="16">
        <v>3499</v>
      </c>
      <c r="I211" s="17" t="s">
        <v>1382</v>
      </c>
      <c r="J211" s="18" t="s">
        <v>241</v>
      </c>
      <c r="K211" s="19" t="s">
        <v>24</v>
      </c>
      <c r="L211" s="19"/>
      <c r="M211" s="19" t="s">
        <v>1383</v>
      </c>
      <c r="N211" s="20" t="s">
        <v>26</v>
      </c>
      <c r="O211" s="20" t="s">
        <v>27</v>
      </c>
      <c r="P211" s="21" t="s">
        <v>1384</v>
      </c>
      <c r="Q211" s="26" t="s">
        <v>1385</v>
      </c>
      <c r="R211" s="20" t="s">
        <v>1386</v>
      </c>
      <c r="S211" s="20"/>
      <c r="T211" s="20"/>
      <c r="U211" s="20"/>
      <c r="V211" s="20"/>
    </row>
    <row r="212" spans="1:22" ht="34">
      <c r="A212">
        <v>3</v>
      </c>
      <c r="B212" s="11" t="s">
        <v>1387</v>
      </c>
      <c r="C212" s="12" t="s">
        <v>20</v>
      </c>
      <c r="D212" s="13" t="s">
        <v>356</v>
      </c>
      <c r="E212" s="24">
        <v>9998200</v>
      </c>
      <c r="F212" s="25">
        <f>Table2[[#This Row],[Price]]/Table2[[#This Row],[Tot Ht Area]]</f>
        <v>587.19680507429382</v>
      </c>
      <c r="G212" s="16">
        <v>17027</v>
      </c>
      <c r="H212" s="16">
        <v>17027</v>
      </c>
      <c r="I212" s="17" t="s">
        <v>1388</v>
      </c>
      <c r="J212" s="18" t="s">
        <v>262</v>
      </c>
      <c r="K212" s="19" t="s">
        <v>24</v>
      </c>
      <c r="L212" s="19"/>
      <c r="M212" s="19" t="s">
        <v>1389</v>
      </c>
      <c r="N212" s="20" t="s">
        <v>6212</v>
      </c>
      <c r="O212" s="20" t="s">
        <v>27</v>
      </c>
      <c r="P212" s="21" t="s">
        <v>6210</v>
      </c>
      <c r="Q212" s="26" t="s">
        <v>1390</v>
      </c>
      <c r="R212" s="26" t="s">
        <v>1391</v>
      </c>
      <c r="S212" s="20"/>
      <c r="T212" s="20"/>
      <c r="U212" s="20"/>
      <c r="V212" s="20"/>
    </row>
    <row r="213" spans="1:22" ht="34">
      <c r="A213">
        <v>3</v>
      </c>
      <c r="B213" s="11" t="s">
        <v>1392</v>
      </c>
      <c r="C213" s="12" t="s">
        <v>20</v>
      </c>
      <c r="D213" s="13" t="s">
        <v>591</v>
      </c>
      <c r="E213" s="24">
        <v>650000</v>
      </c>
      <c r="F213" s="25">
        <f>Table2[[#This Row],[Price]]/Table2[[#This Row],[Tot Ht Area]]</f>
        <v>253.11526479750779</v>
      </c>
      <c r="G213" s="16">
        <v>2568</v>
      </c>
      <c r="H213" s="16">
        <v>2568</v>
      </c>
      <c r="I213" s="17" t="s">
        <v>1393</v>
      </c>
      <c r="J213" s="18" t="s">
        <v>100</v>
      </c>
      <c r="K213" s="19" t="s">
        <v>172</v>
      </c>
      <c r="L213" s="19"/>
      <c r="M213" s="19" t="s">
        <v>1394</v>
      </c>
      <c r="N213" s="20" t="s">
        <v>26</v>
      </c>
      <c r="O213" s="20" t="s">
        <v>27</v>
      </c>
      <c r="P213" s="21" t="s">
        <v>1395</v>
      </c>
      <c r="Q213" s="26" t="s">
        <v>1396</v>
      </c>
      <c r="R213" s="20" t="s">
        <v>1397</v>
      </c>
      <c r="S213" s="20"/>
      <c r="T213" s="20"/>
      <c r="U213" s="20"/>
      <c r="V213" s="20"/>
    </row>
    <row r="214" spans="1:22" ht="17">
      <c r="A214">
        <v>3</v>
      </c>
      <c r="B214" s="11" t="s">
        <v>1398</v>
      </c>
      <c r="C214" s="12" t="s">
        <v>20</v>
      </c>
      <c r="D214" s="13" t="s">
        <v>1399</v>
      </c>
      <c r="E214" s="24">
        <v>580000</v>
      </c>
      <c r="F214" s="25">
        <f>Table2[[#This Row],[Price]]/Table2[[#This Row],[Tot Ht Area]]</f>
        <v>239.27392739273927</v>
      </c>
      <c r="G214" s="16">
        <v>2424</v>
      </c>
      <c r="H214" s="16">
        <v>2424</v>
      </c>
      <c r="I214" s="17" t="s">
        <v>1400</v>
      </c>
      <c r="J214" s="18" t="s">
        <v>100</v>
      </c>
      <c r="K214" s="19" t="s">
        <v>172</v>
      </c>
      <c r="L214" s="19"/>
      <c r="M214" s="19" t="s">
        <v>1401</v>
      </c>
      <c r="N214" s="20" t="s">
        <v>26</v>
      </c>
      <c r="O214" s="20" t="s">
        <v>27</v>
      </c>
      <c r="P214" s="21" t="s">
        <v>6425</v>
      </c>
      <c r="Q214" s="26" t="s">
        <v>1403</v>
      </c>
      <c r="R214" s="20" t="s">
        <v>1404</v>
      </c>
      <c r="S214" s="20"/>
      <c r="T214" s="20"/>
      <c r="U214" s="20"/>
      <c r="V214" s="20"/>
    </row>
    <row r="215" spans="1:22" ht="34">
      <c r="A215">
        <v>3</v>
      </c>
      <c r="B215" s="11" t="s">
        <v>1405</v>
      </c>
      <c r="C215" s="12" t="s">
        <v>20</v>
      </c>
      <c r="D215" s="13" t="s">
        <v>398</v>
      </c>
      <c r="E215" s="14">
        <v>100</v>
      </c>
      <c r="F215" s="15">
        <f>Table2[[#This Row],[Price]]/Table2[[#This Row],[Tot Ht Area]]</f>
        <v>4.401408450704225E-2</v>
      </c>
      <c r="G215" s="16">
        <v>2272</v>
      </c>
      <c r="H215" s="16">
        <v>2272</v>
      </c>
      <c r="I215" s="17" t="s">
        <v>1406</v>
      </c>
      <c r="J215" s="18" t="s">
        <v>100</v>
      </c>
      <c r="K215" s="19" t="s">
        <v>172</v>
      </c>
      <c r="L215" s="19"/>
      <c r="M215" s="19" t="s">
        <v>1407</v>
      </c>
      <c r="N215" s="20" t="s">
        <v>26</v>
      </c>
      <c r="O215" s="20" t="s">
        <v>27</v>
      </c>
      <c r="P215" s="21"/>
      <c r="Q215" s="22" t="s">
        <v>1408</v>
      </c>
      <c r="R215" s="22" t="s">
        <v>1409</v>
      </c>
      <c r="S215" s="26" t="s">
        <v>1410</v>
      </c>
      <c r="T215" s="20" t="s">
        <v>6318</v>
      </c>
      <c r="U215" s="20"/>
      <c r="V215" s="20"/>
    </row>
    <row r="216" spans="1:22" ht="34">
      <c r="A216">
        <v>3</v>
      </c>
      <c r="B216" s="11" t="s">
        <v>1411</v>
      </c>
      <c r="C216" s="12" t="s">
        <v>20</v>
      </c>
      <c r="D216" s="13" t="s">
        <v>124</v>
      </c>
      <c r="E216" s="24">
        <v>2269900</v>
      </c>
      <c r="F216" s="25">
        <f>Table2[[#This Row],[Price]]/Table2[[#This Row],[Tot Ht Area]]</f>
        <v>355.56077694235591</v>
      </c>
      <c r="G216" s="16">
        <v>6384</v>
      </c>
      <c r="H216" s="16">
        <v>6384</v>
      </c>
      <c r="I216" s="17" t="s">
        <v>1412</v>
      </c>
      <c r="J216" s="18" t="s">
        <v>100</v>
      </c>
      <c r="K216" s="19" t="s">
        <v>24</v>
      </c>
      <c r="L216" s="19"/>
      <c r="M216" s="19" t="s">
        <v>1413</v>
      </c>
      <c r="N216" s="20" t="s">
        <v>26</v>
      </c>
      <c r="O216" s="20" t="s">
        <v>27</v>
      </c>
      <c r="P216" s="21" t="s">
        <v>1414</v>
      </c>
      <c r="Q216" s="26" t="s">
        <v>1415</v>
      </c>
      <c r="R216" s="20" t="s">
        <v>1416</v>
      </c>
      <c r="S216" s="20"/>
      <c r="T216" s="20"/>
      <c r="U216" s="20"/>
      <c r="V216" s="20"/>
    </row>
    <row r="217" spans="1:22" ht="51">
      <c r="A217">
        <v>3</v>
      </c>
      <c r="B217" s="11" t="s">
        <v>1417</v>
      </c>
      <c r="C217" s="23" t="s">
        <v>33</v>
      </c>
      <c r="D217" s="13" t="s">
        <v>1418</v>
      </c>
      <c r="E217" s="24">
        <v>100</v>
      </c>
      <c r="F217" s="25">
        <f>Table2[[#This Row],[Price]]/Table2[[#This Row],[Tot Ht Area]]</f>
        <v>3.1908104658583278E-2</v>
      </c>
      <c r="G217" s="16">
        <v>3134</v>
      </c>
      <c r="H217" s="16">
        <v>3326</v>
      </c>
      <c r="I217" s="17" t="s">
        <v>1419</v>
      </c>
      <c r="J217" s="18" t="s">
        <v>619</v>
      </c>
      <c r="K217" s="19" t="s">
        <v>48</v>
      </c>
      <c r="L217" s="19" t="s">
        <v>194</v>
      </c>
      <c r="M217" s="19" t="s">
        <v>1420</v>
      </c>
      <c r="N217" s="20" t="s">
        <v>26</v>
      </c>
      <c r="O217" s="20" t="s">
        <v>27</v>
      </c>
      <c r="P217" s="21" t="s">
        <v>6612</v>
      </c>
      <c r="Q217" s="20"/>
      <c r="R217" s="20" t="s">
        <v>1421</v>
      </c>
      <c r="S217" s="20"/>
      <c r="T217" s="20" t="s">
        <v>6318</v>
      </c>
      <c r="U217" s="20"/>
      <c r="V217" s="20"/>
    </row>
    <row r="218" spans="1:22" ht="17">
      <c r="A218">
        <v>3</v>
      </c>
      <c r="B218" s="11" t="s">
        <v>1422</v>
      </c>
      <c r="C218" s="23" t="s">
        <v>33</v>
      </c>
      <c r="D218" s="13" t="s">
        <v>90</v>
      </c>
      <c r="E218" s="24">
        <v>243300</v>
      </c>
      <c r="F218" s="25">
        <f>Table2[[#This Row],[Price]]/Table2[[#This Row],[Tot Ht Area]]</f>
        <v>45.664414414414416</v>
      </c>
      <c r="G218" s="16">
        <v>5328</v>
      </c>
      <c r="H218" s="16">
        <v>5480</v>
      </c>
      <c r="I218" s="17" t="s">
        <v>1423</v>
      </c>
      <c r="J218" s="18" t="s">
        <v>476</v>
      </c>
      <c r="K218" s="19" t="s">
        <v>37</v>
      </c>
      <c r="L218" s="19" t="s">
        <v>110</v>
      </c>
      <c r="M218" s="19" t="s">
        <v>1424</v>
      </c>
      <c r="N218" s="20" t="s">
        <v>26</v>
      </c>
      <c r="O218" s="20" t="s">
        <v>27</v>
      </c>
      <c r="P218" s="21" t="s">
        <v>1425</v>
      </c>
      <c r="Q218" s="26" t="s">
        <v>1426</v>
      </c>
      <c r="R218" s="20" t="s">
        <v>1427</v>
      </c>
      <c r="S218" s="20"/>
      <c r="T218" s="20" t="s">
        <v>6318</v>
      </c>
      <c r="U218" s="20" t="s">
        <v>6511</v>
      </c>
      <c r="V218" s="20" t="s">
        <v>6545</v>
      </c>
    </row>
    <row r="219" spans="1:22" ht="17">
      <c r="A219">
        <v>3</v>
      </c>
      <c r="B219" s="11" t="s">
        <v>1428</v>
      </c>
      <c r="C219" s="23" t="s">
        <v>33</v>
      </c>
      <c r="D219" s="13" t="s">
        <v>428</v>
      </c>
      <c r="E219" s="24">
        <v>2900000</v>
      </c>
      <c r="F219" s="25">
        <f>Table2[[#This Row],[Price]]/Table2[[#This Row],[Tot Ht Area]]</f>
        <v>402.16336153099434</v>
      </c>
      <c r="G219" s="16">
        <v>7211</v>
      </c>
      <c r="H219" s="16">
        <v>7645</v>
      </c>
      <c r="I219" s="17" t="s">
        <v>1429</v>
      </c>
      <c r="J219" s="18" t="s">
        <v>1430</v>
      </c>
      <c r="K219" s="19" t="s">
        <v>37</v>
      </c>
      <c r="L219" s="19" t="s">
        <v>510</v>
      </c>
      <c r="M219" s="19" t="s">
        <v>1431</v>
      </c>
      <c r="N219" s="20" t="s">
        <v>26</v>
      </c>
      <c r="O219" s="20" t="s">
        <v>27</v>
      </c>
      <c r="P219" s="21" t="s">
        <v>1432</v>
      </c>
      <c r="Q219" s="26" t="s">
        <v>1433</v>
      </c>
      <c r="R219" s="20" t="s">
        <v>1434</v>
      </c>
      <c r="S219" s="20"/>
      <c r="T219" s="20"/>
      <c r="U219" s="20"/>
      <c r="V219" s="20"/>
    </row>
    <row r="220" spans="1:22" ht="17">
      <c r="A220">
        <v>3</v>
      </c>
      <c r="B220" s="11" t="s">
        <v>1435</v>
      </c>
      <c r="C220" s="23" t="s">
        <v>33</v>
      </c>
      <c r="D220" s="13" t="s">
        <v>686</v>
      </c>
      <c r="E220" s="24">
        <v>625000</v>
      </c>
      <c r="F220" s="25">
        <f>Table2[[#This Row],[Price]]/Table2[[#This Row],[Tot Ht Area]]</f>
        <v>138.39681133746677</v>
      </c>
      <c r="G220" s="16">
        <v>4516</v>
      </c>
      <c r="H220" s="16">
        <v>4724</v>
      </c>
      <c r="I220" s="17" t="s">
        <v>1436</v>
      </c>
      <c r="J220" s="18" t="s">
        <v>209</v>
      </c>
      <c r="K220" s="19" t="s">
        <v>48</v>
      </c>
      <c r="L220" s="19" t="s">
        <v>510</v>
      </c>
      <c r="M220" s="19" t="s">
        <v>1437</v>
      </c>
      <c r="N220" s="20" t="s">
        <v>26</v>
      </c>
      <c r="O220" s="20" t="s">
        <v>27</v>
      </c>
      <c r="P220" s="21" t="s">
        <v>1438</v>
      </c>
      <c r="Q220" s="20"/>
      <c r="R220" s="20" t="s">
        <v>1439</v>
      </c>
      <c r="S220" s="20"/>
      <c r="T220" s="20"/>
      <c r="U220" s="20"/>
      <c r="V220" s="20"/>
    </row>
    <row r="221" spans="1:22" ht="34">
      <c r="A221">
        <v>3</v>
      </c>
      <c r="B221" s="11" t="s">
        <v>1440</v>
      </c>
      <c r="C221" s="12" t="s">
        <v>184</v>
      </c>
      <c r="D221" s="13" t="s">
        <v>1441</v>
      </c>
      <c r="E221" s="24"/>
      <c r="F221" s="25">
        <f>Table2[[#This Row],[Price]]/Table2[[#This Row],[Tot Ht Area]]</f>
        <v>0</v>
      </c>
      <c r="G221" s="16">
        <v>3168</v>
      </c>
      <c r="H221" s="16">
        <v>3168</v>
      </c>
      <c r="I221" s="17" t="s">
        <v>1442</v>
      </c>
      <c r="J221" s="18" t="s">
        <v>422</v>
      </c>
      <c r="K221" s="19" t="s">
        <v>48</v>
      </c>
      <c r="L221" s="19"/>
      <c r="M221" s="19" t="s">
        <v>1443</v>
      </c>
      <c r="N221" s="20" t="s">
        <v>26</v>
      </c>
      <c r="O221" s="20" t="s">
        <v>40</v>
      </c>
      <c r="P221" s="21" t="s">
        <v>1444</v>
      </c>
      <c r="Q221" s="26" t="s">
        <v>1445</v>
      </c>
      <c r="R221" s="20" t="s">
        <v>1446</v>
      </c>
      <c r="S221" s="20"/>
      <c r="T221" s="20"/>
      <c r="U221" s="20"/>
      <c r="V221" s="20"/>
    </row>
    <row r="222" spans="1:22" ht="17">
      <c r="A222">
        <v>3</v>
      </c>
      <c r="B222" s="11" t="s">
        <v>1447</v>
      </c>
      <c r="C222" s="23" t="s">
        <v>678</v>
      </c>
      <c r="D222" s="13" t="s">
        <v>285</v>
      </c>
      <c r="E222" s="24">
        <v>2414000</v>
      </c>
      <c r="F222" s="25">
        <f>Table2[[#This Row],[Price]]/Table2[[#This Row],[Tot Ht Area]]</f>
        <v>134.11111111111111</v>
      </c>
      <c r="G222" s="16">
        <v>18000</v>
      </c>
      <c r="H222" s="16">
        <v>18720</v>
      </c>
      <c r="I222" s="17" t="s">
        <v>1448</v>
      </c>
      <c r="J222" s="18" t="s">
        <v>57</v>
      </c>
      <c r="K222" s="19" t="s">
        <v>680</v>
      </c>
      <c r="L222" s="19" t="s">
        <v>711</v>
      </c>
      <c r="M222" s="19" t="s">
        <v>1449</v>
      </c>
      <c r="N222" s="20" t="s">
        <v>26</v>
      </c>
      <c r="O222" s="20" t="s">
        <v>27</v>
      </c>
      <c r="P222" s="21" t="s">
        <v>1450</v>
      </c>
      <c r="Q222" s="26" t="s">
        <v>1451</v>
      </c>
      <c r="R222" s="20" t="s">
        <v>1452</v>
      </c>
      <c r="S222" s="20"/>
      <c r="T222" s="20"/>
      <c r="U222" s="20"/>
      <c r="V222" s="20"/>
    </row>
    <row r="223" spans="1:22" ht="34">
      <c r="A223">
        <v>3</v>
      </c>
      <c r="B223" s="11" t="s">
        <v>1453</v>
      </c>
      <c r="C223" s="23" t="s">
        <v>678</v>
      </c>
      <c r="D223" s="13" t="s">
        <v>170</v>
      </c>
      <c r="E223" s="24">
        <v>400000</v>
      </c>
      <c r="F223" s="25">
        <f>Table2[[#This Row],[Price]]/Table2[[#This Row],[Tot Ht Area]]</f>
        <v>93.327111525898275</v>
      </c>
      <c r="G223" s="16">
        <v>4286</v>
      </c>
      <c r="H223" s="16">
        <v>4581</v>
      </c>
      <c r="I223" s="17" t="s">
        <v>1454</v>
      </c>
      <c r="J223" s="18" t="s">
        <v>151</v>
      </c>
      <c r="K223" s="19" t="s">
        <v>680</v>
      </c>
      <c r="L223" s="19" t="s">
        <v>704</v>
      </c>
      <c r="M223" s="19" t="s">
        <v>1455</v>
      </c>
      <c r="N223" s="20" t="s">
        <v>26</v>
      </c>
      <c r="O223" s="20" t="s">
        <v>27</v>
      </c>
      <c r="P223" s="21" t="s">
        <v>1456</v>
      </c>
      <c r="Q223" s="26" t="s">
        <v>1457</v>
      </c>
      <c r="R223" s="20" t="s">
        <v>1458</v>
      </c>
      <c r="S223" s="20"/>
      <c r="T223" s="20" t="s">
        <v>6318</v>
      </c>
      <c r="U223" s="20" t="s">
        <v>6537</v>
      </c>
      <c r="V223" s="20" t="s">
        <v>6538</v>
      </c>
    </row>
    <row r="224" spans="1:22" ht="32">
      <c r="A224">
        <v>3</v>
      </c>
      <c r="B224" s="29" t="s">
        <v>1459</v>
      </c>
      <c r="C224" s="12" t="s">
        <v>20</v>
      </c>
      <c r="D224" s="30" t="s">
        <v>450</v>
      </c>
      <c r="E224" s="31">
        <v>1340000</v>
      </c>
      <c r="F224" s="32">
        <f>Table2[[#This Row],[Price]]/Table2[[#This Row],[Tot Ht Area]]</f>
        <v>623.25581395348843</v>
      </c>
      <c r="G224" s="33">
        <v>2150</v>
      </c>
      <c r="H224" s="33">
        <v>2150</v>
      </c>
      <c r="I224" s="34" t="s">
        <v>902</v>
      </c>
      <c r="J224" s="35">
        <v>2007</v>
      </c>
      <c r="K224" s="30" t="s">
        <v>172</v>
      </c>
      <c r="L224" s="30"/>
      <c r="M224" s="30" t="s">
        <v>1460</v>
      </c>
      <c r="N224" s="20" t="s">
        <v>26</v>
      </c>
      <c r="O224" s="20" t="s">
        <v>27</v>
      </c>
      <c r="P224" s="21" t="s">
        <v>6531</v>
      </c>
      <c r="Q224" s="26" t="s">
        <v>1461</v>
      </c>
      <c r="R224" s="26" t="s">
        <v>1462</v>
      </c>
      <c r="S224" s="20"/>
      <c r="T224" s="20" t="s">
        <v>6318</v>
      </c>
      <c r="U224" s="20" t="s">
        <v>6509</v>
      </c>
      <c r="V224" s="20" t="s">
        <v>6540</v>
      </c>
    </row>
    <row r="225" spans="1:22" ht="34">
      <c r="A225">
        <v>3</v>
      </c>
      <c r="B225" s="29" t="s">
        <v>1463</v>
      </c>
      <c r="C225" s="12" t="s">
        <v>20</v>
      </c>
      <c r="D225" s="30" t="s">
        <v>554</v>
      </c>
      <c r="E225" s="31">
        <v>1200000</v>
      </c>
      <c r="F225" s="32">
        <f>Table2[[#This Row],[Price]]/Table2[[#This Row],[Tot Ht Area]]</f>
        <v>216.68472372697724</v>
      </c>
      <c r="G225" s="33">
        <v>5538</v>
      </c>
      <c r="H225" s="33">
        <v>5538</v>
      </c>
      <c r="I225" s="34" t="s">
        <v>1464</v>
      </c>
      <c r="J225" s="35">
        <v>1996</v>
      </c>
      <c r="K225" s="30" t="s">
        <v>1465</v>
      </c>
      <c r="L225" s="30"/>
      <c r="M225" s="30" t="s">
        <v>1466</v>
      </c>
      <c r="N225" s="20" t="s">
        <v>26</v>
      </c>
      <c r="O225" s="20" t="s">
        <v>27</v>
      </c>
      <c r="P225" s="21" t="s">
        <v>1467</v>
      </c>
      <c r="Q225" s="26" t="s">
        <v>1468</v>
      </c>
      <c r="R225" s="20" t="s">
        <v>1469</v>
      </c>
      <c r="S225" s="20"/>
      <c r="T225" s="20"/>
      <c r="U225" s="20"/>
      <c r="V225" s="20"/>
    </row>
    <row r="226" spans="1:22" ht="32">
      <c r="A226">
        <v>3</v>
      </c>
      <c r="B226" s="29" t="s">
        <v>1470</v>
      </c>
      <c r="C226" s="12" t="s">
        <v>20</v>
      </c>
      <c r="D226" s="30" t="s">
        <v>877</v>
      </c>
      <c r="E226" s="31">
        <v>800000</v>
      </c>
      <c r="F226" s="32">
        <f>Table2[[#This Row],[Price]]/Table2[[#This Row],[Tot Ht Area]]</f>
        <v>150.48908954100827</v>
      </c>
      <c r="G226" s="33">
        <v>5316</v>
      </c>
      <c r="H226" s="33">
        <v>6024</v>
      </c>
      <c r="I226" s="34" t="s">
        <v>1471</v>
      </c>
      <c r="J226" s="35">
        <v>1988</v>
      </c>
      <c r="K226" s="30" t="s">
        <v>1465</v>
      </c>
      <c r="L226" s="30"/>
      <c r="M226" s="30" t="s">
        <v>1472</v>
      </c>
      <c r="N226" s="20" t="s">
        <v>26</v>
      </c>
      <c r="O226" s="20" t="s">
        <v>27</v>
      </c>
      <c r="P226" s="21" t="s">
        <v>1473</v>
      </c>
      <c r="Q226" s="26" t="s">
        <v>1474</v>
      </c>
      <c r="R226" s="20" t="s">
        <v>1475</v>
      </c>
      <c r="S226" s="20"/>
      <c r="T226" s="20"/>
      <c r="U226" s="20"/>
      <c r="V226" s="20"/>
    </row>
    <row r="227" spans="1:22" ht="32">
      <c r="A227">
        <v>3</v>
      </c>
      <c r="B227" s="29" t="s">
        <v>1476</v>
      </c>
      <c r="C227" s="12" t="s">
        <v>20</v>
      </c>
      <c r="D227" s="30" t="s">
        <v>356</v>
      </c>
      <c r="E227" s="31">
        <v>100</v>
      </c>
      <c r="F227" s="32">
        <f>Table2[[#This Row],[Price]]/Table2[[#This Row],[Tot Ht Area]]</f>
        <v>3.780718336483932E-2</v>
      </c>
      <c r="G227" s="33">
        <v>2645</v>
      </c>
      <c r="H227" s="33">
        <v>7383</v>
      </c>
      <c r="I227" s="34" t="s">
        <v>1477</v>
      </c>
      <c r="J227" s="35">
        <v>1988</v>
      </c>
      <c r="K227" s="30" t="s">
        <v>1465</v>
      </c>
      <c r="L227" s="30"/>
      <c r="M227" s="30" t="s">
        <v>1478</v>
      </c>
      <c r="N227" s="20" t="s">
        <v>26</v>
      </c>
      <c r="O227" s="20" t="s">
        <v>27</v>
      </c>
      <c r="P227" s="21" t="s">
        <v>1479</v>
      </c>
      <c r="Q227" s="26" t="s">
        <v>1480</v>
      </c>
      <c r="R227" s="20" t="s">
        <v>1481</v>
      </c>
      <c r="S227" s="20"/>
      <c r="T227" s="20" t="s">
        <v>6318</v>
      </c>
      <c r="U227" s="20"/>
      <c r="V227" s="20"/>
    </row>
    <row r="228" spans="1:22" ht="34">
      <c r="A228">
        <v>3</v>
      </c>
      <c r="B228" s="11" t="s">
        <v>1482</v>
      </c>
      <c r="C228" s="12" t="s">
        <v>184</v>
      </c>
      <c r="D228" s="13" t="s">
        <v>314</v>
      </c>
      <c r="E228" s="24">
        <v>350000</v>
      </c>
      <c r="F228" s="25">
        <f>Table2[[#This Row],[Price]]/Table2[[#This Row],[Tot Ht Area]]</f>
        <v>142.3342822285482</v>
      </c>
      <c r="G228" s="16">
        <v>2459</v>
      </c>
      <c r="H228" s="16">
        <v>2559</v>
      </c>
      <c r="I228" s="17" t="s">
        <v>1483</v>
      </c>
      <c r="J228" s="18" t="s">
        <v>1484</v>
      </c>
      <c r="K228" s="19" t="s">
        <v>48</v>
      </c>
      <c r="L228" s="19"/>
      <c r="M228" s="19" t="s">
        <v>1485</v>
      </c>
      <c r="N228" s="20" t="s">
        <v>26</v>
      </c>
      <c r="O228" s="20" t="s">
        <v>27</v>
      </c>
      <c r="P228" s="21" t="s">
        <v>1486</v>
      </c>
      <c r="Q228" s="26" t="s">
        <v>1487</v>
      </c>
      <c r="R228" s="20" t="s">
        <v>1488</v>
      </c>
      <c r="S228" s="20"/>
      <c r="T228" s="20"/>
      <c r="U228" s="20"/>
      <c r="V228" s="20"/>
    </row>
    <row r="229" spans="1:22" ht="34">
      <c r="A229">
        <v>3</v>
      </c>
      <c r="B229" s="11" t="s">
        <v>1489</v>
      </c>
      <c r="C229" s="12" t="s">
        <v>184</v>
      </c>
      <c r="D229" s="13" t="s">
        <v>1490</v>
      </c>
      <c r="E229" s="24">
        <v>275000</v>
      </c>
      <c r="F229" s="25">
        <f>Table2[[#This Row],[Price]]/Table2[[#This Row],[Tot Ht Area]]</f>
        <v>123.87387387387388</v>
      </c>
      <c r="G229" s="16">
        <v>2220</v>
      </c>
      <c r="H229" s="16">
        <v>2835</v>
      </c>
      <c r="I229" s="17" t="s">
        <v>1491</v>
      </c>
      <c r="J229" s="18" t="s">
        <v>1492</v>
      </c>
      <c r="K229" s="19" t="s">
        <v>48</v>
      </c>
      <c r="L229" s="19"/>
      <c r="M229" s="19" t="s">
        <v>1493</v>
      </c>
      <c r="N229" s="20" t="s">
        <v>26</v>
      </c>
      <c r="O229" s="20" t="s">
        <v>27</v>
      </c>
      <c r="P229" s="21" t="s">
        <v>1494</v>
      </c>
      <c r="Q229" s="26" t="s">
        <v>1495</v>
      </c>
      <c r="R229" s="20" t="s">
        <v>1496</v>
      </c>
      <c r="S229" s="20"/>
      <c r="T229" s="20"/>
      <c r="U229" s="20"/>
      <c r="V229" s="20"/>
    </row>
    <row r="230" spans="1:22" ht="34">
      <c r="A230">
        <v>3</v>
      </c>
      <c r="B230" s="11" t="s">
        <v>1497</v>
      </c>
      <c r="C230" s="12" t="s">
        <v>20</v>
      </c>
      <c r="D230" s="13" t="s">
        <v>73</v>
      </c>
      <c r="E230" s="24">
        <v>500000</v>
      </c>
      <c r="F230" s="25">
        <f>Table2[[#This Row],[Price]]/Table2[[#This Row],[Tot Ht Area]]</f>
        <v>271.29679869777539</v>
      </c>
      <c r="G230" s="16">
        <v>1843</v>
      </c>
      <c r="H230" s="16">
        <v>2991</v>
      </c>
      <c r="I230" s="17" t="s">
        <v>1498</v>
      </c>
      <c r="J230" s="18" t="s">
        <v>1499</v>
      </c>
      <c r="K230" s="19" t="s">
        <v>1465</v>
      </c>
      <c r="L230" s="19"/>
      <c r="M230" s="19" t="s">
        <v>1500</v>
      </c>
      <c r="N230" s="20" t="s">
        <v>26</v>
      </c>
      <c r="O230" s="20" t="s">
        <v>27</v>
      </c>
      <c r="P230" s="21" t="s">
        <v>1501</v>
      </c>
      <c r="Q230" s="20" t="s">
        <v>1502</v>
      </c>
      <c r="R230" s="20" t="s">
        <v>1503</v>
      </c>
      <c r="S230" s="20"/>
      <c r="T230" s="20"/>
      <c r="U230" s="20"/>
      <c r="V230" s="20"/>
    </row>
    <row r="231" spans="1:22" ht="34">
      <c r="A231">
        <v>3</v>
      </c>
      <c r="B231" s="11" t="s">
        <v>1504</v>
      </c>
      <c r="C231" s="12" t="s">
        <v>20</v>
      </c>
      <c r="D231" s="13" t="s">
        <v>1418</v>
      </c>
      <c r="E231" s="24">
        <v>780000</v>
      </c>
      <c r="F231" s="25">
        <f>Table2[[#This Row],[Price]]/Table2[[#This Row],[Tot Ht Area]]</f>
        <v>87.84773060029282</v>
      </c>
      <c r="G231" s="16">
        <v>8879</v>
      </c>
      <c r="H231" s="16">
        <v>8879</v>
      </c>
      <c r="I231" s="17" t="s">
        <v>1505</v>
      </c>
      <c r="J231" s="18" t="s">
        <v>287</v>
      </c>
      <c r="K231" s="19" t="s">
        <v>1465</v>
      </c>
      <c r="L231" s="19"/>
      <c r="M231" s="19" t="s">
        <v>1506</v>
      </c>
      <c r="N231" s="20" t="s">
        <v>26</v>
      </c>
      <c r="O231" s="20" t="s">
        <v>27</v>
      </c>
      <c r="P231" s="21" t="s">
        <v>1507</v>
      </c>
      <c r="Q231" s="26" t="s">
        <v>1508</v>
      </c>
      <c r="R231" s="20" t="s">
        <v>1509</v>
      </c>
      <c r="S231" s="20"/>
      <c r="T231" s="20" t="s">
        <v>6318</v>
      </c>
      <c r="U231" s="20" t="s">
        <v>6535</v>
      </c>
      <c r="V231" s="20" t="s">
        <v>6536</v>
      </c>
    </row>
    <row r="232" spans="1:22" ht="17">
      <c r="A232">
        <v>3</v>
      </c>
      <c r="B232" s="11" t="s">
        <v>1510</v>
      </c>
      <c r="C232" s="12" t="s">
        <v>20</v>
      </c>
      <c r="D232" s="13" t="s">
        <v>177</v>
      </c>
      <c r="E232" s="24">
        <v>2305000</v>
      </c>
      <c r="F232" s="25">
        <f>Table2[[#This Row],[Price]]/Table2[[#This Row],[Tot Ht Area]]</f>
        <v>377.25040916530276</v>
      </c>
      <c r="G232" s="16">
        <v>6110</v>
      </c>
      <c r="H232" s="16">
        <v>6110</v>
      </c>
      <c r="I232" s="17" t="s">
        <v>1511</v>
      </c>
      <c r="J232" s="18" t="s">
        <v>747</v>
      </c>
      <c r="K232" s="19" t="s">
        <v>1465</v>
      </c>
      <c r="L232" s="19"/>
      <c r="M232" s="19" t="s">
        <v>1512</v>
      </c>
      <c r="N232" s="20" t="s">
        <v>26</v>
      </c>
      <c r="O232" s="20" t="s">
        <v>27</v>
      </c>
      <c r="P232" s="21" t="s">
        <v>1513</v>
      </c>
      <c r="Q232" s="26" t="s">
        <v>1514</v>
      </c>
      <c r="R232" s="20" t="s">
        <v>1515</v>
      </c>
      <c r="S232" s="20"/>
      <c r="T232" s="20"/>
      <c r="U232" s="20"/>
      <c r="V232" s="20"/>
    </row>
    <row r="233" spans="1:22" ht="34">
      <c r="A233">
        <v>3</v>
      </c>
      <c r="B233" s="11" t="s">
        <v>1668</v>
      </c>
      <c r="C233" s="23" t="s">
        <v>33</v>
      </c>
      <c r="D233" s="13" t="s">
        <v>658</v>
      </c>
      <c r="E233" s="14">
        <v>2097400</v>
      </c>
      <c r="F233" s="15">
        <f>Table2[[#This Row],[Price]]/Table2[[#This Row],[Tot Ht Area]]</f>
        <v>1048.7</v>
      </c>
      <c r="G233" s="16">
        <v>2000</v>
      </c>
      <c r="H233" s="16">
        <v>2080</v>
      </c>
      <c r="I233" s="17" t="s">
        <v>1669</v>
      </c>
      <c r="J233" s="18" t="s">
        <v>627</v>
      </c>
      <c r="K233" s="19" t="s">
        <v>37</v>
      </c>
      <c r="L233" s="19" t="s">
        <v>143</v>
      </c>
      <c r="M233" s="19" t="s">
        <v>1670</v>
      </c>
      <c r="N233" s="27" t="s">
        <v>26</v>
      </c>
      <c r="O233" s="20" t="s">
        <v>27</v>
      </c>
      <c r="P233" s="21" t="s">
        <v>6613</v>
      </c>
      <c r="Q233" s="22" t="s">
        <v>1672</v>
      </c>
      <c r="R233" s="22" t="s">
        <v>1673</v>
      </c>
      <c r="S233" s="20"/>
      <c r="T233" s="20" t="s">
        <v>6318</v>
      </c>
      <c r="U233" s="20" t="s">
        <v>6542</v>
      </c>
      <c r="V233" s="20" t="s">
        <v>1673</v>
      </c>
    </row>
    <row r="234" spans="1:22" ht="17">
      <c r="A234">
        <v>3</v>
      </c>
      <c r="B234" s="11" t="s">
        <v>1674</v>
      </c>
      <c r="C234" s="23" t="s">
        <v>33</v>
      </c>
      <c r="D234" s="13" t="s">
        <v>322</v>
      </c>
      <c r="E234" s="14">
        <v>1025000</v>
      </c>
      <c r="F234" s="15">
        <f>Table2[[#This Row],[Price]]/Table2[[#This Row],[Tot Ht Area]]</f>
        <v>229.97531972178595</v>
      </c>
      <c r="G234" s="16">
        <v>4457</v>
      </c>
      <c r="H234" s="16">
        <v>5942</v>
      </c>
      <c r="I234" s="17" t="s">
        <v>1675</v>
      </c>
      <c r="J234" s="18" t="s">
        <v>599</v>
      </c>
      <c r="K234" s="19" t="s">
        <v>37</v>
      </c>
      <c r="L234" s="19" t="s">
        <v>38</v>
      </c>
      <c r="M234" s="19" t="s">
        <v>1676</v>
      </c>
      <c r="N234" s="27" t="s">
        <v>26</v>
      </c>
      <c r="O234" s="20" t="s">
        <v>27</v>
      </c>
      <c r="P234" s="21" t="s">
        <v>6462</v>
      </c>
      <c r="Q234" s="22" t="s">
        <v>1678</v>
      </c>
      <c r="R234" s="20" t="s">
        <v>1679</v>
      </c>
      <c r="S234" s="20"/>
      <c r="T234" s="20"/>
      <c r="U234" s="20"/>
      <c r="V234" s="20"/>
    </row>
    <row r="235" spans="1:22" ht="34">
      <c r="A235">
        <v>3</v>
      </c>
      <c r="B235" s="11" t="s">
        <v>2383</v>
      </c>
      <c r="C235" s="23" t="s">
        <v>33</v>
      </c>
      <c r="D235" s="13" t="s">
        <v>745</v>
      </c>
      <c r="E235" s="24">
        <v>830900</v>
      </c>
      <c r="F235" s="25">
        <f>Table2[[#This Row],[Price]]/Table2[[#This Row],[Tot Ht Area]]</f>
        <v>136.21311475409837</v>
      </c>
      <c r="G235" s="16">
        <v>6100</v>
      </c>
      <c r="H235" s="16">
        <v>6330</v>
      </c>
      <c r="I235" s="17" t="s">
        <v>2384</v>
      </c>
      <c r="J235" s="18" t="s">
        <v>47</v>
      </c>
      <c r="K235" s="19" t="s">
        <v>37</v>
      </c>
      <c r="L235" s="19" t="s">
        <v>1866</v>
      </c>
      <c r="M235" s="19" t="s">
        <v>2385</v>
      </c>
      <c r="N235" s="27" t="s">
        <v>26</v>
      </c>
      <c r="O235" s="20" t="s">
        <v>27</v>
      </c>
      <c r="P235" s="21" t="s">
        <v>2386</v>
      </c>
      <c r="Q235" s="20" t="s">
        <v>2387</v>
      </c>
      <c r="R235" s="20" t="s">
        <v>2388</v>
      </c>
      <c r="S235" s="20"/>
      <c r="T235" s="20" t="s">
        <v>6318</v>
      </c>
      <c r="U235" s="20" t="s">
        <v>6525</v>
      </c>
      <c r="V235" s="20" t="s">
        <v>6563</v>
      </c>
    </row>
    <row r="236" spans="1:22" ht="34">
      <c r="A236">
        <v>3</v>
      </c>
      <c r="B236" s="11" t="s">
        <v>1516</v>
      </c>
      <c r="C236" s="23" t="s">
        <v>33</v>
      </c>
      <c r="D236" s="13" t="s">
        <v>1490</v>
      </c>
      <c r="E236" s="24">
        <v>4918100</v>
      </c>
      <c r="F236" s="25">
        <f>Table2[[#This Row],[Price]]/Table2[[#This Row],[Tot Ht Area]]</f>
        <v>281.5813580671018</v>
      </c>
      <c r="G236" s="16">
        <v>17466</v>
      </c>
      <c r="H236" s="16">
        <v>22828</v>
      </c>
      <c r="I236" s="17" t="s">
        <v>1517</v>
      </c>
      <c r="J236" s="18" t="s">
        <v>1138</v>
      </c>
      <c r="K236" s="19" t="s">
        <v>48</v>
      </c>
      <c r="L236" s="19" t="s">
        <v>84</v>
      </c>
      <c r="M236" s="19" t="s">
        <v>1518</v>
      </c>
      <c r="N236" s="20" t="s">
        <v>1519</v>
      </c>
      <c r="O236" s="20" t="s">
        <v>27</v>
      </c>
      <c r="P236" s="21" t="s">
        <v>6378</v>
      </c>
      <c r="Q236" s="20"/>
      <c r="R236" s="26" t="s">
        <v>1521</v>
      </c>
      <c r="S236" s="20"/>
      <c r="T236" s="20"/>
      <c r="U236" s="20"/>
      <c r="V236" s="20"/>
    </row>
    <row r="237" spans="1:22" ht="34">
      <c r="A237">
        <v>3</v>
      </c>
      <c r="B237" s="11" t="s">
        <v>1522</v>
      </c>
      <c r="C237" s="23" t="s">
        <v>33</v>
      </c>
      <c r="D237" s="13" t="s">
        <v>1441</v>
      </c>
      <c r="E237" s="24">
        <v>5600000</v>
      </c>
      <c r="F237" s="25">
        <f>Table2[[#This Row],[Price]]/Table2[[#This Row],[Tot Ht Area]]</f>
        <v>171.09162567596468</v>
      </c>
      <c r="G237" s="16">
        <v>32731</v>
      </c>
      <c r="H237" s="16">
        <v>33652</v>
      </c>
      <c r="I237" s="17" t="s">
        <v>1523</v>
      </c>
      <c r="J237" s="18" t="s">
        <v>241</v>
      </c>
      <c r="K237" s="19" t="s">
        <v>101</v>
      </c>
      <c r="L237" s="19" t="s">
        <v>1524</v>
      </c>
      <c r="M237" s="19" t="s">
        <v>1525</v>
      </c>
      <c r="N237" s="20" t="s">
        <v>1519</v>
      </c>
      <c r="O237" s="20" t="s">
        <v>27</v>
      </c>
      <c r="P237" s="21" t="s">
        <v>1526</v>
      </c>
      <c r="Q237" s="20"/>
      <c r="R237" s="26" t="s">
        <v>1527</v>
      </c>
      <c r="S237" s="20"/>
      <c r="T237" s="20"/>
      <c r="U237" s="20"/>
      <c r="V237" s="20"/>
    </row>
    <row r="238" spans="1:22" ht="17">
      <c r="A238">
        <v>3</v>
      </c>
      <c r="B238" s="11" t="s">
        <v>1528</v>
      </c>
      <c r="C238" s="23" t="s">
        <v>33</v>
      </c>
      <c r="D238" s="13" t="s">
        <v>571</v>
      </c>
      <c r="E238" s="24">
        <v>5913600</v>
      </c>
      <c r="F238" s="25">
        <f>Table2[[#This Row],[Price]]/Table2[[#This Row],[Tot Ht Area]]</f>
        <v>238.42277143893884</v>
      </c>
      <c r="G238" s="16">
        <v>24803</v>
      </c>
      <c r="H238" s="16">
        <v>25208</v>
      </c>
      <c r="I238" s="17" t="s">
        <v>1529</v>
      </c>
      <c r="J238" s="18" t="s">
        <v>566</v>
      </c>
      <c r="K238" s="19" t="s">
        <v>48</v>
      </c>
      <c r="L238" s="19" t="s">
        <v>1524</v>
      </c>
      <c r="M238" s="19" t="s">
        <v>1530</v>
      </c>
      <c r="N238" s="20" t="s">
        <v>1519</v>
      </c>
      <c r="O238" s="20" t="s">
        <v>27</v>
      </c>
      <c r="P238" s="21" t="s">
        <v>1531</v>
      </c>
      <c r="Q238" s="20"/>
      <c r="R238" s="20" t="s">
        <v>1532</v>
      </c>
      <c r="S238" s="20"/>
      <c r="T238" s="20"/>
      <c r="U238" s="20"/>
      <c r="V238" s="20"/>
    </row>
    <row r="239" spans="1:22" ht="34">
      <c r="A239">
        <v>3</v>
      </c>
      <c r="B239" s="11" t="s">
        <v>1533</v>
      </c>
      <c r="C239" s="23" t="s">
        <v>33</v>
      </c>
      <c r="D239" s="13" t="s">
        <v>149</v>
      </c>
      <c r="E239" s="24">
        <v>100</v>
      </c>
      <c r="F239" s="25">
        <f>Table2[[#This Row],[Price]]/Table2[[#This Row],[Tot Ht Area]]</f>
        <v>2.8089098620825256E-3</v>
      </c>
      <c r="G239" s="16">
        <v>35601</v>
      </c>
      <c r="H239" s="16">
        <v>52550</v>
      </c>
      <c r="I239" s="17" t="s">
        <v>1534</v>
      </c>
      <c r="J239" s="18" t="s">
        <v>1138</v>
      </c>
      <c r="K239" s="19" t="s">
        <v>48</v>
      </c>
      <c r="L239" s="19" t="s">
        <v>1524</v>
      </c>
      <c r="M239" s="19" t="s">
        <v>1535</v>
      </c>
      <c r="N239" s="20" t="s">
        <v>1519</v>
      </c>
      <c r="O239" s="20" t="s">
        <v>27</v>
      </c>
      <c r="P239" s="21" t="s">
        <v>1536</v>
      </c>
      <c r="Q239" s="20"/>
      <c r="R239" s="20" t="s">
        <v>1537</v>
      </c>
      <c r="S239" s="20"/>
      <c r="T239" s="20" t="s">
        <v>6318</v>
      </c>
      <c r="U239" s="20"/>
      <c r="V239" s="20"/>
    </row>
    <row r="240" spans="1:22" ht="34">
      <c r="A240">
        <v>3</v>
      </c>
      <c r="B240" s="11" t="s">
        <v>1538</v>
      </c>
      <c r="C240" s="23" t="s">
        <v>33</v>
      </c>
      <c r="D240" s="13" t="s">
        <v>554</v>
      </c>
      <c r="E240" s="24">
        <v>1600000</v>
      </c>
      <c r="F240" s="25">
        <f>Table2[[#This Row],[Price]]/Table2[[#This Row],[Tot Ht Area]]</f>
        <v>241.87452758881329</v>
      </c>
      <c r="G240" s="16">
        <v>6615</v>
      </c>
      <c r="H240" s="16">
        <v>7443</v>
      </c>
      <c r="I240" s="17" t="s">
        <v>1539</v>
      </c>
      <c r="J240" s="18" t="s">
        <v>566</v>
      </c>
      <c r="K240" s="19" t="s">
        <v>48</v>
      </c>
      <c r="L240" s="19" t="s">
        <v>457</v>
      </c>
      <c r="M240" s="19" t="s">
        <v>1540</v>
      </c>
      <c r="N240" s="20" t="s">
        <v>1519</v>
      </c>
      <c r="O240" s="20" t="s">
        <v>27</v>
      </c>
      <c r="P240" s="21" t="s">
        <v>1541</v>
      </c>
      <c r="Q240" s="20"/>
      <c r="R240" s="20" t="s">
        <v>1542</v>
      </c>
      <c r="S240" s="20"/>
      <c r="T240" s="20"/>
      <c r="U240" s="20"/>
      <c r="V240" s="20"/>
    </row>
    <row r="241" spans="1:22" ht="51">
      <c r="A241">
        <v>3</v>
      </c>
      <c r="B241" s="11" t="s">
        <v>1543</v>
      </c>
      <c r="C241" s="23" t="s">
        <v>33</v>
      </c>
      <c r="D241" s="13" t="s">
        <v>170</v>
      </c>
      <c r="E241" s="24">
        <v>2720000</v>
      </c>
      <c r="F241" s="25">
        <f>Table2[[#This Row],[Price]]/Table2[[#This Row],[Tot Ht Area]]</f>
        <v>408.89957907396274</v>
      </c>
      <c r="G241" s="16">
        <v>6652</v>
      </c>
      <c r="H241" s="16">
        <v>7054</v>
      </c>
      <c r="I241" s="17" t="s">
        <v>1544</v>
      </c>
      <c r="J241" s="18" t="s">
        <v>688</v>
      </c>
      <c r="K241" s="19" t="s">
        <v>48</v>
      </c>
      <c r="L241" s="19" t="s">
        <v>457</v>
      </c>
      <c r="M241" s="19" t="s">
        <v>1545</v>
      </c>
      <c r="N241" s="20" t="s">
        <v>1519</v>
      </c>
      <c r="O241" s="20" t="s">
        <v>27</v>
      </c>
      <c r="P241" s="21" t="s">
        <v>1546</v>
      </c>
      <c r="Q241" s="20"/>
      <c r="R241" s="20" t="s">
        <v>1547</v>
      </c>
      <c r="S241" s="20"/>
      <c r="T241" s="20"/>
      <c r="U241" s="20"/>
      <c r="V241" s="20"/>
    </row>
    <row r="242" spans="1:22" ht="51">
      <c r="A242" s="36"/>
      <c r="B242" s="11" t="s">
        <v>1548</v>
      </c>
      <c r="C242" s="23" t="s">
        <v>33</v>
      </c>
      <c r="D242" s="13" t="s">
        <v>170</v>
      </c>
      <c r="E242" s="24">
        <v>5100000</v>
      </c>
      <c r="F242" s="25">
        <f>Table2[[#This Row],[Price]]/Table2[[#This Row],[Tot Ht Area]]</f>
        <v>389.31297709923666</v>
      </c>
      <c r="G242" s="16">
        <v>13100</v>
      </c>
      <c r="H242" s="16">
        <v>13268</v>
      </c>
      <c r="I242" s="17" t="s">
        <v>1544</v>
      </c>
      <c r="J242" s="18" t="s">
        <v>688</v>
      </c>
      <c r="K242" s="19" t="s">
        <v>48</v>
      </c>
      <c r="L242" s="19" t="s">
        <v>457</v>
      </c>
      <c r="M242" s="19" t="s">
        <v>1549</v>
      </c>
      <c r="N242" s="20" t="s">
        <v>1519</v>
      </c>
      <c r="O242" s="20" t="s">
        <v>27</v>
      </c>
      <c r="P242" s="21" t="s">
        <v>1546</v>
      </c>
      <c r="Q242" s="20"/>
      <c r="R242" s="20" t="s">
        <v>1550</v>
      </c>
      <c r="S242" s="20"/>
      <c r="T242" s="20"/>
      <c r="U242" s="20"/>
      <c r="V242" s="20"/>
    </row>
    <row r="243" spans="1:22" ht="51">
      <c r="B243" s="11" t="s">
        <v>1551</v>
      </c>
      <c r="C243" s="23" t="s">
        <v>33</v>
      </c>
      <c r="D243" s="13" t="s">
        <v>170</v>
      </c>
      <c r="E243" s="24">
        <v>5610000</v>
      </c>
      <c r="F243" s="25">
        <f>Table2[[#This Row],[Price]]/Table2[[#This Row],[Tot Ht Area]]</f>
        <v>395.90684544812984</v>
      </c>
      <c r="G243" s="16">
        <v>14170</v>
      </c>
      <c r="H243" s="16">
        <v>14330</v>
      </c>
      <c r="I243" s="17" t="s">
        <v>1544</v>
      </c>
      <c r="J243" s="18" t="s">
        <v>688</v>
      </c>
      <c r="K243" s="19" t="s">
        <v>48</v>
      </c>
      <c r="L243" s="19" t="s">
        <v>457</v>
      </c>
      <c r="M243" s="19" t="s">
        <v>1552</v>
      </c>
      <c r="N243" s="20" t="s">
        <v>1519</v>
      </c>
      <c r="O243" s="20" t="s">
        <v>27</v>
      </c>
      <c r="P243" s="21" t="s">
        <v>1546</v>
      </c>
      <c r="Q243" s="20"/>
      <c r="R243" s="20" t="s">
        <v>1553</v>
      </c>
      <c r="S243" s="20"/>
      <c r="T243" s="20"/>
      <c r="U243" s="20"/>
      <c r="V243" s="20"/>
    </row>
    <row r="244" spans="1:22" ht="51">
      <c r="B244" s="11" t="s">
        <v>1554</v>
      </c>
      <c r="C244" s="23" t="s">
        <v>33</v>
      </c>
      <c r="D244" s="13" t="s">
        <v>170</v>
      </c>
      <c r="E244" s="24">
        <v>3570000</v>
      </c>
      <c r="F244" s="25">
        <f>Table2[[#This Row],[Price]]/Table2[[#This Row],[Tot Ht Area]]</f>
        <v>399.41821436562992</v>
      </c>
      <c r="G244" s="16">
        <v>8938</v>
      </c>
      <c r="H244" s="16">
        <v>9328</v>
      </c>
      <c r="I244" s="17" t="s">
        <v>1544</v>
      </c>
      <c r="J244" s="18" t="s">
        <v>688</v>
      </c>
      <c r="K244" s="19" t="s">
        <v>48</v>
      </c>
      <c r="L244" s="19" t="s">
        <v>457</v>
      </c>
      <c r="M244" s="19" t="s">
        <v>1555</v>
      </c>
      <c r="N244" s="20" t="s">
        <v>1519</v>
      </c>
      <c r="O244" s="20" t="s">
        <v>27</v>
      </c>
      <c r="P244" s="21" t="s">
        <v>1546</v>
      </c>
      <c r="Q244" s="20"/>
      <c r="R244" s="20" t="s">
        <v>1556</v>
      </c>
      <c r="S244" s="20"/>
      <c r="T244" s="20"/>
      <c r="U244" s="20"/>
      <c r="V244" s="20"/>
    </row>
    <row r="245" spans="1:22" ht="17">
      <c r="B245" s="11" t="s">
        <v>1557</v>
      </c>
      <c r="C245" s="23" t="s">
        <v>33</v>
      </c>
      <c r="D245" s="13" t="s">
        <v>407</v>
      </c>
      <c r="E245" s="24">
        <v>7000000</v>
      </c>
      <c r="F245" s="25">
        <f>Table2[[#This Row],[Price]]/Table2[[#This Row],[Tot Ht Area]]</f>
        <v>152.4589449841007</v>
      </c>
      <c r="G245" s="16">
        <v>45914</v>
      </c>
      <c r="H245" s="16">
        <v>54386</v>
      </c>
      <c r="I245" s="17" t="s">
        <v>1558</v>
      </c>
      <c r="J245" s="18" t="s">
        <v>57</v>
      </c>
      <c r="K245" s="19" t="s">
        <v>101</v>
      </c>
      <c r="L245" s="19" t="s">
        <v>118</v>
      </c>
      <c r="M245" s="19" t="s">
        <v>1559</v>
      </c>
      <c r="N245" s="20" t="s">
        <v>1519</v>
      </c>
      <c r="O245" s="20" t="s">
        <v>27</v>
      </c>
      <c r="P245" s="21" t="s">
        <v>1560</v>
      </c>
      <c r="Q245" s="20"/>
      <c r="R245" s="20" t="s">
        <v>1561</v>
      </c>
      <c r="S245" s="20"/>
      <c r="T245" s="20"/>
      <c r="U245" s="20"/>
      <c r="V245" s="20"/>
    </row>
    <row r="246" spans="1:22" ht="17">
      <c r="B246" s="11" t="s">
        <v>1562</v>
      </c>
      <c r="C246" s="23" t="s">
        <v>33</v>
      </c>
      <c r="D246" s="13" t="s">
        <v>34</v>
      </c>
      <c r="E246" s="24">
        <v>3900000</v>
      </c>
      <c r="F246" s="25">
        <f>Table2[[#This Row],[Price]]/Table2[[#This Row],[Tot Ht Area]]</f>
        <v>185.51110688293772</v>
      </c>
      <c r="G246" s="16">
        <v>21023</v>
      </c>
      <c r="H246" s="16">
        <v>21903</v>
      </c>
      <c r="I246" s="17" t="s">
        <v>1563</v>
      </c>
      <c r="J246" s="18" t="s">
        <v>217</v>
      </c>
      <c r="K246" s="19" t="s">
        <v>101</v>
      </c>
      <c r="L246" s="19" t="s">
        <v>127</v>
      </c>
      <c r="M246" s="19" t="s">
        <v>1564</v>
      </c>
      <c r="N246" s="20" t="s">
        <v>1519</v>
      </c>
      <c r="O246" s="20" t="s">
        <v>27</v>
      </c>
      <c r="P246" s="21" t="s">
        <v>1565</v>
      </c>
      <c r="Q246" s="20"/>
      <c r="R246" s="20" t="s">
        <v>1566</v>
      </c>
      <c r="S246" s="20"/>
      <c r="T246" s="20"/>
      <c r="U246" s="20"/>
      <c r="V246" s="20"/>
    </row>
    <row r="247" spans="1:22" ht="17">
      <c r="B247" s="11" t="s">
        <v>1567</v>
      </c>
      <c r="C247" s="23" t="s">
        <v>33</v>
      </c>
      <c r="D247" s="13" t="s">
        <v>709</v>
      </c>
      <c r="E247" s="24">
        <v>3200000</v>
      </c>
      <c r="F247" s="25">
        <f>Table2[[#This Row],[Price]]/Table2[[#This Row],[Tot Ht Area]]</f>
        <v>119.69776314805117</v>
      </c>
      <c r="G247" s="16">
        <v>26734</v>
      </c>
      <c r="H247" s="16">
        <v>30090</v>
      </c>
      <c r="I247" s="17" t="s">
        <v>1568</v>
      </c>
      <c r="J247" s="18" t="s">
        <v>560</v>
      </c>
      <c r="K247" s="19" t="s">
        <v>101</v>
      </c>
      <c r="L247" s="19" t="s">
        <v>1569</v>
      </c>
      <c r="M247" s="19" t="s">
        <v>1570</v>
      </c>
      <c r="N247" s="20" t="s">
        <v>1519</v>
      </c>
      <c r="O247" s="20" t="s">
        <v>27</v>
      </c>
      <c r="P247" s="21" t="s">
        <v>6614</v>
      </c>
      <c r="Q247" s="20"/>
      <c r="R247" s="26" t="s">
        <v>1572</v>
      </c>
      <c r="S247" s="20"/>
      <c r="T247" s="20" t="s">
        <v>6318</v>
      </c>
      <c r="U247" s="20" t="s">
        <v>6521</v>
      </c>
      <c r="V247" s="20" t="s">
        <v>6560</v>
      </c>
    </row>
    <row r="248" spans="1:22" ht="34">
      <c r="B248" s="29" t="s">
        <v>1573</v>
      </c>
      <c r="C248" s="12" t="s">
        <v>20</v>
      </c>
      <c r="D248" s="30" t="s">
        <v>141</v>
      </c>
      <c r="E248" s="31">
        <v>4500000</v>
      </c>
      <c r="F248" s="32">
        <f>Table2[[#This Row],[Price]]/Table2[[#This Row],[Tot Ht Area]]</f>
        <v>247.25274725274724</v>
      </c>
      <c r="G248" s="33">
        <v>18200</v>
      </c>
      <c r="H248" s="33">
        <v>18200</v>
      </c>
      <c r="I248" s="34" t="s">
        <v>1574</v>
      </c>
      <c r="J248" s="35">
        <v>2006</v>
      </c>
      <c r="K248" s="30" t="s">
        <v>172</v>
      </c>
      <c r="L248" s="30"/>
      <c r="M248" s="30" t="s">
        <v>1575</v>
      </c>
      <c r="N248" s="20" t="s">
        <v>1519</v>
      </c>
      <c r="O248" s="20" t="s">
        <v>27</v>
      </c>
      <c r="P248" s="21" t="s">
        <v>6434</v>
      </c>
      <c r="Q248" s="20"/>
      <c r="R248" s="20" t="s">
        <v>1577</v>
      </c>
      <c r="S248" s="20"/>
      <c r="T248" s="20"/>
      <c r="U248" s="20"/>
      <c r="V248" s="20"/>
    </row>
    <row r="249" spans="1:22" ht="34">
      <c r="B249" s="11" t="s">
        <v>1578</v>
      </c>
      <c r="C249" s="23" t="s">
        <v>33</v>
      </c>
      <c r="D249" s="13" t="s">
        <v>149</v>
      </c>
      <c r="E249" s="24">
        <v>100</v>
      </c>
      <c r="F249" s="25">
        <f>Table2[[#This Row],[Price]]/Table2[[#This Row],[Tot Ht Area]]</f>
        <v>2.0618556701030927E-2</v>
      </c>
      <c r="G249" s="16">
        <v>4850</v>
      </c>
      <c r="H249" s="16">
        <v>5288</v>
      </c>
      <c r="I249" s="17" t="s">
        <v>1579</v>
      </c>
      <c r="J249" s="18" t="s">
        <v>1484</v>
      </c>
      <c r="K249" s="19" t="s">
        <v>37</v>
      </c>
      <c r="L249" s="19" t="s">
        <v>127</v>
      </c>
      <c r="M249" s="19" t="s">
        <v>1580</v>
      </c>
      <c r="N249" s="20" t="s">
        <v>1519</v>
      </c>
      <c r="O249" s="20" t="s">
        <v>40</v>
      </c>
      <c r="P249" s="21" t="s">
        <v>1581</v>
      </c>
      <c r="Q249" s="20"/>
      <c r="R249" s="26" t="s">
        <v>1582</v>
      </c>
      <c r="S249" s="20"/>
      <c r="T249" s="20" t="s">
        <v>6318</v>
      </c>
      <c r="U249" s="20"/>
      <c r="V249" s="20"/>
    </row>
    <row r="250" spans="1:22" ht="17">
      <c r="B250" s="11" t="s">
        <v>1583</v>
      </c>
      <c r="C250" s="12" t="s">
        <v>20</v>
      </c>
      <c r="D250" s="13" t="s">
        <v>207</v>
      </c>
      <c r="E250" s="24">
        <v>7000000</v>
      </c>
      <c r="F250" s="25">
        <f>Table2[[#This Row],[Price]]/Table2[[#This Row],[Tot Ht Area]]</f>
        <v>176.76767676767676</v>
      </c>
      <c r="G250" s="16">
        <v>39600</v>
      </c>
      <c r="H250" s="16">
        <v>39600</v>
      </c>
      <c r="I250" s="17" t="s">
        <v>1584</v>
      </c>
      <c r="J250" s="18" t="s">
        <v>358</v>
      </c>
      <c r="K250" s="19" t="s">
        <v>1585</v>
      </c>
      <c r="L250" s="19"/>
      <c r="M250" s="19" t="s">
        <v>1586</v>
      </c>
      <c r="N250" s="20" t="s">
        <v>1519</v>
      </c>
      <c r="O250" s="20" t="s">
        <v>27</v>
      </c>
      <c r="P250" s="21" t="s">
        <v>1587</v>
      </c>
      <c r="Q250" s="26" t="s">
        <v>1588</v>
      </c>
      <c r="R250" s="20" t="s">
        <v>1589</v>
      </c>
      <c r="S250" s="20"/>
      <c r="T250" s="20"/>
      <c r="U250" s="20"/>
      <c r="V250" s="20"/>
    </row>
    <row r="251" spans="1:22" ht="17">
      <c r="B251" s="11" t="s">
        <v>1590</v>
      </c>
      <c r="C251" s="23" t="s">
        <v>33</v>
      </c>
      <c r="D251" s="13" t="s">
        <v>428</v>
      </c>
      <c r="E251" s="24">
        <v>15500000</v>
      </c>
      <c r="F251" s="25">
        <f>Table2[[#This Row],[Price]]/Table2[[#This Row],[Tot Ht Area]]</f>
        <v>386.99690402476779</v>
      </c>
      <c r="G251" s="16">
        <v>40052</v>
      </c>
      <c r="H251" s="16">
        <v>43362</v>
      </c>
      <c r="I251" s="17" t="s">
        <v>1591</v>
      </c>
      <c r="J251" s="18" t="s">
        <v>1057</v>
      </c>
      <c r="K251" s="19" t="s">
        <v>101</v>
      </c>
      <c r="L251" s="19" t="s">
        <v>110</v>
      </c>
      <c r="M251" s="19" t="s">
        <v>1592</v>
      </c>
      <c r="N251" s="37" t="s">
        <v>1519</v>
      </c>
      <c r="O251" s="20" t="s">
        <v>27</v>
      </c>
      <c r="P251" s="21" t="s">
        <v>1593</v>
      </c>
      <c r="Q251" s="20"/>
      <c r="R251" s="20" t="s">
        <v>1594</v>
      </c>
      <c r="S251" s="20"/>
      <c r="T251" s="20"/>
      <c r="U251" s="20"/>
      <c r="V251" s="20"/>
    </row>
    <row r="252" spans="1:22" ht="34">
      <c r="B252" s="11" t="s">
        <v>1595</v>
      </c>
      <c r="C252" s="23" t="s">
        <v>33</v>
      </c>
      <c r="D252" s="13" t="s">
        <v>133</v>
      </c>
      <c r="E252" s="24">
        <v>6400000</v>
      </c>
      <c r="F252" s="25">
        <f>Table2[[#This Row],[Price]]/Table2[[#This Row],[Tot Ht Area]]</f>
        <v>252.72468804296321</v>
      </c>
      <c r="G252" s="16">
        <v>25324</v>
      </c>
      <c r="H252" s="16">
        <v>26428</v>
      </c>
      <c r="I252" s="17" t="s">
        <v>1596</v>
      </c>
      <c r="J252" s="18" t="s">
        <v>379</v>
      </c>
      <c r="K252" s="19" t="s">
        <v>101</v>
      </c>
      <c r="L252" s="19" t="s">
        <v>143</v>
      </c>
      <c r="M252" s="19" t="s">
        <v>1597</v>
      </c>
      <c r="N252" s="20" t="s">
        <v>1598</v>
      </c>
      <c r="O252" s="20" t="s">
        <v>27</v>
      </c>
      <c r="P252" s="21" t="s">
        <v>1599</v>
      </c>
      <c r="Q252" s="20"/>
      <c r="R252" s="26" t="s">
        <v>1600</v>
      </c>
      <c r="S252" s="20"/>
      <c r="T252" s="20"/>
      <c r="U252" s="20"/>
      <c r="V252" s="20"/>
    </row>
    <row r="253" spans="1:22" ht="34">
      <c r="B253" s="11" t="s">
        <v>1601</v>
      </c>
      <c r="C253" s="23" t="s">
        <v>678</v>
      </c>
      <c r="D253" s="13" t="s">
        <v>124</v>
      </c>
      <c r="E253" s="24">
        <v>100</v>
      </c>
      <c r="F253" s="25">
        <f>Table2[[#This Row],[Price]]/Table2[[#This Row],[Tot Ht Area]]</f>
        <v>2.4154589371980676E-2</v>
      </c>
      <c r="G253" s="16">
        <v>4140</v>
      </c>
      <c r="H253" s="16">
        <v>4358</v>
      </c>
      <c r="I253" s="17" t="s">
        <v>1602</v>
      </c>
      <c r="J253" s="18" t="s">
        <v>100</v>
      </c>
      <c r="K253" s="19" t="s">
        <v>1603</v>
      </c>
      <c r="L253" s="19" t="s">
        <v>724</v>
      </c>
      <c r="M253" s="19" t="s">
        <v>1604</v>
      </c>
      <c r="N253" s="20" t="s">
        <v>1598</v>
      </c>
      <c r="O253" s="20" t="s">
        <v>27</v>
      </c>
      <c r="P253" s="21" t="s">
        <v>6615</v>
      </c>
      <c r="Q253" s="20"/>
      <c r="R253" s="20" t="s">
        <v>1605</v>
      </c>
      <c r="S253" s="20"/>
      <c r="T253" s="20" t="s">
        <v>6318</v>
      </c>
      <c r="U253" s="20"/>
      <c r="V253" s="20"/>
    </row>
    <row r="254" spans="1:22" ht="34">
      <c r="B254" s="11" t="s">
        <v>1606</v>
      </c>
      <c r="C254" s="12" t="s">
        <v>20</v>
      </c>
      <c r="D254" s="13" t="s">
        <v>141</v>
      </c>
      <c r="E254" s="24">
        <v>900000</v>
      </c>
      <c r="F254" s="25">
        <f>Table2[[#This Row],[Price]]/Table2[[#This Row],[Tot Ht Area]]</f>
        <v>321.42857142857144</v>
      </c>
      <c r="G254" s="16">
        <v>2800</v>
      </c>
      <c r="H254" s="16">
        <v>2800</v>
      </c>
      <c r="I254" s="17" t="s">
        <v>878</v>
      </c>
      <c r="J254" s="18" t="s">
        <v>57</v>
      </c>
      <c r="K254" s="19" t="s">
        <v>1320</v>
      </c>
      <c r="L254" s="19"/>
      <c r="M254" s="19" t="s">
        <v>1607</v>
      </c>
      <c r="N254" s="20" t="s">
        <v>1598</v>
      </c>
      <c r="O254" s="20" t="s">
        <v>27</v>
      </c>
      <c r="P254" s="21" t="s">
        <v>1608</v>
      </c>
      <c r="Q254" s="26" t="s">
        <v>1609</v>
      </c>
      <c r="R254" s="26" t="s">
        <v>1610</v>
      </c>
      <c r="S254" s="20"/>
      <c r="T254" s="20"/>
      <c r="U254" s="20"/>
      <c r="V254" s="20"/>
    </row>
    <row r="255" spans="1:22" ht="34">
      <c r="B255" s="11" t="s">
        <v>1611</v>
      </c>
      <c r="C255" s="23" t="s">
        <v>33</v>
      </c>
      <c r="D255" s="13" t="s">
        <v>1399</v>
      </c>
      <c r="E255" s="24">
        <v>4787600</v>
      </c>
      <c r="F255" s="25">
        <f>Table2[[#This Row],[Price]]/Table2[[#This Row],[Tot Ht Area]]</f>
        <v>425.56444444444446</v>
      </c>
      <c r="G255" s="16">
        <v>11250</v>
      </c>
      <c r="H255" s="16">
        <v>12120</v>
      </c>
      <c r="I255" s="17" t="s">
        <v>1612</v>
      </c>
      <c r="J255" s="18" t="s">
        <v>627</v>
      </c>
      <c r="K255" s="19" t="s">
        <v>37</v>
      </c>
      <c r="L255" s="19" t="s">
        <v>49</v>
      </c>
      <c r="M255" s="19" t="s">
        <v>1613</v>
      </c>
      <c r="N255" s="20" t="s">
        <v>1598</v>
      </c>
      <c r="O255" s="20" t="s">
        <v>27</v>
      </c>
      <c r="P255" s="21" t="s">
        <v>1614</v>
      </c>
      <c r="Q255" s="26" t="s">
        <v>273</v>
      </c>
      <c r="R255" s="26" t="s">
        <v>1615</v>
      </c>
      <c r="S255" s="20"/>
      <c r="T255" s="20"/>
      <c r="U255" s="20"/>
      <c r="V255" s="20"/>
    </row>
    <row r="256" spans="1:22" ht="34">
      <c r="B256" s="11" t="s">
        <v>1616</v>
      </c>
      <c r="C256" s="23" t="s">
        <v>33</v>
      </c>
      <c r="D256" s="13" t="s">
        <v>745</v>
      </c>
      <c r="E256" s="14">
        <v>2130000</v>
      </c>
      <c r="F256" s="15">
        <f>Table2[[#This Row],[Price]]/Table2[[#This Row],[Tot Ht Area]]</f>
        <v>435.93941874744166</v>
      </c>
      <c r="G256" s="16">
        <v>4886</v>
      </c>
      <c r="H256" s="16">
        <v>5796</v>
      </c>
      <c r="I256" s="17" t="s">
        <v>1617</v>
      </c>
      <c r="J256" s="18" t="s">
        <v>47</v>
      </c>
      <c r="K256" s="19" t="s">
        <v>37</v>
      </c>
      <c r="L256" s="19" t="s">
        <v>127</v>
      </c>
      <c r="M256" s="19" t="s">
        <v>1618</v>
      </c>
      <c r="N256" s="20" t="s">
        <v>1598</v>
      </c>
      <c r="O256" s="20" t="s">
        <v>27</v>
      </c>
      <c r="P256" s="21" t="s">
        <v>1619</v>
      </c>
      <c r="Q256" s="22" t="s">
        <v>1620</v>
      </c>
      <c r="R256" s="22" t="s">
        <v>1621</v>
      </c>
      <c r="S256" s="37"/>
      <c r="T256" s="20"/>
      <c r="U256" s="20"/>
      <c r="V256" s="20"/>
    </row>
    <row r="257" spans="1:22" ht="17">
      <c r="B257" s="11" t="s">
        <v>1622</v>
      </c>
      <c r="C257" s="23" t="s">
        <v>33</v>
      </c>
      <c r="D257" s="13" t="s">
        <v>436</v>
      </c>
      <c r="E257" s="24">
        <v>1400000</v>
      </c>
      <c r="F257" s="25">
        <f>Table2[[#This Row],[Price]]/Table2[[#This Row],[Tot Ht Area]]</f>
        <v>322.43205895900508</v>
      </c>
      <c r="G257" s="16">
        <v>4342</v>
      </c>
      <c r="H257" s="16">
        <v>5138</v>
      </c>
      <c r="I257" s="17" t="s">
        <v>1623</v>
      </c>
      <c r="J257" s="18" t="s">
        <v>1624</v>
      </c>
      <c r="K257" s="19" t="s">
        <v>37</v>
      </c>
      <c r="L257" s="19" t="s">
        <v>143</v>
      </c>
      <c r="M257" s="19" t="s">
        <v>1625</v>
      </c>
      <c r="N257" s="20" t="s">
        <v>1598</v>
      </c>
      <c r="O257" s="20" t="s">
        <v>27</v>
      </c>
      <c r="P257" s="21" t="s">
        <v>6616</v>
      </c>
      <c r="Q257" s="26" t="s">
        <v>1626</v>
      </c>
      <c r="R257" s="26" t="s">
        <v>1627</v>
      </c>
      <c r="S257" s="20"/>
      <c r="T257" s="20"/>
      <c r="U257" s="20"/>
      <c r="V257" s="20"/>
    </row>
    <row r="258" spans="1:22" ht="34">
      <c r="B258" s="11" t="s">
        <v>1628</v>
      </c>
      <c r="C258" s="12" t="s">
        <v>20</v>
      </c>
      <c r="D258" s="13" t="s">
        <v>133</v>
      </c>
      <c r="E258" s="24">
        <v>875000</v>
      </c>
      <c r="F258" s="25">
        <f>Table2[[#This Row],[Price]]/Table2[[#This Row],[Tot Ht Area]]</f>
        <v>101.32005558128763</v>
      </c>
      <c r="G258" s="16">
        <v>8636</v>
      </c>
      <c r="H258" s="16">
        <v>8636</v>
      </c>
      <c r="I258" s="17" t="s">
        <v>1629</v>
      </c>
      <c r="J258" s="18" t="s">
        <v>75</v>
      </c>
      <c r="K258" s="19" t="s">
        <v>1630</v>
      </c>
      <c r="L258" s="19"/>
      <c r="M258" s="19" t="s">
        <v>1631</v>
      </c>
      <c r="N258" s="20" t="s">
        <v>1598</v>
      </c>
      <c r="O258" s="20" t="s">
        <v>27</v>
      </c>
      <c r="P258" s="21" t="s">
        <v>1632</v>
      </c>
      <c r="Q258" s="20"/>
      <c r="R258" s="26" t="s">
        <v>1633</v>
      </c>
      <c r="S258" s="20"/>
      <c r="T258" s="20"/>
      <c r="U258" s="20"/>
      <c r="V258" s="20"/>
    </row>
    <row r="259" spans="1:22" ht="34">
      <c r="B259" s="11" t="s">
        <v>1634</v>
      </c>
      <c r="C259" s="23" t="s">
        <v>33</v>
      </c>
      <c r="D259" s="13" t="s">
        <v>260</v>
      </c>
      <c r="E259" s="24">
        <v>1080000</v>
      </c>
      <c r="F259" s="25">
        <f>Table2[[#This Row],[Price]]/Table2[[#This Row],[Tot Ht Area]]</f>
        <v>345.15819750719078</v>
      </c>
      <c r="G259" s="16">
        <v>3129</v>
      </c>
      <c r="H259" s="16">
        <v>4207</v>
      </c>
      <c r="I259" s="17" t="s">
        <v>1635</v>
      </c>
      <c r="J259" s="18">
        <v>1980</v>
      </c>
      <c r="K259" s="19" t="s">
        <v>37</v>
      </c>
      <c r="L259" s="19" t="s">
        <v>110</v>
      </c>
      <c r="M259" s="19" t="s">
        <v>1636</v>
      </c>
      <c r="N259" s="20" t="s">
        <v>1598</v>
      </c>
      <c r="O259" s="20" t="s">
        <v>40</v>
      </c>
      <c r="P259" s="21" t="s">
        <v>1637</v>
      </c>
      <c r="Q259" s="26" t="s">
        <v>1638</v>
      </c>
      <c r="R259" s="26" t="s">
        <v>1639</v>
      </c>
      <c r="S259" s="20"/>
      <c r="T259" s="20"/>
      <c r="U259" s="20"/>
      <c r="V259" s="20"/>
    </row>
    <row r="260" spans="1:22" ht="17">
      <c r="B260" s="11" t="s">
        <v>1640</v>
      </c>
      <c r="C260" s="23" t="s">
        <v>33</v>
      </c>
      <c r="D260" s="13" t="s">
        <v>1641</v>
      </c>
      <c r="E260" s="24">
        <v>600000</v>
      </c>
      <c r="F260" s="25">
        <f>Table2[[#This Row],[Price]]/Table2[[#This Row],[Tot Ht Area]]</f>
        <v>158.89830508474577</v>
      </c>
      <c r="G260" s="16">
        <v>3776</v>
      </c>
      <c r="H260" s="16">
        <v>3974</v>
      </c>
      <c r="I260" s="17" t="s">
        <v>1642</v>
      </c>
      <c r="J260" s="18" t="s">
        <v>536</v>
      </c>
      <c r="K260" s="19" t="s">
        <v>37</v>
      </c>
      <c r="L260" s="19" t="s">
        <v>270</v>
      </c>
      <c r="M260" s="19" t="s">
        <v>1643</v>
      </c>
      <c r="N260" s="20" t="s">
        <v>1598</v>
      </c>
      <c r="O260" s="20" t="s">
        <v>27</v>
      </c>
      <c r="P260" s="21" t="s">
        <v>1644</v>
      </c>
      <c r="Q260" s="26"/>
      <c r="R260" s="26" t="s">
        <v>1645</v>
      </c>
      <c r="S260" s="20"/>
      <c r="T260" s="20"/>
      <c r="U260" s="20"/>
      <c r="V260" s="20"/>
    </row>
    <row r="261" spans="1:22" ht="34">
      <c r="B261" s="11" t="s">
        <v>1646</v>
      </c>
      <c r="C261" s="23" t="s">
        <v>33</v>
      </c>
      <c r="D261" s="13" t="s">
        <v>896</v>
      </c>
      <c r="E261" s="24">
        <v>100</v>
      </c>
      <c r="F261" s="25">
        <f>Table2[[#This Row],[Price]]/Table2[[#This Row],[Tot Ht Area]]</f>
        <v>1.307531380753138E-2</v>
      </c>
      <c r="G261" s="16">
        <v>7648</v>
      </c>
      <c r="H261" s="16">
        <v>8423</v>
      </c>
      <c r="I261" s="17" t="s">
        <v>1647</v>
      </c>
      <c r="J261" s="18" t="s">
        <v>646</v>
      </c>
      <c r="K261" s="19" t="s">
        <v>37</v>
      </c>
      <c r="L261" s="19" t="s">
        <v>67</v>
      </c>
      <c r="M261" s="19" t="s">
        <v>1648</v>
      </c>
      <c r="N261" s="20" t="s">
        <v>1598</v>
      </c>
      <c r="O261" s="20" t="s">
        <v>27</v>
      </c>
      <c r="P261" s="21" t="s">
        <v>1649</v>
      </c>
      <c r="Q261" s="26" t="s">
        <v>1650</v>
      </c>
      <c r="R261" s="26" t="s">
        <v>1651</v>
      </c>
      <c r="S261" s="20"/>
      <c r="T261" s="20" t="s">
        <v>6318</v>
      </c>
      <c r="U261" s="20"/>
      <c r="V261" s="20"/>
    </row>
    <row r="262" spans="1:22" ht="17">
      <c r="A262">
        <v>3</v>
      </c>
      <c r="B262" s="11" t="s">
        <v>1652</v>
      </c>
      <c r="C262" s="23" t="s">
        <v>33</v>
      </c>
      <c r="D262" s="13" t="s">
        <v>779</v>
      </c>
      <c r="E262" s="24">
        <v>590000</v>
      </c>
      <c r="F262" s="25">
        <f>Table2[[#This Row],[Price]]/Table2[[#This Row],[Tot Ht Area]]</f>
        <v>201.50273224043715</v>
      </c>
      <c r="G262" s="16">
        <v>2928</v>
      </c>
      <c r="H262" s="16">
        <v>3080</v>
      </c>
      <c r="I262" s="17" t="s">
        <v>1653</v>
      </c>
      <c r="J262" s="18" t="s">
        <v>1116</v>
      </c>
      <c r="K262" s="19" t="s">
        <v>37</v>
      </c>
      <c r="L262" s="19" t="s">
        <v>67</v>
      </c>
      <c r="M262" s="19" t="s">
        <v>1654</v>
      </c>
      <c r="N262" s="20" t="s">
        <v>1598</v>
      </c>
      <c r="O262" s="20" t="s">
        <v>27</v>
      </c>
      <c r="P262" s="21"/>
      <c r="Q262" s="26" t="s">
        <v>1655</v>
      </c>
      <c r="R262" s="26" t="s">
        <v>1656</v>
      </c>
      <c r="S262" s="20"/>
      <c r="T262" s="20"/>
      <c r="U262" s="20"/>
      <c r="V262" s="20"/>
    </row>
    <row r="263" spans="1:22" ht="34">
      <c r="A263">
        <v>3</v>
      </c>
      <c r="B263" s="11" t="s">
        <v>1657</v>
      </c>
      <c r="C263" s="23" t="s">
        <v>33</v>
      </c>
      <c r="D263" s="13" t="s">
        <v>709</v>
      </c>
      <c r="E263" s="14">
        <v>2565638</v>
      </c>
      <c r="F263" s="15">
        <f>Table2[[#This Row],[Price]]/Table2[[#This Row],[Tot Ht Area]]</f>
        <v>202.52904957372908</v>
      </c>
      <c r="G263" s="16">
        <v>12668</v>
      </c>
      <c r="H263" s="16">
        <v>12736</v>
      </c>
      <c r="I263" s="17" t="s">
        <v>1658</v>
      </c>
      <c r="J263" s="18" t="s">
        <v>518</v>
      </c>
      <c r="K263" s="19" t="s">
        <v>37</v>
      </c>
      <c r="L263" s="19" t="s">
        <v>392</v>
      </c>
      <c r="M263" s="19" t="s">
        <v>1659</v>
      </c>
      <c r="N263" s="20" t="s">
        <v>1598</v>
      </c>
      <c r="O263" s="20" t="s">
        <v>40</v>
      </c>
      <c r="P263" s="21" t="s">
        <v>1660</v>
      </c>
      <c r="Q263" s="22" t="s">
        <v>1661</v>
      </c>
      <c r="R263" s="22" t="s">
        <v>1662</v>
      </c>
      <c r="S263" s="20"/>
      <c r="T263" s="20"/>
      <c r="U263" s="20"/>
      <c r="V263" s="20"/>
    </row>
    <row r="264" spans="1:22" ht="68">
      <c r="A264">
        <v>3</v>
      </c>
      <c r="B264" s="11" t="s">
        <v>1663</v>
      </c>
      <c r="C264" s="23" t="s">
        <v>33</v>
      </c>
      <c r="D264" s="13" t="s">
        <v>591</v>
      </c>
      <c r="E264" s="24">
        <v>7200000</v>
      </c>
      <c r="F264" s="25">
        <f>Table2[[#This Row],[Price]]/Table2[[#This Row],[Tot Ht Area]]</f>
        <v>612.29696402755337</v>
      </c>
      <c r="G264" s="16">
        <v>11759</v>
      </c>
      <c r="H264" s="16">
        <v>14960</v>
      </c>
      <c r="I264" s="17" t="s">
        <v>524</v>
      </c>
      <c r="J264" s="18" t="s">
        <v>1664</v>
      </c>
      <c r="K264" s="19" t="s">
        <v>37</v>
      </c>
      <c r="L264" s="19" t="s">
        <v>143</v>
      </c>
      <c r="M264" s="19" t="s">
        <v>1665</v>
      </c>
      <c r="N264" s="20" t="s">
        <v>1598</v>
      </c>
      <c r="O264" s="20" t="s">
        <v>27</v>
      </c>
      <c r="P264" s="49" t="s">
        <v>6198</v>
      </c>
      <c r="Q264" s="26" t="s">
        <v>1666</v>
      </c>
      <c r="R264" s="26" t="s">
        <v>1667</v>
      </c>
      <c r="S264" s="20"/>
      <c r="T264" s="20"/>
      <c r="U264" s="20"/>
      <c r="V264" s="20"/>
    </row>
    <row r="265" spans="1:22" ht="34">
      <c r="A265">
        <v>3</v>
      </c>
      <c r="B265" s="11" t="s">
        <v>1680</v>
      </c>
      <c r="C265" s="23" t="s">
        <v>678</v>
      </c>
      <c r="D265" s="13" t="s">
        <v>108</v>
      </c>
      <c r="E265" s="24">
        <v>7250000</v>
      </c>
      <c r="F265" s="25">
        <f>Table2[[#This Row],[Price]]/Table2[[#This Row],[Tot Ht Area]]</f>
        <v>335.15162721893489</v>
      </c>
      <c r="G265" s="16">
        <v>21632</v>
      </c>
      <c r="H265" s="16">
        <v>24522</v>
      </c>
      <c r="I265" s="17" t="s">
        <v>1681</v>
      </c>
      <c r="J265" s="18" t="s">
        <v>100</v>
      </c>
      <c r="K265" s="19" t="s">
        <v>1603</v>
      </c>
      <c r="L265" s="19" t="s">
        <v>681</v>
      </c>
      <c r="M265" s="19" t="s">
        <v>1682</v>
      </c>
      <c r="N265" s="27" t="s">
        <v>1598</v>
      </c>
      <c r="O265" s="20" t="s">
        <v>27</v>
      </c>
      <c r="P265" s="21" t="s">
        <v>1683</v>
      </c>
      <c r="Q265" s="26" t="s">
        <v>1684</v>
      </c>
      <c r="R265" s="26" t="s">
        <v>1685</v>
      </c>
      <c r="S265" s="20"/>
      <c r="T265" s="20"/>
      <c r="U265" s="20"/>
      <c r="V265" s="20"/>
    </row>
    <row r="266" spans="1:22" ht="17">
      <c r="A266">
        <v>3</v>
      </c>
      <c r="B266" s="11" t="s">
        <v>1686</v>
      </c>
      <c r="C266" s="23" t="s">
        <v>678</v>
      </c>
      <c r="D266" s="13" t="s">
        <v>177</v>
      </c>
      <c r="E266" s="24">
        <v>2825000</v>
      </c>
      <c r="F266" s="25">
        <f>Table2[[#This Row],[Price]]/Table2[[#This Row],[Tot Ht Area]]</f>
        <v>155.999779115357</v>
      </c>
      <c r="G266" s="16">
        <v>18109</v>
      </c>
      <c r="H266" s="16">
        <v>22457</v>
      </c>
      <c r="I266" s="17" t="s">
        <v>1687</v>
      </c>
      <c r="J266" s="18" t="s">
        <v>599</v>
      </c>
      <c r="K266" s="19" t="s">
        <v>680</v>
      </c>
      <c r="L266" s="19" t="s">
        <v>704</v>
      </c>
      <c r="M266" s="19" t="s">
        <v>1688</v>
      </c>
      <c r="N266" s="20" t="s">
        <v>1598</v>
      </c>
      <c r="O266" s="20" t="s">
        <v>27</v>
      </c>
      <c r="P266" s="21" t="s">
        <v>1689</v>
      </c>
      <c r="Q266" s="26" t="s">
        <v>1690</v>
      </c>
      <c r="R266" s="26" t="s">
        <v>1691</v>
      </c>
      <c r="S266" s="20"/>
      <c r="T266" s="20"/>
      <c r="U266" s="20"/>
      <c r="V266" s="20"/>
    </row>
    <row r="267" spans="1:22" ht="17">
      <c r="A267">
        <v>3</v>
      </c>
      <c r="B267" s="11" t="s">
        <v>1692</v>
      </c>
      <c r="C267" s="23" t="s">
        <v>678</v>
      </c>
      <c r="D267" s="13" t="s">
        <v>207</v>
      </c>
      <c r="E267" s="24">
        <v>1250000</v>
      </c>
      <c r="F267" s="25">
        <f>Table2[[#This Row],[Price]]/Table2[[#This Row],[Tot Ht Area]]</f>
        <v>146.02803738317758</v>
      </c>
      <c r="G267" s="16">
        <v>8560</v>
      </c>
      <c r="H267" s="16">
        <v>11675</v>
      </c>
      <c r="I267" s="17" t="s">
        <v>1693</v>
      </c>
      <c r="J267" s="18" t="s">
        <v>83</v>
      </c>
      <c r="K267" s="19" t="s">
        <v>801</v>
      </c>
      <c r="L267" s="19"/>
      <c r="M267" s="19" t="s">
        <v>1694</v>
      </c>
      <c r="N267" s="20" t="s">
        <v>1598</v>
      </c>
      <c r="O267" s="20" t="s">
        <v>27</v>
      </c>
      <c r="P267" s="21" t="s">
        <v>1695</v>
      </c>
      <c r="Q267" s="26" t="s">
        <v>1696</v>
      </c>
      <c r="R267" s="26" t="s">
        <v>1697</v>
      </c>
      <c r="S267" s="20"/>
      <c r="T267" s="20"/>
      <c r="U267" s="20"/>
      <c r="V267" s="20"/>
    </row>
    <row r="268" spans="1:22" ht="17">
      <c r="A268">
        <v>3</v>
      </c>
      <c r="B268" s="29" t="s">
        <v>1698</v>
      </c>
      <c r="C268" s="12" t="s">
        <v>20</v>
      </c>
      <c r="D268" s="30" t="s">
        <v>407</v>
      </c>
      <c r="E268" s="38">
        <v>820000</v>
      </c>
      <c r="F268" s="39">
        <f>Table2[[#This Row],[Price]]/Table2[[#This Row],[Tot Ht Area]]</f>
        <v>326.95374800637961</v>
      </c>
      <c r="G268" s="33">
        <v>2508</v>
      </c>
      <c r="H268" s="33">
        <v>2508</v>
      </c>
      <c r="I268" s="34" t="s">
        <v>1699</v>
      </c>
      <c r="J268" s="35">
        <v>2006</v>
      </c>
      <c r="K268" s="30" t="s">
        <v>172</v>
      </c>
      <c r="L268" s="30"/>
      <c r="M268" s="30" t="s">
        <v>1700</v>
      </c>
      <c r="N268" s="20" t="s">
        <v>1598</v>
      </c>
      <c r="O268" s="20" t="s">
        <v>27</v>
      </c>
      <c r="P268" s="21" t="s">
        <v>1701</v>
      </c>
      <c r="Q268" s="22" t="s">
        <v>1702</v>
      </c>
      <c r="R268" s="22" t="s">
        <v>1703</v>
      </c>
      <c r="S268" s="20"/>
      <c r="T268" s="20"/>
      <c r="U268" s="20"/>
      <c r="V268" s="20"/>
    </row>
    <row r="269" spans="1:22" ht="16">
      <c r="A269">
        <v>3</v>
      </c>
      <c r="B269" s="29" t="s">
        <v>1704</v>
      </c>
      <c r="C269" s="12" t="s">
        <v>20</v>
      </c>
      <c r="D269" s="30" t="s">
        <v>64</v>
      </c>
      <c r="E269" s="31">
        <v>275000</v>
      </c>
      <c r="F269" s="32">
        <f>Table2[[#This Row],[Price]]/Table2[[#This Row],[Tot Ht Area]]</f>
        <v>103.38345864661655</v>
      </c>
      <c r="G269" s="33">
        <v>2660</v>
      </c>
      <c r="H269" s="33">
        <v>2660</v>
      </c>
      <c r="I269" s="34" t="s">
        <v>1705</v>
      </c>
      <c r="J269" s="35">
        <v>2023</v>
      </c>
      <c r="K269" s="30" t="s">
        <v>172</v>
      </c>
      <c r="L269" s="30"/>
      <c r="M269" s="30" t="s">
        <v>1706</v>
      </c>
      <c r="N269" s="20" t="s">
        <v>1598</v>
      </c>
      <c r="O269" s="20" t="s">
        <v>27</v>
      </c>
      <c r="P269" s="21"/>
      <c r="Q269" s="26" t="s">
        <v>1707</v>
      </c>
      <c r="R269" s="26" t="s">
        <v>1708</v>
      </c>
      <c r="S269" s="20"/>
      <c r="T269" s="20"/>
      <c r="U269" s="20"/>
      <c r="V269" s="20"/>
    </row>
    <row r="270" spans="1:22" ht="51">
      <c r="B270" s="11" t="s">
        <v>1709</v>
      </c>
      <c r="C270" s="12" t="s">
        <v>20</v>
      </c>
      <c r="D270" s="13" t="s">
        <v>215</v>
      </c>
      <c r="E270" s="14">
        <v>225000</v>
      </c>
      <c r="F270" s="15">
        <f>Table2[[#This Row],[Price]]/Table2[[#This Row],[Tot Ht Area]]</f>
        <v>75.250836120401331</v>
      </c>
      <c r="G270" s="16">
        <v>2990</v>
      </c>
      <c r="H270" s="16">
        <v>2990</v>
      </c>
      <c r="I270" s="17" t="s">
        <v>1710</v>
      </c>
      <c r="J270" s="18" t="s">
        <v>135</v>
      </c>
      <c r="K270" s="19" t="s">
        <v>172</v>
      </c>
      <c r="L270" s="19"/>
      <c r="M270" s="19" t="s">
        <v>1711</v>
      </c>
      <c r="N270" s="20" t="s">
        <v>1598</v>
      </c>
      <c r="O270" s="20" t="s">
        <v>27</v>
      </c>
      <c r="P270" s="21" t="s">
        <v>1712</v>
      </c>
      <c r="Q270" s="22" t="s">
        <v>1713</v>
      </c>
      <c r="R270" s="22"/>
      <c r="S270" s="20"/>
      <c r="T270" s="20"/>
      <c r="U270" s="20"/>
      <c r="V270" s="20"/>
    </row>
    <row r="271" spans="1:22" ht="34">
      <c r="B271" s="11" t="s">
        <v>1714</v>
      </c>
      <c r="C271" s="12" t="s">
        <v>20</v>
      </c>
      <c r="D271" s="13" t="s">
        <v>436</v>
      </c>
      <c r="E271" s="24">
        <v>13000000</v>
      </c>
      <c r="F271" s="25" t="e">
        <f>Table2[[#This Row],[Price]]/Table2[[#This Row],[Tot Ht Area]]</f>
        <v>#DIV/0!</v>
      </c>
      <c r="G271" s="16"/>
      <c r="H271" s="16">
        <v>81860</v>
      </c>
      <c r="I271" s="17" t="s">
        <v>1715</v>
      </c>
      <c r="J271" s="18" t="s">
        <v>57</v>
      </c>
      <c r="K271" s="19" t="s">
        <v>1716</v>
      </c>
      <c r="L271" s="19"/>
      <c r="M271" s="19" t="s">
        <v>1717</v>
      </c>
      <c r="N271" s="20" t="s">
        <v>1598</v>
      </c>
      <c r="O271" s="20" t="s">
        <v>27</v>
      </c>
      <c r="P271" s="21"/>
      <c r="Q271" s="26" t="s">
        <v>1718</v>
      </c>
      <c r="R271" s="26" t="s">
        <v>1719</v>
      </c>
      <c r="S271" s="20"/>
      <c r="T271" s="20"/>
      <c r="U271" s="20"/>
      <c r="V271" s="20"/>
    </row>
    <row r="272" spans="1:22" ht="34">
      <c r="B272" s="11" t="s">
        <v>1720</v>
      </c>
      <c r="C272" s="12" t="s">
        <v>20</v>
      </c>
      <c r="D272" s="13" t="s">
        <v>658</v>
      </c>
      <c r="E272" s="14">
        <v>2150800</v>
      </c>
      <c r="F272" s="15" t="e">
        <f>Table2[[#This Row],[Price]]/Table2[[#This Row],[Tot Ht Area]]</f>
        <v>#DIV/0!</v>
      </c>
      <c r="G272" s="16"/>
      <c r="H272" s="16">
        <v>15366</v>
      </c>
      <c r="I272" s="17" t="s">
        <v>1721</v>
      </c>
      <c r="J272" s="18" t="s">
        <v>57</v>
      </c>
      <c r="K272" s="19" t="s">
        <v>1630</v>
      </c>
      <c r="L272" s="19"/>
      <c r="M272" s="19" t="s">
        <v>1722</v>
      </c>
      <c r="N272" s="20" t="s">
        <v>1598</v>
      </c>
      <c r="O272" s="20" t="s">
        <v>27</v>
      </c>
      <c r="P272" s="21"/>
      <c r="Q272" s="22" t="s">
        <v>1723</v>
      </c>
      <c r="R272" s="22" t="s">
        <v>1724</v>
      </c>
      <c r="S272" s="20"/>
      <c r="T272" s="20"/>
      <c r="U272" s="20"/>
      <c r="V272" s="20"/>
    </row>
    <row r="273" spans="2:22" ht="34">
      <c r="B273" s="11" t="s">
        <v>1725</v>
      </c>
      <c r="C273" s="12" t="s">
        <v>20</v>
      </c>
      <c r="D273" s="13" t="s">
        <v>702</v>
      </c>
      <c r="E273" s="24">
        <v>42750000</v>
      </c>
      <c r="F273" s="25" t="e">
        <f>Table2[[#This Row],[Price]]/Table2[[#This Row],[Tot Ht Area]]</f>
        <v>#DIV/0!</v>
      </c>
      <c r="G273" s="16"/>
      <c r="H273" s="16">
        <v>265591</v>
      </c>
      <c r="I273" s="17" t="s">
        <v>1726</v>
      </c>
      <c r="J273" s="18" t="s">
        <v>57</v>
      </c>
      <c r="K273" s="19" t="s">
        <v>1716</v>
      </c>
      <c r="L273" s="19"/>
      <c r="M273" s="19" t="s">
        <v>1727</v>
      </c>
      <c r="N273" s="20" t="s">
        <v>1598</v>
      </c>
      <c r="O273" s="20" t="s">
        <v>27</v>
      </c>
      <c r="P273" s="21"/>
      <c r="Q273" s="26"/>
      <c r="R273" s="26" t="s">
        <v>1728</v>
      </c>
      <c r="S273" s="20"/>
      <c r="T273" s="20"/>
      <c r="U273" s="20"/>
      <c r="V273" s="20"/>
    </row>
    <row r="274" spans="2:22" ht="17">
      <c r="B274" s="11" t="s">
        <v>1729</v>
      </c>
      <c r="C274" s="12" t="s">
        <v>20</v>
      </c>
      <c r="D274" s="13" t="s">
        <v>995</v>
      </c>
      <c r="E274" s="24">
        <v>100</v>
      </c>
      <c r="F274" s="25" t="e">
        <f>Table2[[#This Row],[Price]]/Table2[[#This Row],[Tot Ht Area]]</f>
        <v>#DIV/0!</v>
      </c>
      <c r="G274" s="16"/>
      <c r="H274" s="16">
        <v>2296</v>
      </c>
      <c r="I274" s="17" t="s">
        <v>1730</v>
      </c>
      <c r="J274" s="18" t="s">
        <v>483</v>
      </c>
      <c r="K274" s="19" t="s">
        <v>1320</v>
      </c>
      <c r="L274" s="19"/>
      <c r="M274" s="19" t="s">
        <v>1731</v>
      </c>
      <c r="N274" s="20" t="s">
        <v>1598</v>
      </c>
      <c r="O274" s="20" t="s">
        <v>27</v>
      </c>
      <c r="P274" s="21" t="s">
        <v>6617</v>
      </c>
      <c r="Q274" s="26" t="s">
        <v>1732</v>
      </c>
      <c r="R274" s="26" t="s">
        <v>1733</v>
      </c>
      <c r="S274" s="20"/>
      <c r="T274" s="20" t="s">
        <v>6318</v>
      </c>
      <c r="U274" s="20"/>
      <c r="V274" s="20"/>
    </row>
    <row r="275" spans="2:22" ht="17">
      <c r="B275" s="11" t="s">
        <v>1734</v>
      </c>
      <c r="C275" s="12" t="s">
        <v>20</v>
      </c>
      <c r="D275" s="13" t="s">
        <v>658</v>
      </c>
      <c r="E275" s="24">
        <v>849900</v>
      </c>
      <c r="F275" s="25" t="e">
        <f>Table2[[#This Row],[Price]]/Table2[[#This Row],[Tot Ht Area]]</f>
        <v>#DIV/0!</v>
      </c>
      <c r="G275" s="16"/>
      <c r="H275" s="16">
        <v>2904</v>
      </c>
      <c r="I275" s="17" t="s">
        <v>1735</v>
      </c>
      <c r="J275" s="18" t="s">
        <v>225</v>
      </c>
      <c r="K275" s="19" t="s">
        <v>1320</v>
      </c>
      <c r="L275" s="19"/>
      <c r="M275" s="19" t="s">
        <v>1736</v>
      </c>
      <c r="N275" s="20" t="s">
        <v>1598</v>
      </c>
      <c r="O275" s="20" t="s">
        <v>27</v>
      </c>
      <c r="P275" s="21" t="s">
        <v>1737</v>
      </c>
      <c r="Q275" s="26" t="s">
        <v>1738</v>
      </c>
      <c r="R275" s="20" t="s">
        <v>1739</v>
      </c>
      <c r="S275" s="20"/>
      <c r="T275" s="20"/>
      <c r="U275" s="20"/>
      <c r="V275" s="20"/>
    </row>
    <row r="276" spans="2:22" ht="34">
      <c r="B276" s="11" t="s">
        <v>1740</v>
      </c>
      <c r="C276" s="23" t="s">
        <v>33</v>
      </c>
      <c r="D276" s="13" t="s">
        <v>215</v>
      </c>
      <c r="E276" s="24"/>
      <c r="F276" s="25">
        <f>Table2[[#This Row],[Price]]/Table2[[#This Row],[Tot Ht Area]]</f>
        <v>0</v>
      </c>
      <c r="G276" s="16">
        <v>3621</v>
      </c>
      <c r="H276" s="16">
        <v>4827</v>
      </c>
      <c r="I276" s="17" t="s">
        <v>1741</v>
      </c>
      <c r="J276" s="18" t="s">
        <v>760</v>
      </c>
      <c r="K276" s="19" t="s">
        <v>37</v>
      </c>
      <c r="L276" s="19" t="s">
        <v>234</v>
      </c>
      <c r="M276" s="19" t="s">
        <v>1742</v>
      </c>
      <c r="N276" s="20" t="s">
        <v>1598</v>
      </c>
      <c r="O276" s="20" t="s">
        <v>40</v>
      </c>
      <c r="P276" s="21" t="s">
        <v>1743</v>
      </c>
      <c r="Q276" s="26" t="s">
        <v>1744</v>
      </c>
      <c r="R276" s="20" t="s">
        <v>1745</v>
      </c>
      <c r="S276" s="20"/>
      <c r="T276" s="20"/>
      <c r="U276" s="20"/>
      <c r="V276" s="20"/>
    </row>
    <row r="277" spans="2:22" ht="17">
      <c r="B277" s="11" t="s">
        <v>1746</v>
      </c>
      <c r="C277" s="23" t="s">
        <v>33</v>
      </c>
      <c r="D277" s="13" t="s">
        <v>995</v>
      </c>
      <c r="E277" s="24">
        <v>700000</v>
      </c>
      <c r="F277" s="25">
        <f>Table2[[#This Row],[Price]]/Table2[[#This Row],[Tot Ht Area]]</f>
        <v>231.40495867768595</v>
      </c>
      <c r="G277" s="16">
        <v>3025</v>
      </c>
      <c r="H277" s="16">
        <v>3205</v>
      </c>
      <c r="I277" s="17" t="s">
        <v>1747</v>
      </c>
      <c r="J277" s="18" t="s">
        <v>47</v>
      </c>
      <c r="K277" s="19" t="s">
        <v>37</v>
      </c>
      <c r="L277" s="19" t="s">
        <v>49</v>
      </c>
      <c r="M277" s="19" t="s">
        <v>1748</v>
      </c>
      <c r="N277" s="20" t="s">
        <v>1598</v>
      </c>
      <c r="O277" s="20" t="s">
        <v>27</v>
      </c>
      <c r="P277" s="21" t="s">
        <v>1749</v>
      </c>
      <c r="Q277" s="26" t="s">
        <v>1750</v>
      </c>
      <c r="R277" s="20" t="s">
        <v>1751</v>
      </c>
      <c r="S277" s="20"/>
      <c r="T277" s="20"/>
      <c r="U277" s="20"/>
      <c r="V277" s="20"/>
    </row>
    <row r="278" spans="2:22" ht="34">
      <c r="B278" s="11" t="s">
        <v>1752</v>
      </c>
      <c r="C278" s="23" t="s">
        <v>33</v>
      </c>
      <c r="D278" s="13" t="s">
        <v>330</v>
      </c>
      <c r="E278" s="24">
        <v>2400000</v>
      </c>
      <c r="F278" s="25">
        <f>Table2[[#This Row],[Price]]/Table2[[#This Row],[Tot Ht Area]]</f>
        <v>235.15579071134627</v>
      </c>
      <c r="G278" s="16">
        <v>10206</v>
      </c>
      <c r="H278" s="16">
        <v>10591</v>
      </c>
      <c r="I278" s="17" t="s">
        <v>1753</v>
      </c>
      <c r="J278" s="18" t="s">
        <v>1754</v>
      </c>
      <c r="K278" s="19" t="s">
        <v>37</v>
      </c>
      <c r="L278" s="19" t="s">
        <v>49</v>
      </c>
      <c r="M278" s="19" t="s">
        <v>1755</v>
      </c>
      <c r="N278" s="20" t="s">
        <v>1598</v>
      </c>
      <c r="O278" s="20" t="s">
        <v>27</v>
      </c>
      <c r="P278" s="21" t="s">
        <v>1756</v>
      </c>
      <c r="Q278" s="26" t="s">
        <v>1757</v>
      </c>
      <c r="R278" s="26" t="s">
        <v>1758</v>
      </c>
      <c r="S278" s="20"/>
      <c r="T278" s="20"/>
      <c r="U278" s="20"/>
      <c r="V278" s="20"/>
    </row>
    <row r="279" spans="2:22" ht="17">
      <c r="B279" s="11" t="s">
        <v>1759</v>
      </c>
      <c r="C279" s="23" t="s">
        <v>33</v>
      </c>
      <c r="D279" s="13" t="s">
        <v>1399</v>
      </c>
      <c r="E279" s="24">
        <v>1234600</v>
      </c>
      <c r="F279" s="25">
        <f>Table2[[#This Row],[Price]]/Table2[[#This Row],[Tot Ht Area]]</f>
        <v>210.82650273224044</v>
      </c>
      <c r="G279" s="16">
        <v>5856</v>
      </c>
      <c r="H279" s="16">
        <v>6918</v>
      </c>
      <c r="I279" s="17" t="s">
        <v>1760</v>
      </c>
      <c r="J279" s="18" t="s">
        <v>1138</v>
      </c>
      <c r="K279" s="19" t="s">
        <v>37</v>
      </c>
      <c r="L279" s="19" t="s">
        <v>1761</v>
      </c>
      <c r="M279" s="19" t="s">
        <v>1762</v>
      </c>
      <c r="N279" s="20" t="s">
        <v>1598</v>
      </c>
      <c r="O279" s="20" t="s">
        <v>27</v>
      </c>
      <c r="P279" s="21" t="s">
        <v>1763</v>
      </c>
      <c r="Q279" s="26" t="s">
        <v>1764</v>
      </c>
      <c r="R279" s="26" t="s">
        <v>1765</v>
      </c>
      <c r="S279" s="20"/>
      <c r="T279" s="20"/>
      <c r="U279" s="20"/>
      <c r="V279" s="20"/>
    </row>
    <row r="280" spans="2:22" ht="17">
      <c r="B280" s="11" t="s">
        <v>1766</v>
      </c>
      <c r="C280" s="23" t="s">
        <v>33</v>
      </c>
      <c r="D280" s="13" t="s">
        <v>686</v>
      </c>
      <c r="E280" s="24">
        <v>5675000</v>
      </c>
      <c r="F280" s="25">
        <f>Table2[[#This Row],[Price]]/Table2[[#This Row],[Tot Ht Area]]</f>
        <v>166.42228739002934</v>
      </c>
      <c r="G280" s="16">
        <v>34100</v>
      </c>
      <c r="H280" s="16">
        <v>38611</v>
      </c>
      <c r="I280" s="17" t="s">
        <v>1767</v>
      </c>
      <c r="J280" s="18" t="s">
        <v>316</v>
      </c>
      <c r="K280" s="19" t="s">
        <v>101</v>
      </c>
      <c r="L280" s="19" t="s">
        <v>234</v>
      </c>
      <c r="M280" s="19" t="s">
        <v>1768</v>
      </c>
      <c r="N280" s="20" t="s">
        <v>1598</v>
      </c>
      <c r="O280" s="20" t="s">
        <v>27</v>
      </c>
      <c r="P280" s="21" t="s">
        <v>1769</v>
      </c>
      <c r="Q280" s="26" t="s">
        <v>1770</v>
      </c>
      <c r="R280" s="20" t="s">
        <v>1771</v>
      </c>
      <c r="S280" s="20"/>
      <c r="T280" s="20"/>
      <c r="U280" s="20"/>
      <c r="V280" s="20"/>
    </row>
    <row r="281" spans="2:22" ht="17">
      <c r="B281" s="11" t="s">
        <v>1772</v>
      </c>
      <c r="C281" s="23" t="s">
        <v>33</v>
      </c>
      <c r="D281" s="13" t="s">
        <v>686</v>
      </c>
      <c r="E281" s="24">
        <v>100</v>
      </c>
      <c r="F281" s="25">
        <f>Table2[[#This Row],[Price]]/Table2[[#This Row],[Tot Ht Area]]</f>
        <v>2.0267531414673693E-2</v>
      </c>
      <c r="G281" s="16">
        <v>4934</v>
      </c>
      <c r="H281" s="16">
        <v>5032</v>
      </c>
      <c r="I281" s="17" t="s">
        <v>1773</v>
      </c>
      <c r="J281" s="18" t="s">
        <v>415</v>
      </c>
      <c r="K281" s="19" t="s">
        <v>37</v>
      </c>
      <c r="L281" s="19" t="s">
        <v>1774</v>
      </c>
      <c r="M281" s="19" t="s">
        <v>1775</v>
      </c>
      <c r="N281" s="20" t="s">
        <v>1598</v>
      </c>
      <c r="O281" s="20" t="s">
        <v>40</v>
      </c>
      <c r="P281" s="21" t="s">
        <v>1776</v>
      </c>
      <c r="Q281" s="26" t="s">
        <v>1777</v>
      </c>
      <c r="R281" s="20" t="s">
        <v>1778</v>
      </c>
      <c r="S281" s="20"/>
      <c r="T281" s="20" t="s">
        <v>6318</v>
      </c>
      <c r="U281" s="20"/>
      <c r="V281" s="20"/>
    </row>
    <row r="282" spans="2:22" ht="34">
      <c r="B282" s="11" t="s">
        <v>1779</v>
      </c>
      <c r="C282" s="23" t="s">
        <v>33</v>
      </c>
      <c r="D282" s="13" t="s">
        <v>729</v>
      </c>
      <c r="E282" s="24">
        <v>735000</v>
      </c>
      <c r="F282" s="25">
        <f>Table2[[#This Row],[Price]]/Table2[[#This Row],[Tot Ht Area]]</f>
        <v>300.12249897917519</v>
      </c>
      <c r="G282" s="16">
        <v>2449</v>
      </c>
      <c r="H282" s="16">
        <v>2564</v>
      </c>
      <c r="I282" s="17" t="s">
        <v>1780</v>
      </c>
      <c r="J282" s="18" t="s">
        <v>491</v>
      </c>
      <c r="K282" s="19" t="s">
        <v>37</v>
      </c>
      <c r="L282" s="19" t="s">
        <v>1781</v>
      </c>
      <c r="M282" s="19" t="s">
        <v>1782</v>
      </c>
      <c r="N282" s="20" t="s">
        <v>1598</v>
      </c>
      <c r="O282" s="20" t="s">
        <v>27</v>
      </c>
      <c r="P282" s="21" t="s">
        <v>1783</v>
      </c>
      <c r="Q282" s="26" t="s">
        <v>1784</v>
      </c>
      <c r="R282" s="20" t="s">
        <v>1785</v>
      </c>
      <c r="S282" s="20"/>
      <c r="T282" s="20"/>
      <c r="U282" s="20"/>
      <c r="V282" s="20"/>
    </row>
    <row r="283" spans="2:22" ht="17">
      <c r="B283" s="11" t="s">
        <v>1786</v>
      </c>
      <c r="C283" s="23" t="s">
        <v>33</v>
      </c>
      <c r="D283" s="13" t="s">
        <v>260</v>
      </c>
      <c r="E283" s="24">
        <v>2460000</v>
      </c>
      <c r="F283" s="25">
        <f>Table2[[#This Row],[Price]]/Table2[[#This Row],[Tot Ht Area]]</f>
        <v>648.05057955742882</v>
      </c>
      <c r="G283" s="16">
        <v>3796</v>
      </c>
      <c r="H283" s="16">
        <v>3937</v>
      </c>
      <c r="I283" s="17" t="s">
        <v>1787</v>
      </c>
      <c r="J283" s="18" t="s">
        <v>1788</v>
      </c>
      <c r="K283" s="19" t="s">
        <v>37</v>
      </c>
      <c r="L283" s="19" t="s">
        <v>58</v>
      </c>
      <c r="M283" s="19" t="s">
        <v>1789</v>
      </c>
      <c r="N283" s="20" t="s">
        <v>1598</v>
      </c>
      <c r="O283" s="20" t="s">
        <v>27</v>
      </c>
      <c r="P283" s="21" t="s">
        <v>1790</v>
      </c>
      <c r="Q283" s="20" t="s">
        <v>1791</v>
      </c>
      <c r="R283" s="20" t="s">
        <v>1792</v>
      </c>
      <c r="S283" s="20"/>
      <c r="T283" s="20"/>
      <c r="U283" s="20"/>
      <c r="V283" s="20"/>
    </row>
    <row r="284" spans="2:22" ht="17">
      <c r="B284" s="11" t="s">
        <v>1793</v>
      </c>
      <c r="C284" s="23" t="s">
        <v>33</v>
      </c>
      <c r="D284" s="13" t="s">
        <v>223</v>
      </c>
      <c r="E284" s="24">
        <v>3350000</v>
      </c>
      <c r="F284" s="25">
        <f>Table2[[#This Row],[Price]]/Table2[[#This Row],[Tot Ht Area]]</f>
        <v>335.67134268537075</v>
      </c>
      <c r="G284" s="16">
        <v>9980</v>
      </c>
      <c r="H284" s="16">
        <v>10684</v>
      </c>
      <c r="I284" s="17" t="s">
        <v>1794</v>
      </c>
      <c r="J284" s="18" t="s">
        <v>209</v>
      </c>
      <c r="K284" s="19" t="s">
        <v>101</v>
      </c>
      <c r="L284" s="19" t="s">
        <v>234</v>
      </c>
      <c r="M284" s="19" t="s">
        <v>1795</v>
      </c>
      <c r="N284" s="20" t="s">
        <v>1598</v>
      </c>
      <c r="O284" s="20" t="s">
        <v>27</v>
      </c>
      <c r="P284" s="21" t="s">
        <v>1796</v>
      </c>
      <c r="Q284" s="20" t="s">
        <v>1797</v>
      </c>
      <c r="R284" s="20" t="s">
        <v>1798</v>
      </c>
      <c r="S284" s="20"/>
      <c r="T284" s="20"/>
      <c r="U284" s="20"/>
      <c r="V284" s="20"/>
    </row>
    <row r="285" spans="2:22" ht="34">
      <c r="B285" s="11" t="s">
        <v>1799</v>
      </c>
      <c r="C285" s="23" t="s">
        <v>33</v>
      </c>
      <c r="D285" s="13" t="s">
        <v>428</v>
      </c>
      <c r="E285" s="24">
        <v>100</v>
      </c>
      <c r="F285" s="25">
        <f>Table2[[#This Row],[Price]]/Table2[[#This Row],[Tot Ht Area]]</f>
        <v>3.3545790003354579E-2</v>
      </c>
      <c r="G285" s="16">
        <v>2981</v>
      </c>
      <c r="H285" s="16">
        <v>3685</v>
      </c>
      <c r="I285" s="17" t="s">
        <v>1800</v>
      </c>
      <c r="J285" s="18" t="s">
        <v>518</v>
      </c>
      <c r="K285" s="19" t="s">
        <v>37</v>
      </c>
      <c r="L285" s="19" t="s">
        <v>49</v>
      </c>
      <c r="M285" s="19" t="s">
        <v>1801</v>
      </c>
      <c r="N285" s="20" t="s">
        <v>1598</v>
      </c>
      <c r="O285" s="20" t="s">
        <v>27</v>
      </c>
      <c r="P285" s="21" t="s">
        <v>1608</v>
      </c>
      <c r="Q285" s="20"/>
      <c r="R285" s="20" t="s">
        <v>1802</v>
      </c>
      <c r="S285" s="20"/>
      <c r="T285" s="20" t="s">
        <v>6318</v>
      </c>
      <c r="U285" s="20"/>
      <c r="V285" s="20"/>
    </row>
    <row r="286" spans="2:22" ht="17">
      <c r="B286" s="11" t="s">
        <v>1803</v>
      </c>
      <c r="C286" s="23" t="s">
        <v>33</v>
      </c>
      <c r="D286" s="13" t="s">
        <v>108</v>
      </c>
      <c r="E286" s="24">
        <v>100</v>
      </c>
      <c r="F286" s="25">
        <f>Table2[[#This Row],[Price]]/Table2[[#This Row],[Tot Ht Area]]</f>
        <v>2.8425241614553724E-2</v>
      </c>
      <c r="G286" s="16">
        <v>3518</v>
      </c>
      <c r="H286" s="16">
        <v>4078</v>
      </c>
      <c r="I286" s="17" t="s">
        <v>1804</v>
      </c>
      <c r="J286" s="18" t="s">
        <v>233</v>
      </c>
      <c r="K286" s="19" t="s">
        <v>37</v>
      </c>
      <c r="L286" s="19" t="s">
        <v>1781</v>
      </c>
      <c r="M286" s="19" t="s">
        <v>1805</v>
      </c>
      <c r="N286" s="20" t="s">
        <v>1598</v>
      </c>
      <c r="O286" s="20" t="s">
        <v>27</v>
      </c>
      <c r="P286" s="21" t="s">
        <v>1806</v>
      </c>
      <c r="Q286" s="20" t="s">
        <v>237</v>
      </c>
      <c r="R286" s="20" t="s">
        <v>1807</v>
      </c>
      <c r="S286" s="20"/>
      <c r="T286" s="20" t="s">
        <v>6318</v>
      </c>
      <c r="U286" s="20"/>
      <c r="V286" s="20"/>
    </row>
    <row r="287" spans="2:22" ht="17">
      <c r="B287" s="11" t="s">
        <v>1808</v>
      </c>
      <c r="C287" s="23" t="s">
        <v>33</v>
      </c>
      <c r="D287" s="13" t="s">
        <v>1641</v>
      </c>
      <c r="E287" s="24">
        <v>100</v>
      </c>
      <c r="F287" s="25">
        <f>Table2[[#This Row],[Price]]/Table2[[#This Row],[Tot Ht Area]]</f>
        <v>2.2143489813994686E-2</v>
      </c>
      <c r="G287" s="16">
        <v>4516</v>
      </c>
      <c r="H287" s="16">
        <v>4768</v>
      </c>
      <c r="I287" s="17" t="s">
        <v>1809</v>
      </c>
      <c r="J287" s="18" t="s">
        <v>1810</v>
      </c>
      <c r="K287" s="19" t="s">
        <v>37</v>
      </c>
      <c r="L287" s="19" t="s">
        <v>49</v>
      </c>
      <c r="M287" s="19" t="s">
        <v>1811</v>
      </c>
      <c r="N287" s="20" t="s">
        <v>1598</v>
      </c>
      <c r="O287" s="20" t="s">
        <v>1812</v>
      </c>
      <c r="P287" s="21" t="s">
        <v>1813</v>
      </c>
      <c r="Q287" s="20" t="s">
        <v>244</v>
      </c>
      <c r="R287" s="20" t="s">
        <v>1814</v>
      </c>
      <c r="S287" s="20"/>
      <c r="T287" s="20" t="s">
        <v>6318</v>
      </c>
      <c r="U287" s="20"/>
      <c r="V287" s="20"/>
    </row>
    <row r="288" spans="2:22" ht="17">
      <c r="B288" s="11" t="s">
        <v>1815</v>
      </c>
      <c r="C288" s="23" t="s">
        <v>33</v>
      </c>
      <c r="D288" s="13" t="s">
        <v>185</v>
      </c>
      <c r="E288" s="24">
        <v>278000</v>
      </c>
      <c r="F288" s="25">
        <f>Table2[[#This Row],[Price]]/Table2[[#This Row],[Tot Ht Area]]</f>
        <v>81.04956268221575</v>
      </c>
      <c r="G288" s="16">
        <v>3430</v>
      </c>
      <c r="H288" s="16">
        <v>3585</v>
      </c>
      <c r="I288" s="17" t="s">
        <v>1816</v>
      </c>
      <c r="J288" s="18" t="s">
        <v>287</v>
      </c>
      <c r="K288" s="19" t="s">
        <v>37</v>
      </c>
      <c r="L288" s="19" t="s">
        <v>1761</v>
      </c>
      <c r="M288" s="19" t="s">
        <v>1817</v>
      </c>
      <c r="N288" s="20" t="s">
        <v>1598</v>
      </c>
      <c r="O288" s="20" t="s">
        <v>27</v>
      </c>
      <c r="P288" s="21" t="s">
        <v>1818</v>
      </c>
      <c r="Q288" s="20" t="s">
        <v>250</v>
      </c>
      <c r="R288" s="20" t="s">
        <v>1819</v>
      </c>
      <c r="S288" s="20"/>
      <c r="T288" s="20"/>
      <c r="U288" s="20"/>
      <c r="V288" s="20"/>
    </row>
    <row r="289" spans="2:22" ht="34">
      <c r="B289" s="11" t="s">
        <v>1820</v>
      </c>
      <c r="C289" s="23" t="s">
        <v>33</v>
      </c>
      <c r="D289" s="13" t="s">
        <v>307</v>
      </c>
      <c r="E289" s="24"/>
      <c r="F289" s="25">
        <f>Table2[[#This Row],[Price]]/Table2[[#This Row],[Tot Ht Area]]</f>
        <v>0</v>
      </c>
      <c r="G289" s="16">
        <v>22374</v>
      </c>
      <c r="H289" s="16">
        <v>25536</v>
      </c>
      <c r="I289" s="17" t="s">
        <v>1821</v>
      </c>
      <c r="J289" s="18" t="s">
        <v>23</v>
      </c>
      <c r="K289" s="19" t="s">
        <v>37</v>
      </c>
      <c r="L289" s="19" t="s">
        <v>1761</v>
      </c>
      <c r="M289" s="19" t="s">
        <v>1822</v>
      </c>
      <c r="N289" s="20" t="s">
        <v>1598</v>
      </c>
      <c r="O289" s="20" t="s">
        <v>27</v>
      </c>
      <c r="P289" s="21" t="s">
        <v>1823</v>
      </c>
      <c r="Q289" s="20" t="s">
        <v>1666</v>
      </c>
      <c r="R289" s="20" t="s">
        <v>1824</v>
      </c>
      <c r="S289" s="20"/>
      <c r="T289" s="20"/>
      <c r="U289" s="20"/>
      <c r="V289" s="20"/>
    </row>
    <row r="290" spans="2:22" ht="34">
      <c r="B290" s="11" t="s">
        <v>1825</v>
      </c>
      <c r="C290" s="23" t="s">
        <v>33</v>
      </c>
      <c r="D290" s="13" t="s">
        <v>314</v>
      </c>
      <c r="E290" s="24">
        <v>5300000</v>
      </c>
      <c r="F290" s="25">
        <f>Table2[[#This Row],[Price]]/Table2[[#This Row],[Tot Ht Area]]</f>
        <v>161.04038163531951</v>
      </c>
      <c r="G290" s="16">
        <v>32911</v>
      </c>
      <c r="H290" s="16">
        <v>43664</v>
      </c>
      <c r="I290" s="17" t="s">
        <v>1826</v>
      </c>
      <c r="J290" s="18" t="s">
        <v>201</v>
      </c>
      <c r="K290" s="19" t="s">
        <v>48</v>
      </c>
      <c r="L290" s="19" t="s">
        <v>194</v>
      </c>
      <c r="M290" s="19" t="s">
        <v>1827</v>
      </c>
      <c r="N290" s="20" t="s">
        <v>1598</v>
      </c>
      <c r="O290" s="20" t="s">
        <v>27</v>
      </c>
      <c r="P290" s="21" t="s">
        <v>1828</v>
      </c>
      <c r="Q290" s="20" t="s">
        <v>297</v>
      </c>
      <c r="R290" s="20" t="s">
        <v>1829</v>
      </c>
      <c r="S290" s="20"/>
      <c r="T290" s="20"/>
      <c r="U290" s="20"/>
      <c r="V290" s="20"/>
    </row>
    <row r="291" spans="2:22" ht="34">
      <c r="B291" s="11" t="s">
        <v>1830</v>
      </c>
      <c r="C291" s="23" t="s">
        <v>33</v>
      </c>
      <c r="D291" s="13" t="s">
        <v>133</v>
      </c>
      <c r="E291" s="24">
        <v>2400000</v>
      </c>
      <c r="F291" s="25">
        <f>Table2[[#This Row],[Price]]/Table2[[#This Row],[Tot Ht Area]]</f>
        <v>144.07491895785807</v>
      </c>
      <c r="G291" s="16">
        <v>16658</v>
      </c>
      <c r="H291" s="16">
        <v>18332</v>
      </c>
      <c r="I291" s="17" t="s">
        <v>1831</v>
      </c>
      <c r="J291" s="18" t="s">
        <v>83</v>
      </c>
      <c r="K291" s="19" t="s">
        <v>37</v>
      </c>
      <c r="L291" s="19" t="s">
        <v>194</v>
      </c>
      <c r="M291" s="19" t="s">
        <v>1832</v>
      </c>
      <c r="N291" s="20" t="s">
        <v>1598</v>
      </c>
      <c r="O291" s="20" t="s">
        <v>27</v>
      </c>
      <c r="P291" s="21" t="s">
        <v>1833</v>
      </c>
      <c r="Q291" s="20" t="s">
        <v>1834</v>
      </c>
      <c r="R291" s="20" t="s">
        <v>1835</v>
      </c>
      <c r="S291" s="20"/>
      <c r="T291" s="20"/>
      <c r="U291" s="20"/>
      <c r="V291" s="20"/>
    </row>
    <row r="292" spans="2:22" ht="17">
      <c r="B292" s="11" t="s">
        <v>1836</v>
      </c>
      <c r="C292" s="23" t="s">
        <v>33</v>
      </c>
      <c r="D292" s="13" t="s">
        <v>21</v>
      </c>
      <c r="E292" s="24">
        <v>1250000</v>
      </c>
      <c r="F292" s="25">
        <f>Table2[[#This Row],[Price]]/Table2[[#This Row],[Tot Ht Area]]</f>
        <v>180.27112777617538</v>
      </c>
      <c r="G292" s="16">
        <v>6934</v>
      </c>
      <c r="H292" s="16">
        <v>7916</v>
      </c>
      <c r="I292" s="17" t="s">
        <v>1837</v>
      </c>
      <c r="J292" s="18" t="s">
        <v>599</v>
      </c>
      <c r="K292" s="19" t="s">
        <v>37</v>
      </c>
      <c r="L292" s="19" t="s">
        <v>1838</v>
      </c>
      <c r="M292" s="19" t="s">
        <v>1839</v>
      </c>
      <c r="N292" s="20" t="s">
        <v>1598</v>
      </c>
      <c r="O292" s="20" t="s">
        <v>27</v>
      </c>
      <c r="P292" s="21" t="s">
        <v>1840</v>
      </c>
      <c r="Q292" s="20" t="s">
        <v>311</v>
      </c>
      <c r="R292" s="20" t="s">
        <v>1841</v>
      </c>
      <c r="S292" s="20"/>
      <c r="T292" s="20"/>
      <c r="U292" s="20"/>
      <c r="V292" s="20"/>
    </row>
    <row r="293" spans="2:22" ht="17">
      <c r="B293" s="11" t="s">
        <v>1842</v>
      </c>
      <c r="C293" s="23" t="s">
        <v>33</v>
      </c>
      <c r="D293" s="13" t="s">
        <v>372</v>
      </c>
      <c r="E293" s="24">
        <v>218000</v>
      </c>
      <c r="F293" s="25">
        <f>Table2[[#This Row],[Price]]/Table2[[#This Row],[Tot Ht Area]]</f>
        <v>108.67397806580259</v>
      </c>
      <c r="G293" s="16">
        <v>2006</v>
      </c>
      <c r="H293" s="16">
        <v>2205</v>
      </c>
      <c r="I293" s="17" t="s">
        <v>1843</v>
      </c>
      <c r="J293" s="18" t="s">
        <v>126</v>
      </c>
      <c r="K293" s="19" t="s">
        <v>37</v>
      </c>
      <c r="L293" s="19" t="s">
        <v>1844</v>
      </c>
      <c r="M293" s="19" t="s">
        <v>1845</v>
      </c>
      <c r="N293" s="20" t="s">
        <v>1598</v>
      </c>
      <c r="O293" s="20" t="s">
        <v>27</v>
      </c>
      <c r="P293" s="21" t="s">
        <v>1846</v>
      </c>
      <c r="Q293" s="20"/>
      <c r="R293" s="20" t="s">
        <v>1847</v>
      </c>
      <c r="S293" s="20"/>
      <c r="T293" s="20"/>
      <c r="U293" s="20"/>
      <c r="V293" s="20"/>
    </row>
    <row r="294" spans="2:22" ht="17">
      <c r="B294" s="11" t="s">
        <v>1848</v>
      </c>
      <c r="C294" s="23" t="s">
        <v>33</v>
      </c>
      <c r="D294" s="13" t="s">
        <v>45</v>
      </c>
      <c r="E294" s="24">
        <v>100</v>
      </c>
      <c r="F294" s="25">
        <f>Table2[[#This Row],[Price]]/Table2[[#This Row],[Tot Ht Area]]</f>
        <v>2.2727272727272728E-2</v>
      </c>
      <c r="G294" s="16">
        <v>4400</v>
      </c>
      <c r="H294" s="16">
        <v>5580</v>
      </c>
      <c r="I294" s="17" t="s">
        <v>1849</v>
      </c>
      <c r="J294" s="18" t="s">
        <v>1138</v>
      </c>
      <c r="K294" s="19" t="s">
        <v>37</v>
      </c>
      <c r="L294" s="19" t="s">
        <v>1850</v>
      </c>
      <c r="M294" s="19" t="s">
        <v>1851</v>
      </c>
      <c r="N294" s="20" t="s">
        <v>1598</v>
      </c>
      <c r="O294" s="20" t="s">
        <v>1812</v>
      </c>
      <c r="P294" s="21" t="s">
        <v>1852</v>
      </c>
      <c r="Q294" s="20"/>
      <c r="R294" s="20" t="s">
        <v>1853</v>
      </c>
      <c r="S294" s="20"/>
      <c r="T294" s="20" t="s">
        <v>6318</v>
      </c>
      <c r="U294" s="20"/>
      <c r="V294" s="20"/>
    </row>
    <row r="295" spans="2:22" ht="17">
      <c r="B295" s="11" t="s">
        <v>1854</v>
      </c>
      <c r="C295" s="23" t="s">
        <v>33</v>
      </c>
      <c r="D295" s="13" t="s">
        <v>231</v>
      </c>
      <c r="E295" s="24">
        <v>2525000</v>
      </c>
      <c r="F295" s="25">
        <f>Table2[[#This Row],[Price]]/Table2[[#This Row],[Tot Ht Area]]</f>
        <v>234.05635891731555</v>
      </c>
      <c r="G295" s="16">
        <v>10788</v>
      </c>
      <c r="H295" s="16">
        <v>12705</v>
      </c>
      <c r="I295" s="17" t="s">
        <v>1855</v>
      </c>
      <c r="J295" s="18" t="s">
        <v>233</v>
      </c>
      <c r="K295" s="19" t="s">
        <v>101</v>
      </c>
      <c r="L295" s="19" t="s">
        <v>1850</v>
      </c>
      <c r="M295" s="19" t="s">
        <v>1856</v>
      </c>
      <c r="N295" s="20" t="s">
        <v>1598</v>
      </c>
      <c r="O295" s="20" t="s">
        <v>27</v>
      </c>
      <c r="P295" s="21" t="s">
        <v>1857</v>
      </c>
      <c r="Q295" s="20"/>
      <c r="R295" s="20" t="s">
        <v>1858</v>
      </c>
      <c r="S295" s="20"/>
      <c r="T295" s="20"/>
      <c r="U295" s="20"/>
      <c r="V295" s="20"/>
    </row>
    <row r="296" spans="2:22" ht="17">
      <c r="B296" s="11" t="s">
        <v>1859</v>
      </c>
      <c r="C296" s="23" t="s">
        <v>33</v>
      </c>
      <c r="D296" s="13" t="s">
        <v>1860</v>
      </c>
      <c r="E296" s="24">
        <v>570000</v>
      </c>
      <c r="F296" s="25">
        <f>Table2[[#This Row],[Price]]/Table2[[#This Row],[Tot Ht Area]]</f>
        <v>260.75022872827083</v>
      </c>
      <c r="G296" s="16">
        <v>2186</v>
      </c>
      <c r="H296" s="16">
        <v>2294</v>
      </c>
      <c r="I296" s="17" t="s">
        <v>74</v>
      </c>
      <c r="J296" s="18" t="s">
        <v>468</v>
      </c>
      <c r="K296" s="19" t="s">
        <v>37</v>
      </c>
      <c r="L296" s="19" t="s">
        <v>67</v>
      </c>
      <c r="M296" s="19" t="s">
        <v>1861</v>
      </c>
      <c r="N296" s="20" t="s">
        <v>1598</v>
      </c>
      <c r="O296" s="20" t="s">
        <v>1812</v>
      </c>
      <c r="P296" s="21" t="s">
        <v>1862</v>
      </c>
      <c r="Q296" s="20"/>
      <c r="R296" s="20" t="s">
        <v>1863</v>
      </c>
      <c r="S296" s="20"/>
      <c r="T296" s="20"/>
      <c r="U296" s="20"/>
      <c r="V296" s="20"/>
    </row>
    <row r="297" spans="2:22" ht="34">
      <c r="B297" s="11" t="s">
        <v>1864</v>
      </c>
      <c r="C297" s="23" t="s">
        <v>33</v>
      </c>
      <c r="D297" s="13" t="s">
        <v>55</v>
      </c>
      <c r="E297" s="24">
        <v>769500</v>
      </c>
      <c r="F297" s="25">
        <f>Table2[[#This Row],[Price]]/Table2[[#This Row],[Tot Ht Area]]</f>
        <v>179.37062937062936</v>
      </c>
      <c r="G297" s="16">
        <v>4290</v>
      </c>
      <c r="H297" s="16">
        <v>4370</v>
      </c>
      <c r="I297" s="17" t="s">
        <v>1865</v>
      </c>
      <c r="J297" s="18" t="s">
        <v>83</v>
      </c>
      <c r="K297" s="19" t="s">
        <v>48</v>
      </c>
      <c r="L297" s="19" t="s">
        <v>1866</v>
      </c>
      <c r="M297" s="19" t="s">
        <v>1867</v>
      </c>
      <c r="N297" s="20" t="s">
        <v>1598</v>
      </c>
      <c r="O297" s="20" t="s">
        <v>27</v>
      </c>
      <c r="P297" s="21" t="s">
        <v>1868</v>
      </c>
      <c r="Q297" s="20"/>
      <c r="R297" s="20" t="s">
        <v>1869</v>
      </c>
      <c r="S297" s="20"/>
      <c r="T297" s="20"/>
      <c r="U297" s="20"/>
      <c r="V297" s="20"/>
    </row>
    <row r="298" spans="2:22" ht="34">
      <c r="B298" s="11" t="s">
        <v>1870</v>
      </c>
      <c r="C298" s="23" t="s">
        <v>33</v>
      </c>
      <c r="D298" s="13" t="s">
        <v>554</v>
      </c>
      <c r="E298" s="24">
        <v>1355000</v>
      </c>
      <c r="F298" s="25">
        <f>Table2[[#This Row],[Price]]/Table2[[#This Row],[Tot Ht Area]]</f>
        <v>95.692090395480221</v>
      </c>
      <c r="G298" s="16">
        <v>14160</v>
      </c>
      <c r="H298" s="16">
        <v>14268</v>
      </c>
      <c r="I298" s="17" t="s">
        <v>1871</v>
      </c>
      <c r="J298" s="18" t="s">
        <v>135</v>
      </c>
      <c r="K298" s="19" t="s">
        <v>37</v>
      </c>
      <c r="L298" s="19" t="s">
        <v>270</v>
      </c>
      <c r="M298" s="19" t="s">
        <v>1872</v>
      </c>
      <c r="N298" s="20" t="s">
        <v>1598</v>
      </c>
      <c r="O298" s="20" t="s">
        <v>27</v>
      </c>
      <c r="P298" s="21" t="s">
        <v>1873</v>
      </c>
      <c r="Q298" s="20"/>
      <c r="R298" s="20" t="s">
        <v>1874</v>
      </c>
      <c r="S298" s="20"/>
      <c r="T298" s="20"/>
      <c r="U298" s="20"/>
      <c r="V298" s="20"/>
    </row>
    <row r="299" spans="2:22" ht="34">
      <c r="B299" s="11" t="s">
        <v>1875</v>
      </c>
      <c r="C299" s="23" t="s">
        <v>33</v>
      </c>
      <c r="D299" s="13" t="s">
        <v>516</v>
      </c>
      <c r="E299" s="24">
        <v>3740000</v>
      </c>
      <c r="F299" s="25">
        <f>Table2[[#This Row],[Price]]/Table2[[#This Row],[Tot Ht Area]]</f>
        <v>523.22327923894795</v>
      </c>
      <c r="G299" s="16">
        <v>7148</v>
      </c>
      <c r="H299" s="16">
        <v>7532</v>
      </c>
      <c r="I299" s="17" t="s">
        <v>1876</v>
      </c>
      <c r="J299" s="18" t="s">
        <v>358</v>
      </c>
      <c r="K299" s="19" t="s">
        <v>48</v>
      </c>
      <c r="L299" s="19" t="s">
        <v>110</v>
      </c>
      <c r="M299" s="19" t="s">
        <v>1877</v>
      </c>
      <c r="N299" s="20" t="s">
        <v>1598</v>
      </c>
      <c r="O299" s="20" t="s">
        <v>1812</v>
      </c>
      <c r="P299" s="21" t="s">
        <v>1878</v>
      </c>
      <c r="Q299" s="20" t="s">
        <v>1879</v>
      </c>
      <c r="R299" s="20" t="s">
        <v>1880</v>
      </c>
      <c r="S299" s="20"/>
      <c r="T299" s="20"/>
      <c r="U299" s="20"/>
      <c r="V299" s="20"/>
    </row>
    <row r="300" spans="2:22" ht="17">
      <c r="B300" s="11" t="s">
        <v>1881</v>
      </c>
      <c r="C300" s="23" t="s">
        <v>33</v>
      </c>
      <c r="D300" s="13" t="s">
        <v>1860</v>
      </c>
      <c r="E300" s="24">
        <v>2000000</v>
      </c>
      <c r="F300" s="25">
        <f>Table2[[#This Row],[Price]]/Table2[[#This Row],[Tot Ht Area]]</f>
        <v>331.6749585406302</v>
      </c>
      <c r="G300" s="16">
        <v>6030</v>
      </c>
      <c r="H300" s="16">
        <v>6455</v>
      </c>
      <c r="I300" s="17" t="s">
        <v>1882</v>
      </c>
      <c r="J300" s="18" t="s">
        <v>760</v>
      </c>
      <c r="K300" s="19" t="s">
        <v>37</v>
      </c>
      <c r="L300" s="19" t="s">
        <v>1883</v>
      </c>
      <c r="M300" s="19" t="s">
        <v>1884</v>
      </c>
      <c r="N300" s="20" t="s">
        <v>1598</v>
      </c>
      <c r="O300" s="20" t="s">
        <v>27</v>
      </c>
      <c r="P300" s="21" t="s">
        <v>1885</v>
      </c>
      <c r="Q300" s="20"/>
      <c r="R300" s="20" t="s">
        <v>1886</v>
      </c>
      <c r="S300" s="20"/>
      <c r="T300" s="20"/>
      <c r="U300" s="20"/>
      <c r="V300" s="20"/>
    </row>
    <row r="301" spans="2:22" ht="17">
      <c r="B301" s="11" t="s">
        <v>1887</v>
      </c>
      <c r="C301" s="23" t="s">
        <v>33</v>
      </c>
      <c r="D301" s="13" t="s">
        <v>372</v>
      </c>
      <c r="E301" s="24">
        <v>1500000</v>
      </c>
      <c r="F301" s="25">
        <f>Table2[[#This Row],[Price]]/Table2[[#This Row],[Tot Ht Area]]</f>
        <v>220.03813994425701</v>
      </c>
      <c r="G301" s="16">
        <v>6817</v>
      </c>
      <c r="H301" s="16">
        <v>7568</v>
      </c>
      <c r="I301" s="17" t="s">
        <v>1888</v>
      </c>
      <c r="J301" s="18" t="s">
        <v>400</v>
      </c>
      <c r="K301" s="19" t="s">
        <v>48</v>
      </c>
      <c r="L301" s="19" t="s">
        <v>1883</v>
      </c>
      <c r="M301" s="19" t="s">
        <v>1889</v>
      </c>
      <c r="N301" s="20" t="s">
        <v>1598</v>
      </c>
      <c r="O301" s="20" t="s">
        <v>27</v>
      </c>
      <c r="P301" s="21" t="s">
        <v>1890</v>
      </c>
      <c r="Q301" s="20" t="s">
        <v>1891</v>
      </c>
      <c r="R301" s="20" t="s">
        <v>1892</v>
      </c>
      <c r="S301" s="20"/>
      <c r="T301" s="20"/>
      <c r="U301" s="20"/>
      <c r="V301" s="20"/>
    </row>
    <row r="302" spans="2:22" ht="17">
      <c r="B302" s="11" t="s">
        <v>1893</v>
      </c>
      <c r="C302" s="23" t="s">
        <v>33</v>
      </c>
      <c r="D302" s="13" t="s">
        <v>215</v>
      </c>
      <c r="E302" s="24">
        <v>100</v>
      </c>
      <c r="F302" s="25">
        <f>Table2[[#This Row],[Price]]/Table2[[#This Row],[Tot Ht Area]]</f>
        <v>3.0911901081916538E-2</v>
      </c>
      <c r="G302" s="16">
        <v>3235</v>
      </c>
      <c r="H302" s="16">
        <v>4804</v>
      </c>
      <c r="I302" s="17" t="s">
        <v>1894</v>
      </c>
      <c r="J302" s="18" t="s">
        <v>400</v>
      </c>
      <c r="K302" s="19" t="s">
        <v>48</v>
      </c>
      <c r="L302" s="19" t="s">
        <v>366</v>
      </c>
      <c r="M302" s="19" t="s">
        <v>1895</v>
      </c>
      <c r="N302" s="20" t="s">
        <v>1598</v>
      </c>
      <c r="O302" s="20" t="s">
        <v>1812</v>
      </c>
      <c r="P302" s="21" t="s">
        <v>1813</v>
      </c>
      <c r="Q302" s="20"/>
      <c r="R302" s="20" t="s">
        <v>1896</v>
      </c>
      <c r="S302" s="20"/>
      <c r="T302" s="20" t="s">
        <v>6318</v>
      </c>
      <c r="U302" s="20"/>
      <c r="V302" s="20"/>
    </row>
    <row r="303" spans="2:22" ht="17">
      <c r="B303" s="11" t="s">
        <v>1897</v>
      </c>
      <c r="C303" s="23" t="s">
        <v>33</v>
      </c>
      <c r="D303" s="13" t="s">
        <v>45</v>
      </c>
      <c r="E303" s="24">
        <v>720000</v>
      </c>
      <c r="F303" s="25">
        <f>Table2[[#This Row],[Price]]/Table2[[#This Row],[Tot Ht Area]]</f>
        <v>237.62376237623764</v>
      </c>
      <c r="G303" s="16">
        <v>3030</v>
      </c>
      <c r="H303" s="16">
        <v>3030</v>
      </c>
      <c r="I303" s="17" t="s">
        <v>1898</v>
      </c>
      <c r="J303" s="18" t="s">
        <v>483</v>
      </c>
      <c r="K303" s="19" t="s">
        <v>37</v>
      </c>
      <c r="L303" s="19" t="s">
        <v>110</v>
      </c>
      <c r="M303" s="19" t="s">
        <v>1899</v>
      </c>
      <c r="N303" s="20" t="s">
        <v>1598</v>
      </c>
      <c r="O303" s="20" t="s">
        <v>27</v>
      </c>
      <c r="P303" s="21" t="s">
        <v>1900</v>
      </c>
      <c r="Q303" s="20"/>
      <c r="R303" s="20" t="s">
        <v>1901</v>
      </c>
      <c r="S303" s="20"/>
      <c r="T303" s="20"/>
      <c r="U303" s="20"/>
      <c r="V303" s="20"/>
    </row>
    <row r="304" spans="2:22" ht="34">
      <c r="B304" s="11" t="s">
        <v>1902</v>
      </c>
      <c r="C304" s="23" t="s">
        <v>33</v>
      </c>
      <c r="D304" s="13" t="s">
        <v>954</v>
      </c>
      <c r="E304" s="24">
        <v>675000</v>
      </c>
      <c r="F304" s="25">
        <f>Table2[[#This Row],[Price]]/Table2[[#This Row],[Tot Ht Area]]</f>
        <v>192.85714285714286</v>
      </c>
      <c r="G304" s="16">
        <v>3500</v>
      </c>
      <c r="H304" s="16">
        <v>7300</v>
      </c>
      <c r="I304" s="17" t="s">
        <v>1903</v>
      </c>
      <c r="J304" s="18" t="s">
        <v>800</v>
      </c>
      <c r="K304" s="19" t="s">
        <v>37</v>
      </c>
      <c r="L304" s="19" t="s">
        <v>1866</v>
      </c>
      <c r="M304" s="19" t="s">
        <v>1904</v>
      </c>
      <c r="N304" s="20" t="s">
        <v>1598</v>
      </c>
      <c r="O304" s="20" t="s">
        <v>27</v>
      </c>
      <c r="P304" s="21" t="s">
        <v>1905</v>
      </c>
      <c r="Q304" s="20"/>
      <c r="R304" s="20" t="s">
        <v>1906</v>
      </c>
      <c r="S304" s="20"/>
      <c r="T304" s="20"/>
      <c r="U304" s="20"/>
      <c r="V304" s="20"/>
    </row>
    <row r="305" spans="2:22" ht="34">
      <c r="B305" s="11" t="s">
        <v>1907</v>
      </c>
      <c r="C305" s="23" t="s">
        <v>33</v>
      </c>
      <c r="D305" s="13" t="s">
        <v>1908</v>
      </c>
      <c r="E305" s="24">
        <v>900000</v>
      </c>
      <c r="F305" s="25">
        <f>Table2[[#This Row],[Price]]/Table2[[#This Row],[Tot Ht Area]]</f>
        <v>203.80434782608697</v>
      </c>
      <c r="G305" s="16">
        <v>4416</v>
      </c>
      <c r="H305" s="16">
        <v>4496</v>
      </c>
      <c r="I305" s="17" t="s">
        <v>1909</v>
      </c>
      <c r="J305" s="18" t="s">
        <v>415</v>
      </c>
      <c r="K305" s="19" t="s">
        <v>37</v>
      </c>
      <c r="L305" s="19" t="s">
        <v>110</v>
      </c>
      <c r="M305" s="19" t="s">
        <v>1910</v>
      </c>
      <c r="N305" s="20" t="s">
        <v>1598</v>
      </c>
      <c r="O305" s="20" t="s">
        <v>27</v>
      </c>
      <c r="P305" s="21" t="s">
        <v>1911</v>
      </c>
      <c r="Q305" s="20"/>
      <c r="R305" s="20" t="s">
        <v>1912</v>
      </c>
      <c r="S305" s="20"/>
      <c r="T305" s="20"/>
      <c r="U305" s="20"/>
      <c r="V305" s="20"/>
    </row>
    <row r="306" spans="2:22" ht="17">
      <c r="B306" s="11" t="s">
        <v>1913</v>
      </c>
      <c r="C306" s="23" t="s">
        <v>33</v>
      </c>
      <c r="D306" s="13" t="s">
        <v>995</v>
      </c>
      <c r="E306" s="24">
        <v>940000</v>
      </c>
      <c r="F306" s="25">
        <f>Table2[[#This Row],[Price]]/Table2[[#This Row],[Tot Ht Area]]</f>
        <v>169.15601943494693</v>
      </c>
      <c r="G306" s="16">
        <v>5557</v>
      </c>
      <c r="H306" s="16">
        <v>6213</v>
      </c>
      <c r="I306" s="17" t="s">
        <v>1914</v>
      </c>
      <c r="J306" s="18" t="s">
        <v>309</v>
      </c>
      <c r="K306" s="19" t="s">
        <v>37</v>
      </c>
      <c r="L306" s="19" t="s">
        <v>110</v>
      </c>
      <c r="M306" s="19" t="s">
        <v>1915</v>
      </c>
      <c r="N306" s="20" t="s">
        <v>1598</v>
      </c>
      <c r="O306" s="20" t="s">
        <v>27</v>
      </c>
      <c r="P306" s="21" t="s">
        <v>1916</v>
      </c>
      <c r="Q306" s="20"/>
      <c r="R306" s="20" t="s">
        <v>1917</v>
      </c>
      <c r="S306" s="20"/>
      <c r="T306" s="20"/>
      <c r="U306" s="20"/>
      <c r="V306" s="20"/>
    </row>
    <row r="307" spans="2:22" ht="34">
      <c r="B307" s="11" t="s">
        <v>1918</v>
      </c>
      <c r="C307" s="23" t="s">
        <v>33</v>
      </c>
      <c r="D307" s="13" t="s">
        <v>260</v>
      </c>
      <c r="E307" s="24">
        <v>950000</v>
      </c>
      <c r="F307" s="25">
        <f>Table2[[#This Row],[Price]]/Table2[[#This Row],[Tot Ht Area]]</f>
        <v>353.81750465549351</v>
      </c>
      <c r="G307" s="16">
        <v>2685</v>
      </c>
      <c r="H307" s="16">
        <v>2706</v>
      </c>
      <c r="I307" s="17" t="s">
        <v>1919</v>
      </c>
      <c r="J307" s="18" t="s">
        <v>278</v>
      </c>
      <c r="K307" s="19" t="s">
        <v>37</v>
      </c>
      <c r="L307" s="19" t="s">
        <v>1866</v>
      </c>
      <c r="M307" s="19" t="s">
        <v>1920</v>
      </c>
      <c r="N307" s="20" t="s">
        <v>1598</v>
      </c>
      <c r="O307" s="20" t="s">
        <v>27</v>
      </c>
      <c r="P307" s="21" t="s">
        <v>1921</v>
      </c>
      <c r="Q307" s="20"/>
      <c r="R307" s="26" t="s">
        <v>1922</v>
      </c>
      <c r="S307" s="20"/>
      <c r="T307" s="20"/>
      <c r="U307" s="20"/>
      <c r="V307" s="20"/>
    </row>
    <row r="308" spans="2:22" ht="17">
      <c r="B308" s="11" t="s">
        <v>1923</v>
      </c>
      <c r="C308" s="23" t="s">
        <v>33</v>
      </c>
      <c r="D308" s="13" t="s">
        <v>45</v>
      </c>
      <c r="E308" s="24">
        <v>850000</v>
      </c>
      <c r="F308" s="25">
        <f>Table2[[#This Row],[Price]]/Table2[[#This Row],[Tot Ht Area]]</f>
        <v>255.71600481347772</v>
      </c>
      <c r="G308" s="16">
        <v>3324</v>
      </c>
      <c r="H308" s="16">
        <v>3324</v>
      </c>
      <c r="I308" s="17" t="s">
        <v>1924</v>
      </c>
      <c r="J308" s="18" t="s">
        <v>1925</v>
      </c>
      <c r="K308" s="19" t="s">
        <v>101</v>
      </c>
      <c r="L308" s="19" t="s">
        <v>110</v>
      </c>
      <c r="M308" s="19" t="s">
        <v>1926</v>
      </c>
      <c r="N308" s="20" t="s">
        <v>1598</v>
      </c>
      <c r="O308" s="20" t="s">
        <v>40</v>
      </c>
      <c r="P308" s="21" t="s">
        <v>1927</v>
      </c>
      <c r="Q308" s="20" t="s">
        <v>1928</v>
      </c>
      <c r="R308" s="20" t="s">
        <v>1929</v>
      </c>
      <c r="S308" s="20"/>
      <c r="T308" s="20"/>
      <c r="U308" s="20"/>
      <c r="V308" s="20"/>
    </row>
    <row r="309" spans="2:22" ht="34">
      <c r="B309" s="11" t="s">
        <v>1930</v>
      </c>
      <c r="C309" s="23" t="s">
        <v>33</v>
      </c>
      <c r="D309" s="13" t="s">
        <v>133</v>
      </c>
      <c r="E309" s="24">
        <v>980000</v>
      </c>
      <c r="F309" s="25">
        <f>Table2[[#This Row],[Price]]/Table2[[#This Row],[Tot Ht Area]]</f>
        <v>35.795164000292203</v>
      </c>
      <c r="G309" s="16">
        <v>27378</v>
      </c>
      <c r="H309" s="16">
        <v>42015</v>
      </c>
      <c r="I309" s="17" t="s">
        <v>1931</v>
      </c>
      <c r="J309" s="18" t="s">
        <v>1932</v>
      </c>
      <c r="K309" s="19" t="s">
        <v>101</v>
      </c>
      <c r="L309" s="19" t="s">
        <v>324</v>
      </c>
      <c r="M309" s="19" t="s">
        <v>1933</v>
      </c>
      <c r="N309" s="20" t="s">
        <v>1598</v>
      </c>
      <c r="O309" s="20" t="s">
        <v>27</v>
      </c>
      <c r="P309" s="21" t="s">
        <v>1934</v>
      </c>
      <c r="Q309" s="20" t="s">
        <v>1935</v>
      </c>
      <c r="R309" s="20" t="s">
        <v>1936</v>
      </c>
      <c r="S309" s="20"/>
      <c r="T309" s="20"/>
      <c r="U309" s="20"/>
      <c r="V309" s="20"/>
    </row>
    <row r="310" spans="2:22" ht="34">
      <c r="B310" s="11" t="s">
        <v>1937</v>
      </c>
      <c r="C310" s="23" t="s">
        <v>33</v>
      </c>
      <c r="D310" s="13" t="s">
        <v>64</v>
      </c>
      <c r="E310" s="24">
        <v>1050000</v>
      </c>
      <c r="F310" s="25">
        <f>Table2[[#This Row],[Price]]/Table2[[#This Row],[Tot Ht Area]]</f>
        <v>195.64002235885971</v>
      </c>
      <c r="G310" s="16">
        <v>5367</v>
      </c>
      <c r="H310" s="16">
        <v>5687</v>
      </c>
      <c r="I310" s="17" t="s">
        <v>1938</v>
      </c>
      <c r="J310" s="18" t="s">
        <v>66</v>
      </c>
      <c r="K310" s="19" t="s">
        <v>37</v>
      </c>
      <c r="L310" s="19" t="s">
        <v>93</v>
      </c>
      <c r="M310" s="19" t="s">
        <v>1939</v>
      </c>
      <c r="N310" s="20" t="s">
        <v>1598</v>
      </c>
      <c r="O310" s="20" t="s">
        <v>27</v>
      </c>
      <c r="P310" s="21" t="s">
        <v>1940</v>
      </c>
      <c r="Q310" s="20"/>
      <c r="R310" s="20" t="s">
        <v>1941</v>
      </c>
      <c r="S310" s="20"/>
      <c r="T310" s="20"/>
      <c r="U310" s="20"/>
      <c r="V310" s="20"/>
    </row>
    <row r="311" spans="2:22" ht="34">
      <c r="B311" s="11" t="s">
        <v>1942</v>
      </c>
      <c r="C311" s="23" t="s">
        <v>33</v>
      </c>
      <c r="D311" s="13" t="s">
        <v>372</v>
      </c>
      <c r="E311" s="24">
        <v>1850000</v>
      </c>
      <c r="F311" s="25">
        <f>Table2[[#This Row],[Price]]/Table2[[#This Row],[Tot Ht Area]]</f>
        <v>260.56338028169012</v>
      </c>
      <c r="G311" s="16">
        <v>7100</v>
      </c>
      <c r="H311" s="16">
        <v>9022</v>
      </c>
      <c r="I311" s="17" t="s">
        <v>1943</v>
      </c>
      <c r="J311" s="18" t="s">
        <v>422</v>
      </c>
      <c r="K311" s="19" t="s">
        <v>48</v>
      </c>
      <c r="L311" s="19" t="s">
        <v>93</v>
      </c>
      <c r="M311" s="19" t="s">
        <v>1944</v>
      </c>
      <c r="N311" s="20" t="s">
        <v>1598</v>
      </c>
      <c r="O311" s="20" t="s">
        <v>1812</v>
      </c>
      <c r="P311" s="21" t="s">
        <v>1945</v>
      </c>
      <c r="Q311" s="20" t="s">
        <v>1946</v>
      </c>
      <c r="R311" s="20" t="s">
        <v>1947</v>
      </c>
      <c r="S311" s="20"/>
      <c r="T311" s="20"/>
      <c r="U311" s="20"/>
      <c r="V311" s="20"/>
    </row>
    <row r="312" spans="2:22" ht="17">
      <c r="B312" s="11" t="s">
        <v>1948</v>
      </c>
      <c r="C312" s="23" t="s">
        <v>33</v>
      </c>
      <c r="D312" s="13" t="s">
        <v>954</v>
      </c>
      <c r="E312" s="24">
        <v>360000</v>
      </c>
      <c r="F312" s="25">
        <f>Table2[[#This Row],[Price]]/Table2[[#This Row],[Tot Ht Area]]</f>
        <v>120</v>
      </c>
      <c r="G312" s="16">
        <v>3000</v>
      </c>
      <c r="H312" s="16">
        <v>3119</v>
      </c>
      <c r="I312" s="17" t="s">
        <v>1949</v>
      </c>
      <c r="J312" s="18" t="s">
        <v>415</v>
      </c>
      <c r="K312" s="19" t="s">
        <v>37</v>
      </c>
      <c r="L312" s="19" t="s">
        <v>93</v>
      </c>
      <c r="M312" s="19" t="s">
        <v>1950</v>
      </c>
      <c r="N312" s="20" t="s">
        <v>1598</v>
      </c>
      <c r="O312" s="20" t="s">
        <v>27</v>
      </c>
      <c r="P312" s="21" t="s">
        <v>1951</v>
      </c>
      <c r="Q312" s="20" t="s">
        <v>1952</v>
      </c>
      <c r="R312" s="20" t="s">
        <v>1953</v>
      </c>
      <c r="S312" s="20"/>
      <c r="T312" s="20"/>
      <c r="U312" s="20"/>
      <c r="V312" s="20"/>
    </row>
    <row r="313" spans="2:22" ht="17">
      <c r="B313" s="11" t="s">
        <v>1954</v>
      </c>
      <c r="C313" s="23" t="s">
        <v>33</v>
      </c>
      <c r="D313" s="13" t="s">
        <v>1641</v>
      </c>
      <c r="E313" s="24">
        <v>1525000</v>
      </c>
      <c r="F313" s="25">
        <f>Table2[[#This Row],[Price]]/Table2[[#This Row],[Tot Ht Area]]</f>
        <v>329.80103806228374</v>
      </c>
      <c r="G313" s="16">
        <v>4624</v>
      </c>
      <c r="H313" s="16">
        <v>4824</v>
      </c>
      <c r="I313" s="17" t="s">
        <v>1955</v>
      </c>
      <c r="J313" s="18" t="s">
        <v>646</v>
      </c>
      <c r="K313" s="19" t="s">
        <v>101</v>
      </c>
      <c r="L313" s="19" t="s">
        <v>93</v>
      </c>
      <c r="M313" s="19" t="s">
        <v>1956</v>
      </c>
      <c r="N313" s="20" t="s">
        <v>1598</v>
      </c>
      <c r="O313" s="20" t="s">
        <v>27</v>
      </c>
      <c r="P313" s="21" t="s">
        <v>1957</v>
      </c>
      <c r="Q313" s="20"/>
      <c r="R313" s="20" t="s">
        <v>1958</v>
      </c>
      <c r="S313" s="20"/>
      <c r="T313" s="20"/>
      <c r="U313" s="20"/>
      <c r="V313" s="20"/>
    </row>
    <row r="314" spans="2:22" ht="34">
      <c r="B314" s="11" t="s">
        <v>1959</v>
      </c>
      <c r="C314" s="23" t="s">
        <v>33</v>
      </c>
      <c r="D314" s="13" t="s">
        <v>231</v>
      </c>
      <c r="E314" s="24">
        <v>100</v>
      </c>
      <c r="F314" s="25">
        <f>Table2[[#This Row],[Price]]/Table2[[#This Row],[Tot Ht Area]]</f>
        <v>1.9786307874950535E-2</v>
      </c>
      <c r="G314" s="16">
        <v>5054</v>
      </c>
      <c r="H314" s="16">
        <v>5054</v>
      </c>
      <c r="I314" s="17" t="s">
        <v>1960</v>
      </c>
      <c r="J314" s="18" t="s">
        <v>350</v>
      </c>
      <c r="K314" s="19" t="s">
        <v>48</v>
      </c>
      <c r="L314" s="19" t="s">
        <v>359</v>
      </c>
      <c r="M314" s="19" t="s">
        <v>1961</v>
      </c>
      <c r="N314" s="20" t="s">
        <v>1598</v>
      </c>
      <c r="O314" s="20" t="s">
        <v>27</v>
      </c>
      <c r="P314" s="21" t="s">
        <v>1962</v>
      </c>
      <c r="Q314" s="20"/>
      <c r="R314" s="20" t="s">
        <v>1963</v>
      </c>
      <c r="S314" s="20"/>
      <c r="T314" s="20" t="s">
        <v>6318</v>
      </c>
      <c r="U314" s="20"/>
      <c r="V314" s="20"/>
    </row>
    <row r="315" spans="2:22" ht="17">
      <c r="B315" s="11" t="s">
        <v>1964</v>
      </c>
      <c r="C315" s="23" t="s">
        <v>33</v>
      </c>
      <c r="D315" s="13" t="s">
        <v>995</v>
      </c>
      <c r="E315" s="24">
        <v>850000</v>
      </c>
      <c r="F315" s="25">
        <f>Table2[[#This Row],[Price]]/Table2[[#This Row],[Tot Ht Area]]</f>
        <v>349.50657894736844</v>
      </c>
      <c r="G315" s="16">
        <v>2432</v>
      </c>
      <c r="H315" s="16">
        <v>2632</v>
      </c>
      <c r="I315" s="17" t="s">
        <v>1965</v>
      </c>
      <c r="J315" s="18" t="s">
        <v>57</v>
      </c>
      <c r="K315" s="19" t="s">
        <v>37</v>
      </c>
      <c r="L315" s="19" t="s">
        <v>110</v>
      </c>
      <c r="M315" s="19" t="s">
        <v>1966</v>
      </c>
      <c r="N315" s="20" t="s">
        <v>1598</v>
      </c>
      <c r="O315" s="20" t="s">
        <v>27</v>
      </c>
      <c r="P315" s="21" t="s">
        <v>1967</v>
      </c>
      <c r="Q315" s="20" t="s">
        <v>1968</v>
      </c>
      <c r="R315" s="20" t="s">
        <v>1969</v>
      </c>
      <c r="S315" s="20"/>
      <c r="T315" s="20"/>
      <c r="U315" s="20"/>
      <c r="V315" s="20"/>
    </row>
    <row r="316" spans="2:22" ht="34">
      <c r="B316" s="11" t="s">
        <v>1970</v>
      </c>
      <c r="C316" s="23" t="s">
        <v>33</v>
      </c>
      <c r="D316" s="13" t="s">
        <v>995</v>
      </c>
      <c r="E316" s="24">
        <v>100</v>
      </c>
      <c r="F316" s="25">
        <f>Table2[[#This Row],[Price]]/Table2[[#This Row],[Tot Ht Area]]</f>
        <v>5.0709939148073022E-2</v>
      </c>
      <c r="G316" s="16">
        <v>1972</v>
      </c>
      <c r="H316" s="16">
        <v>2724</v>
      </c>
      <c r="I316" s="17" t="s">
        <v>1971</v>
      </c>
      <c r="J316" s="18" t="s">
        <v>646</v>
      </c>
      <c r="K316" s="19" t="s">
        <v>37</v>
      </c>
      <c r="L316" s="19" t="s">
        <v>110</v>
      </c>
      <c r="M316" s="19" t="s">
        <v>1972</v>
      </c>
      <c r="N316" s="20" t="s">
        <v>1598</v>
      </c>
      <c r="O316" s="20" t="s">
        <v>1812</v>
      </c>
      <c r="P316" s="21" t="s">
        <v>1973</v>
      </c>
      <c r="Q316" s="20"/>
      <c r="R316" s="20" t="s">
        <v>1974</v>
      </c>
      <c r="S316" s="20"/>
      <c r="T316" s="20" t="s">
        <v>6318</v>
      </c>
      <c r="U316" s="20"/>
      <c r="V316" s="20"/>
    </row>
    <row r="317" spans="2:22" ht="34">
      <c r="B317" s="11" t="s">
        <v>1975</v>
      </c>
      <c r="C317" s="23" t="s">
        <v>33</v>
      </c>
      <c r="D317" s="13" t="s">
        <v>436</v>
      </c>
      <c r="E317" s="24">
        <v>10300000</v>
      </c>
      <c r="F317" s="25">
        <f>Table2[[#This Row],[Price]]/Table2[[#This Row],[Tot Ht Area]]</f>
        <v>196.4336797940307</v>
      </c>
      <c r="G317" s="16">
        <v>52435</v>
      </c>
      <c r="H317" s="16">
        <v>76228</v>
      </c>
      <c r="I317" s="17" t="s">
        <v>1976</v>
      </c>
      <c r="J317" s="18" t="s">
        <v>747</v>
      </c>
      <c r="K317" s="19" t="s">
        <v>101</v>
      </c>
      <c r="L317" s="19" t="s">
        <v>1524</v>
      </c>
      <c r="M317" s="19" t="s">
        <v>1977</v>
      </c>
      <c r="N317" s="20" t="s">
        <v>1598</v>
      </c>
      <c r="O317" s="20" t="s">
        <v>27</v>
      </c>
      <c r="P317" s="21" t="s">
        <v>1978</v>
      </c>
      <c r="Q317" s="20"/>
      <c r="R317" s="20" t="s">
        <v>1979</v>
      </c>
      <c r="S317" s="20"/>
      <c r="T317" s="20"/>
      <c r="U317" s="20"/>
      <c r="V317" s="20"/>
    </row>
    <row r="318" spans="2:22" ht="17">
      <c r="B318" s="11" t="s">
        <v>1980</v>
      </c>
      <c r="C318" s="23" t="s">
        <v>33</v>
      </c>
      <c r="D318" s="13" t="s">
        <v>285</v>
      </c>
      <c r="E318" s="24">
        <v>2700000</v>
      </c>
      <c r="F318" s="25">
        <f>Table2[[#This Row],[Price]]/Table2[[#This Row],[Tot Ht Area]]</f>
        <v>132.00352009386916</v>
      </c>
      <c r="G318" s="16">
        <v>20454</v>
      </c>
      <c r="H318" s="16">
        <v>21662</v>
      </c>
      <c r="I318" s="17" t="s">
        <v>1981</v>
      </c>
      <c r="J318" s="18" t="s">
        <v>241</v>
      </c>
      <c r="K318" s="19" t="s">
        <v>101</v>
      </c>
      <c r="L318" s="19" t="s">
        <v>1524</v>
      </c>
      <c r="M318" s="19" t="s">
        <v>1982</v>
      </c>
      <c r="N318" s="20" t="s">
        <v>1598</v>
      </c>
      <c r="O318" s="20" t="s">
        <v>27</v>
      </c>
      <c r="P318" s="21" t="s">
        <v>1983</v>
      </c>
      <c r="Q318" s="20" t="s">
        <v>1984</v>
      </c>
      <c r="R318" s="20" t="s">
        <v>1985</v>
      </c>
      <c r="S318" s="20"/>
      <c r="T318" s="20"/>
      <c r="U318" s="20"/>
      <c r="V318" s="20"/>
    </row>
    <row r="319" spans="2:22" ht="34">
      <c r="B319" s="11" t="s">
        <v>1986</v>
      </c>
      <c r="C319" s="23" t="s">
        <v>33</v>
      </c>
      <c r="D319" s="13" t="s">
        <v>90</v>
      </c>
      <c r="E319" s="24">
        <v>6128200</v>
      </c>
      <c r="F319" s="25">
        <f>Table2[[#This Row],[Price]]/Table2[[#This Row],[Tot Ht Area]]</f>
        <v>192.04638044500157</v>
      </c>
      <c r="G319" s="16">
        <v>31910</v>
      </c>
      <c r="H319" s="16">
        <v>34504</v>
      </c>
      <c r="I319" s="17" t="s">
        <v>1987</v>
      </c>
      <c r="J319" s="18" t="s">
        <v>241</v>
      </c>
      <c r="K319" s="19" t="s">
        <v>37</v>
      </c>
      <c r="L319" s="19" t="s">
        <v>401</v>
      </c>
      <c r="M319" s="19" t="s">
        <v>1988</v>
      </c>
      <c r="N319" s="20" t="s">
        <v>1598</v>
      </c>
      <c r="O319" s="20" t="s">
        <v>27</v>
      </c>
      <c r="P319" s="21" t="s">
        <v>1989</v>
      </c>
      <c r="Q319" s="20"/>
      <c r="R319" s="20" t="s">
        <v>1990</v>
      </c>
      <c r="S319" s="20"/>
      <c r="T319" s="20"/>
      <c r="U319" s="20"/>
      <c r="V319" s="20"/>
    </row>
    <row r="320" spans="2:22" ht="17">
      <c r="B320" s="11" t="s">
        <v>1991</v>
      </c>
      <c r="C320" s="23" t="s">
        <v>33</v>
      </c>
      <c r="D320" s="13" t="s">
        <v>90</v>
      </c>
      <c r="E320" s="24">
        <v>18371800</v>
      </c>
      <c r="F320" s="25">
        <f>Table2[[#This Row],[Price]]/Table2[[#This Row],[Tot Ht Area]]</f>
        <v>180.8550643316303</v>
      </c>
      <c r="G320" s="16">
        <v>101583</v>
      </c>
      <c r="H320" s="16">
        <v>112225</v>
      </c>
      <c r="I320" s="17" t="s">
        <v>1987</v>
      </c>
      <c r="J320" s="18" t="s">
        <v>1057</v>
      </c>
      <c r="K320" s="19" t="s">
        <v>37</v>
      </c>
      <c r="L320" s="19" t="s">
        <v>401</v>
      </c>
      <c r="M320" s="19" t="s">
        <v>1992</v>
      </c>
      <c r="N320" s="20" t="s">
        <v>1598</v>
      </c>
      <c r="O320" s="20" t="s">
        <v>27</v>
      </c>
      <c r="P320" s="21" t="s">
        <v>1993</v>
      </c>
      <c r="Q320" s="20"/>
      <c r="R320" s="20" t="s">
        <v>1994</v>
      </c>
      <c r="S320" s="20"/>
      <c r="T320" s="20"/>
      <c r="U320" s="20"/>
      <c r="V320" s="20"/>
    </row>
    <row r="321" spans="1:22" ht="17">
      <c r="B321" s="11" t="s">
        <v>1995</v>
      </c>
      <c r="C321" s="23" t="s">
        <v>33</v>
      </c>
      <c r="D321" s="13" t="s">
        <v>709</v>
      </c>
      <c r="E321" s="24">
        <v>1687500</v>
      </c>
      <c r="F321" s="25">
        <f>Table2[[#This Row],[Price]]/Table2[[#This Row],[Tot Ht Area]]</f>
        <v>119.97014076496517</v>
      </c>
      <c r="G321" s="16">
        <v>14066</v>
      </c>
      <c r="H321" s="16">
        <v>18800</v>
      </c>
      <c r="I321" s="17" t="s">
        <v>1996</v>
      </c>
      <c r="J321" s="18" t="s">
        <v>225</v>
      </c>
      <c r="K321" s="19" t="s">
        <v>101</v>
      </c>
      <c r="L321" s="19" t="s">
        <v>194</v>
      </c>
      <c r="M321" s="19" t="s">
        <v>1997</v>
      </c>
      <c r="N321" s="20" t="s">
        <v>1598</v>
      </c>
      <c r="O321" s="20" t="s">
        <v>27</v>
      </c>
      <c r="P321" s="21" t="s">
        <v>1998</v>
      </c>
      <c r="Q321" s="20"/>
      <c r="R321" s="20" t="s">
        <v>1999</v>
      </c>
      <c r="S321" s="20"/>
      <c r="T321" s="20"/>
      <c r="U321" s="20"/>
      <c r="V321" s="20"/>
    </row>
    <row r="322" spans="1:22" ht="34">
      <c r="B322" s="11" t="s">
        <v>2000</v>
      </c>
      <c r="C322" s="23" t="s">
        <v>33</v>
      </c>
      <c r="D322" s="13" t="s">
        <v>1908</v>
      </c>
      <c r="E322" s="24">
        <v>7200000</v>
      </c>
      <c r="F322" s="25">
        <f>Table2[[#This Row],[Price]]/Table2[[#This Row],[Tot Ht Area]]</f>
        <v>562.19255094869993</v>
      </c>
      <c r="G322" s="16">
        <v>12807</v>
      </c>
      <c r="H322" s="16">
        <v>15235</v>
      </c>
      <c r="I322" s="17" t="s">
        <v>2001</v>
      </c>
      <c r="J322" s="18" t="s">
        <v>422</v>
      </c>
      <c r="K322" s="19" t="s">
        <v>101</v>
      </c>
      <c r="L322" s="19" t="s">
        <v>2002</v>
      </c>
      <c r="M322" s="19" t="s">
        <v>2003</v>
      </c>
      <c r="N322" s="20" t="s">
        <v>1598</v>
      </c>
      <c r="O322" s="20" t="s">
        <v>1812</v>
      </c>
      <c r="P322" s="21" t="s">
        <v>2004</v>
      </c>
      <c r="Q322" s="26" t="s">
        <v>2005</v>
      </c>
      <c r="R322" s="20" t="s">
        <v>2006</v>
      </c>
      <c r="S322" s="20"/>
      <c r="T322" s="20"/>
      <c r="U322" s="20"/>
      <c r="V322" s="20"/>
    </row>
    <row r="323" spans="1:22" ht="34">
      <c r="B323" s="11" t="s">
        <v>2007</v>
      </c>
      <c r="C323" s="23" t="s">
        <v>33</v>
      </c>
      <c r="D323" s="13" t="s">
        <v>1908</v>
      </c>
      <c r="E323" s="24">
        <v>7350000</v>
      </c>
      <c r="F323" s="25">
        <f>Table2[[#This Row],[Price]]/Table2[[#This Row],[Tot Ht Area]]</f>
        <v>365.74442675159236</v>
      </c>
      <c r="G323" s="16">
        <v>20096</v>
      </c>
      <c r="H323" s="16">
        <v>21855</v>
      </c>
      <c r="I323" s="17" t="s">
        <v>2008</v>
      </c>
      <c r="J323" s="18" t="s">
        <v>83</v>
      </c>
      <c r="K323" s="19" t="s">
        <v>101</v>
      </c>
      <c r="L323" s="19" t="s">
        <v>194</v>
      </c>
      <c r="M323" s="19" t="s">
        <v>2009</v>
      </c>
      <c r="N323" s="20" t="s">
        <v>1598</v>
      </c>
      <c r="O323" s="20" t="s">
        <v>27</v>
      </c>
      <c r="P323" s="21" t="s">
        <v>2010</v>
      </c>
      <c r="Q323" s="20" t="s">
        <v>2011</v>
      </c>
      <c r="R323" s="20" t="s">
        <v>2012</v>
      </c>
      <c r="S323" s="20"/>
      <c r="T323" s="20"/>
      <c r="U323" s="20"/>
      <c r="V323" s="20"/>
    </row>
    <row r="324" spans="1:22" ht="17">
      <c r="B324" s="11" t="s">
        <v>2013</v>
      </c>
      <c r="C324" s="23" t="s">
        <v>33</v>
      </c>
      <c r="D324" s="13" t="s">
        <v>21</v>
      </c>
      <c r="E324" s="24">
        <v>1300000</v>
      </c>
      <c r="F324" s="25">
        <f>Table2[[#This Row],[Price]]/Table2[[#This Row],[Tot Ht Area]]</f>
        <v>318.00391389432485</v>
      </c>
      <c r="G324" s="16">
        <v>4088</v>
      </c>
      <c r="H324" s="16">
        <v>4340</v>
      </c>
      <c r="I324" s="17" t="s">
        <v>2014</v>
      </c>
      <c r="J324" s="18" t="s">
        <v>57</v>
      </c>
      <c r="K324" s="19" t="s">
        <v>37</v>
      </c>
      <c r="L324" s="19" t="s">
        <v>484</v>
      </c>
      <c r="M324" s="19" t="s">
        <v>2015</v>
      </c>
      <c r="N324" s="20" t="s">
        <v>1598</v>
      </c>
      <c r="O324" s="20" t="s">
        <v>27</v>
      </c>
      <c r="P324" s="21" t="s">
        <v>2016</v>
      </c>
      <c r="Q324" s="20" t="s">
        <v>2017</v>
      </c>
      <c r="R324" s="20" t="s">
        <v>2018</v>
      </c>
      <c r="S324" s="20"/>
      <c r="T324" s="20"/>
      <c r="U324" s="20"/>
      <c r="V324" s="20"/>
    </row>
    <row r="325" spans="1:22" ht="34">
      <c r="B325" s="11" t="s">
        <v>2019</v>
      </c>
      <c r="C325" s="23" t="s">
        <v>33</v>
      </c>
      <c r="D325" s="13" t="s">
        <v>207</v>
      </c>
      <c r="E325" s="24">
        <v>3000000</v>
      </c>
      <c r="F325" s="25">
        <f>Table2[[#This Row],[Price]]/Table2[[#This Row],[Tot Ht Area]]</f>
        <v>357.78175313059035</v>
      </c>
      <c r="G325" s="16">
        <v>8385</v>
      </c>
      <c r="H325" s="16">
        <v>10651</v>
      </c>
      <c r="I325" s="17" t="s">
        <v>2020</v>
      </c>
      <c r="J325" s="18" t="s">
        <v>415</v>
      </c>
      <c r="K325" s="19" t="s">
        <v>37</v>
      </c>
      <c r="L325" s="19" t="s">
        <v>2021</v>
      </c>
      <c r="M325" s="19" t="s">
        <v>2022</v>
      </c>
      <c r="N325" s="20" t="s">
        <v>1598</v>
      </c>
      <c r="O325" s="20" t="s">
        <v>27</v>
      </c>
      <c r="P325" s="21" t="s">
        <v>1951</v>
      </c>
      <c r="Q325" s="20" t="s">
        <v>2023</v>
      </c>
      <c r="R325" s="20" t="s">
        <v>2024</v>
      </c>
      <c r="S325" s="20"/>
      <c r="T325" s="20"/>
      <c r="U325" s="20"/>
      <c r="V325" s="20"/>
    </row>
    <row r="326" spans="1:22" ht="17">
      <c r="B326" s="11" t="s">
        <v>2025</v>
      </c>
      <c r="C326" s="23" t="s">
        <v>33</v>
      </c>
      <c r="D326" s="13" t="s">
        <v>170</v>
      </c>
      <c r="E326" s="24">
        <v>1320000</v>
      </c>
      <c r="F326" s="25">
        <f>Table2[[#This Row],[Price]]/Table2[[#This Row],[Tot Ht Area]]</f>
        <v>243.4077079107505</v>
      </c>
      <c r="G326" s="16">
        <v>5423</v>
      </c>
      <c r="H326" s="16">
        <v>6462</v>
      </c>
      <c r="I326" s="17" t="s">
        <v>2026</v>
      </c>
      <c r="J326" s="18" t="s">
        <v>415</v>
      </c>
      <c r="K326" s="19" t="s">
        <v>101</v>
      </c>
      <c r="L326" s="19" t="s">
        <v>2021</v>
      </c>
      <c r="M326" s="19" t="s">
        <v>2027</v>
      </c>
      <c r="N326" s="20" t="s">
        <v>1598</v>
      </c>
      <c r="O326" s="20" t="s">
        <v>27</v>
      </c>
      <c r="P326" s="21" t="s">
        <v>2028</v>
      </c>
      <c r="Q326" s="20"/>
      <c r="R326" s="20" t="s">
        <v>2029</v>
      </c>
      <c r="S326" s="20"/>
      <c r="T326" s="20"/>
      <c r="U326" s="20"/>
      <c r="V326" s="20"/>
    </row>
    <row r="327" spans="1:22" ht="17">
      <c r="B327" s="11" t="s">
        <v>2030</v>
      </c>
      <c r="C327" s="23" t="s">
        <v>33</v>
      </c>
      <c r="D327" s="13" t="s">
        <v>1441</v>
      </c>
      <c r="E327" s="24">
        <v>1600000</v>
      </c>
      <c r="F327" s="25">
        <f>Table2[[#This Row],[Price]]/Table2[[#This Row],[Tot Ht Area]]</f>
        <v>350.87719298245617</v>
      </c>
      <c r="G327" s="16">
        <v>4560</v>
      </c>
      <c r="H327" s="16">
        <v>4728</v>
      </c>
      <c r="I327" s="17" t="s">
        <v>2031</v>
      </c>
      <c r="J327" s="18" t="s">
        <v>767</v>
      </c>
      <c r="K327" s="19" t="s">
        <v>48</v>
      </c>
      <c r="L327" s="19" t="s">
        <v>194</v>
      </c>
      <c r="M327" s="19" t="s">
        <v>2032</v>
      </c>
      <c r="N327" s="20" t="s">
        <v>1598</v>
      </c>
      <c r="O327" s="20" t="s">
        <v>27</v>
      </c>
      <c r="P327" s="21" t="s">
        <v>2033</v>
      </c>
      <c r="Q327" s="20" t="s">
        <v>2034</v>
      </c>
      <c r="R327" s="20" t="s">
        <v>2035</v>
      </c>
      <c r="S327" s="20"/>
      <c r="T327" s="20"/>
      <c r="U327" s="20"/>
      <c r="V327" s="20"/>
    </row>
    <row r="328" spans="1:22" ht="34">
      <c r="B328" s="11" t="s">
        <v>2036</v>
      </c>
      <c r="C328" s="23" t="s">
        <v>33</v>
      </c>
      <c r="D328" s="13" t="s">
        <v>108</v>
      </c>
      <c r="E328" s="24">
        <v>8681494</v>
      </c>
      <c r="F328" s="25">
        <f>Table2[[#This Row],[Price]]/Table2[[#This Row],[Tot Ht Area]]</f>
        <v>231.77846005980351</v>
      </c>
      <c r="G328" s="16">
        <v>37456</v>
      </c>
      <c r="H328" s="16">
        <v>45682</v>
      </c>
      <c r="I328" s="17" t="s">
        <v>2037</v>
      </c>
      <c r="J328" s="18" t="s">
        <v>379</v>
      </c>
      <c r="K328" s="19" t="s">
        <v>101</v>
      </c>
      <c r="L328" s="19" t="s">
        <v>194</v>
      </c>
      <c r="M328" s="19" t="s">
        <v>2038</v>
      </c>
      <c r="N328" s="20" t="s">
        <v>1598</v>
      </c>
      <c r="O328" s="20" t="s">
        <v>27</v>
      </c>
      <c r="P328" s="21" t="s">
        <v>2039</v>
      </c>
      <c r="Q328" s="20"/>
      <c r="R328" s="20" t="s">
        <v>2040</v>
      </c>
      <c r="S328" s="20"/>
      <c r="T328" s="20"/>
      <c r="U328" s="20"/>
      <c r="V328" s="20"/>
    </row>
    <row r="329" spans="1:22" ht="17">
      <c r="B329" s="11" t="s">
        <v>2041</v>
      </c>
      <c r="C329" s="23" t="s">
        <v>33</v>
      </c>
      <c r="D329" s="13" t="s">
        <v>1490</v>
      </c>
      <c r="E329" s="24">
        <v>845000</v>
      </c>
      <c r="F329" s="25">
        <f>Table2[[#This Row],[Price]]/Table2[[#This Row],[Tot Ht Area]]</f>
        <v>222.60273972602741</v>
      </c>
      <c r="G329" s="16">
        <v>3796</v>
      </c>
      <c r="H329" s="16">
        <v>3826</v>
      </c>
      <c r="I329" s="17" t="s">
        <v>2042</v>
      </c>
      <c r="J329" s="18" t="s">
        <v>767</v>
      </c>
      <c r="K329" s="19" t="s">
        <v>101</v>
      </c>
      <c r="L329" s="19" t="s">
        <v>457</v>
      </c>
      <c r="M329" s="19" t="s">
        <v>2043</v>
      </c>
      <c r="N329" s="20" t="s">
        <v>1598</v>
      </c>
      <c r="O329" s="20" t="s">
        <v>27</v>
      </c>
      <c r="P329" s="21" t="s">
        <v>2044</v>
      </c>
      <c r="Q329" s="20"/>
      <c r="R329" s="20" t="s">
        <v>2045</v>
      </c>
      <c r="S329" s="20"/>
      <c r="T329" s="20"/>
      <c r="U329" s="20"/>
      <c r="V329" s="20"/>
    </row>
    <row r="330" spans="1:22" ht="34">
      <c r="B330" s="11" t="s">
        <v>2046</v>
      </c>
      <c r="C330" s="23" t="s">
        <v>33</v>
      </c>
      <c r="D330" s="13" t="s">
        <v>579</v>
      </c>
      <c r="E330" s="24">
        <v>1264900</v>
      </c>
      <c r="F330" s="25">
        <f>Table2[[#This Row],[Price]]/Table2[[#This Row],[Tot Ht Area]]</f>
        <v>255.32902704884941</v>
      </c>
      <c r="G330" s="16">
        <v>4954</v>
      </c>
      <c r="H330" s="16">
        <v>5058</v>
      </c>
      <c r="I330" s="17" t="s">
        <v>2047</v>
      </c>
      <c r="J330" s="18" t="s">
        <v>536</v>
      </c>
      <c r="K330" s="19" t="s">
        <v>101</v>
      </c>
      <c r="L330" s="19" t="s">
        <v>457</v>
      </c>
      <c r="M330" s="19" t="s">
        <v>2048</v>
      </c>
      <c r="N330" s="20" t="s">
        <v>1598</v>
      </c>
      <c r="O330" s="20" t="s">
        <v>1812</v>
      </c>
      <c r="P330" s="21" t="s">
        <v>2049</v>
      </c>
      <c r="Q330" s="26" t="s">
        <v>2050</v>
      </c>
      <c r="R330" s="20" t="s">
        <v>2051</v>
      </c>
      <c r="S330" s="20"/>
      <c r="T330" s="20"/>
      <c r="U330" s="20"/>
      <c r="V330" s="20"/>
    </row>
    <row r="331" spans="1:22" ht="34">
      <c r="A331">
        <v>3</v>
      </c>
      <c r="B331" s="11" t="s">
        <v>2052</v>
      </c>
      <c r="C331" s="23" t="s">
        <v>33</v>
      </c>
      <c r="D331" s="13" t="s">
        <v>407</v>
      </c>
      <c r="E331" s="24">
        <v>1250000</v>
      </c>
      <c r="F331" s="25">
        <f>Table2[[#This Row],[Price]]/Table2[[#This Row],[Tot Ht Area]]</f>
        <v>317.98524548460949</v>
      </c>
      <c r="G331" s="16">
        <v>3931</v>
      </c>
      <c r="H331" s="16">
        <v>3931</v>
      </c>
      <c r="I331" s="17" t="s">
        <v>2053</v>
      </c>
      <c r="J331" s="18" t="s">
        <v>536</v>
      </c>
      <c r="K331" s="19" t="s">
        <v>48</v>
      </c>
      <c r="L331" s="19" t="s">
        <v>457</v>
      </c>
      <c r="M331" s="19" t="s">
        <v>2054</v>
      </c>
      <c r="N331" s="20" t="s">
        <v>1598</v>
      </c>
      <c r="O331" s="20" t="s">
        <v>27</v>
      </c>
      <c r="P331" s="21" t="s">
        <v>2055</v>
      </c>
      <c r="Q331" s="20"/>
      <c r="R331" s="20" t="s">
        <v>2056</v>
      </c>
      <c r="S331" s="20"/>
      <c r="T331" s="20"/>
      <c r="U331" s="20"/>
      <c r="V331" s="20"/>
    </row>
    <row r="332" spans="1:22" ht="17">
      <c r="B332" s="11" t="s">
        <v>2057</v>
      </c>
      <c r="C332" s="23" t="s">
        <v>33</v>
      </c>
      <c r="D332" s="13" t="s">
        <v>45</v>
      </c>
      <c r="E332" s="24"/>
      <c r="F332" s="25">
        <f>Table2[[#This Row],[Price]]/Table2[[#This Row],[Tot Ht Area]]</f>
        <v>0</v>
      </c>
      <c r="G332" s="16">
        <v>5212</v>
      </c>
      <c r="H332" s="16">
        <v>5440</v>
      </c>
      <c r="I332" s="17" t="s">
        <v>2058</v>
      </c>
      <c r="J332" s="18" t="s">
        <v>1138</v>
      </c>
      <c r="K332" s="19" t="s">
        <v>101</v>
      </c>
      <c r="L332" s="19" t="s">
        <v>457</v>
      </c>
      <c r="M332" s="19" t="s">
        <v>2059</v>
      </c>
      <c r="N332" s="20" t="s">
        <v>1598</v>
      </c>
      <c r="O332" s="20" t="s">
        <v>27</v>
      </c>
      <c r="P332" s="21" t="s">
        <v>2060</v>
      </c>
      <c r="Q332" s="20"/>
      <c r="R332" s="20" t="s">
        <v>2061</v>
      </c>
      <c r="S332" s="20"/>
      <c r="T332" s="20"/>
      <c r="U332" s="20"/>
      <c r="V332" s="20"/>
    </row>
    <row r="333" spans="1:22" ht="34">
      <c r="B333" s="11" t="s">
        <v>2062</v>
      </c>
      <c r="C333" s="23" t="s">
        <v>33</v>
      </c>
      <c r="D333" s="13" t="s">
        <v>792</v>
      </c>
      <c r="E333" s="24">
        <v>100</v>
      </c>
      <c r="F333" s="25">
        <f>Table2[[#This Row],[Price]]/Table2[[#This Row],[Tot Ht Area]]</f>
        <v>2.6595744680851064E-2</v>
      </c>
      <c r="G333" s="16">
        <v>3760</v>
      </c>
      <c r="H333" s="16">
        <v>4376</v>
      </c>
      <c r="I333" s="17" t="s">
        <v>2063</v>
      </c>
      <c r="J333" s="18" t="s">
        <v>760</v>
      </c>
      <c r="K333" s="19" t="s">
        <v>101</v>
      </c>
      <c r="L333" s="19" t="s">
        <v>457</v>
      </c>
      <c r="M333" s="19" t="s">
        <v>2064</v>
      </c>
      <c r="N333" s="20" t="s">
        <v>1598</v>
      </c>
      <c r="O333" s="20" t="s">
        <v>27</v>
      </c>
      <c r="P333" s="21" t="s">
        <v>2065</v>
      </c>
      <c r="Q333" s="20" t="s">
        <v>2066</v>
      </c>
      <c r="R333" s="20" t="s">
        <v>2067</v>
      </c>
      <c r="S333" s="20"/>
      <c r="T333" s="20" t="s">
        <v>6318</v>
      </c>
      <c r="U333" s="20"/>
      <c r="V333" s="20"/>
    </row>
    <row r="334" spans="1:22" ht="17">
      <c r="B334" s="11" t="s">
        <v>2068</v>
      </c>
      <c r="C334" s="23" t="s">
        <v>33</v>
      </c>
      <c r="D334" s="13" t="s">
        <v>428</v>
      </c>
      <c r="E334" s="24">
        <v>2500000</v>
      </c>
      <c r="F334" s="25">
        <f>Table2[[#This Row],[Price]]/Table2[[#This Row],[Tot Ht Area]]</f>
        <v>276.79362267493354</v>
      </c>
      <c r="G334" s="16">
        <v>9032</v>
      </c>
      <c r="H334" s="16">
        <v>12080</v>
      </c>
      <c r="I334" s="17" t="s">
        <v>2069</v>
      </c>
      <c r="J334" s="18" t="s">
        <v>358</v>
      </c>
      <c r="K334" s="19" t="s">
        <v>101</v>
      </c>
      <c r="L334" s="19" t="s">
        <v>118</v>
      </c>
      <c r="M334" s="19" t="s">
        <v>2070</v>
      </c>
      <c r="N334" s="20" t="s">
        <v>1598</v>
      </c>
      <c r="O334" s="20" t="s">
        <v>27</v>
      </c>
      <c r="P334" s="21" t="s">
        <v>2071</v>
      </c>
      <c r="Q334" s="20"/>
      <c r="R334" s="20" t="s">
        <v>2072</v>
      </c>
      <c r="S334" s="20"/>
      <c r="T334" s="20"/>
      <c r="U334" s="20"/>
      <c r="V334" s="20"/>
    </row>
    <row r="335" spans="1:22" ht="34">
      <c r="B335" s="11" t="s">
        <v>2073</v>
      </c>
      <c r="C335" s="23" t="s">
        <v>33</v>
      </c>
      <c r="D335" s="13" t="s">
        <v>223</v>
      </c>
      <c r="E335" s="24">
        <v>100</v>
      </c>
      <c r="F335" s="25">
        <f>Table2[[#This Row],[Price]]/Table2[[#This Row],[Tot Ht Area]]</f>
        <v>1.2926577042399173E-2</v>
      </c>
      <c r="G335" s="16">
        <v>7736</v>
      </c>
      <c r="H335" s="16">
        <v>12830</v>
      </c>
      <c r="I335" s="17" t="s">
        <v>2074</v>
      </c>
      <c r="J335" s="18" t="s">
        <v>760</v>
      </c>
      <c r="K335" s="19" t="s">
        <v>101</v>
      </c>
      <c r="L335" s="19" t="s">
        <v>118</v>
      </c>
      <c r="M335" s="19" t="s">
        <v>2075</v>
      </c>
      <c r="N335" s="20" t="s">
        <v>1598</v>
      </c>
      <c r="O335" s="20" t="s">
        <v>27</v>
      </c>
      <c r="P335" s="21" t="s">
        <v>2076</v>
      </c>
      <c r="Q335" s="20" t="s">
        <v>2077</v>
      </c>
      <c r="R335" s="20" t="s">
        <v>2078</v>
      </c>
      <c r="S335" s="20"/>
      <c r="T335" s="20" t="s">
        <v>6318</v>
      </c>
      <c r="U335" s="20"/>
      <c r="V335" s="20"/>
    </row>
    <row r="336" spans="1:22" ht="17">
      <c r="B336" s="11" t="s">
        <v>2079</v>
      </c>
      <c r="C336" s="23" t="s">
        <v>33</v>
      </c>
      <c r="D336" s="13" t="s">
        <v>372</v>
      </c>
      <c r="E336" s="24">
        <v>450000</v>
      </c>
      <c r="F336" s="25">
        <f>Table2[[#This Row],[Price]]/Table2[[#This Row],[Tot Ht Area]]</f>
        <v>114.1842172037554</v>
      </c>
      <c r="G336" s="16">
        <v>3941</v>
      </c>
      <c r="H336" s="16">
        <v>3973</v>
      </c>
      <c r="I336" s="17" t="s">
        <v>2080</v>
      </c>
      <c r="J336" s="18" t="s">
        <v>619</v>
      </c>
      <c r="K336" s="19" t="s">
        <v>37</v>
      </c>
      <c r="L336" s="19" t="s">
        <v>438</v>
      </c>
      <c r="M336" s="19" t="s">
        <v>2081</v>
      </c>
      <c r="N336" s="20" t="s">
        <v>1598</v>
      </c>
      <c r="O336" s="20" t="s">
        <v>1812</v>
      </c>
      <c r="P336" s="21" t="s">
        <v>2082</v>
      </c>
      <c r="Q336" s="20" t="s">
        <v>2083</v>
      </c>
      <c r="R336" s="20" t="s">
        <v>2084</v>
      </c>
      <c r="S336" s="20"/>
      <c r="T336" s="20"/>
      <c r="U336" s="20"/>
      <c r="V336" s="20"/>
    </row>
    <row r="337" spans="2:22" ht="34">
      <c r="B337" s="11" t="s">
        <v>2085</v>
      </c>
      <c r="C337" s="23" t="s">
        <v>33</v>
      </c>
      <c r="D337" s="13" t="s">
        <v>779</v>
      </c>
      <c r="E337" s="24">
        <v>1850000</v>
      </c>
      <c r="F337" s="25">
        <f>Table2[[#This Row],[Price]]/Table2[[#This Row],[Tot Ht Area]]</f>
        <v>247.65729585006693</v>
      </c>
      <c r="G337" s="16">
        <v>7470</v>
      </c>
      <c r="H337" s="16">
        <v>7533</v>
      </c>
      <c r="I337" s="17" t="s">
        <v>2086</v>
      </c>
      <c r="J337" s="18" t="s">
        <v>747</v>
      </c>
      <c r="K337" s="19" t="s">
        <v>101</v>
      </c>
      <c r="L337" s="19" t="s">
        <v>457</v>
      </c>
      <c r="M337" s="19" t="s">
        <v>2087</v>
      </c>
      <c r="N337" s="20" t="s">
        <v>1598</v>
      </c>
      <c r="O337" s="20" t="s">
        <v>27</v>
      </c>
      <c r="P337" s="21" t="s">
        <v>2088</v>
      </c>
      <c r="Q337" s="20"/>
      <c r="R337" s="20" t="s">
        <v>2089</v>
      </c>
      <c r="S337" s="20"/>
      <c r="T337" s="20"/>
      <c r="U337" s="20"/>
      <c r="V337" s="20"/>
    </row>
    <row r="338" spans="2:22" ht="34">
      <c r="B338" s="11" t="s">
        <v>2090</v>
      </c>
      <c r="C338" s="23" t="s">
        <v>33</v>
      </c>
      <c r="D338" s="13" t="s">
        <v>1490</v>
      </c>
      <c r="E338" s="24">
        <v>5000000</v>
      </c>
      <c r="F338" s="25">
        <f>Table2[[#This Row],[Price]]/Table2[[#This Row],[Tot Ht Area]]</f>
        <v>204.90123760347512</v>
      </c>
      <c r="G338" s="16">
        <v>24402</v>
      </c>
      <c r="H338" s="16">
        <v>24928</v>
      </c>
      <c r="I338" s="17" t="s">
        <v>2091</v>
      </c>
      <c r="J338" s="18" t="s">
        <v>716</v>
      </c>
      <c r="K338" s="19" t="s">
        <v>101</v>
      </c>
      <c r="L338" s="19" t="s">
        <v>2092</v>
      </c>
      <c r="M338" s="19" t="s">
        <v>2093</v>
      </c>
      <c r="N338" s="20" t="s">
        <v>1598</v>
      </c>
      <c r="O338" s="20" t="s">
        <v>27</v>
      </c>
      <c r="P338" s="21" t="s">
        <v>2094</v>
      </c>
      <c r="Q338" s="20"/>
      <c r="R338" s="20" t="s">
        <v>2095</v>
      </c>
      <c r="S338" s="20"/>
      <c r="T338" s="20"/>
      <c r="U338" s="20"/>
      <c r="V338" s="20"/>
    </row>
    <row r="339" spans="2:22" ht="34">
      <c r="B339" s="11" t="s">
        <v>2096</v>
      </c>
      <c r="C339" s="23" t="s">
        <v>33</v>
      </c>
      <c r="D339" s="13" t="s">
        <v>579</v>
      </c>
      <c r="E339" s="24"/>
      <c r="F339" s="25">
        <f>Table2[[#This Row],[Price]]/Table2[[#This Row],[Tot Ht Area]]</f>
        <v>0</v>
      </c>
      <c r="G339" s="16">
        <v>33100</v>
      </c>
      <c r="H339" s="16">
        <v>34265</v>
      </c>
      <c r="I339" s="17" t="s">
        <v>2097</v>
      </c>
      <c r="J339" s="18" t="s">
        <v>1231</v>
      </c>
      <c r="K339" s="19" t="s">
        <v>101</v>
      </c>
      <c r="L339" s="19" t="s">
        <v>2098</v>
      </c>
      <c r="M339" s="19" t="s">
        <v>2099</v>
      </c>
      <c r="N339" s="20" t="s">
        <v>1598</v>
      </c>
      <c r="O339" s="20" t="s">
        <v>27</v>
      </c>
      <c r="P339" s="21" t="s">
        <v>2100</v>
      </c>
      <c r="Q339" s="20"/>
      <c r="R339" s="20" t="s">
        <v>2101</v>
      </c>
      <c r="S339" s="20"/>
      <c r="T339" s="20"/>
      <c r="U339" s="20"/>
      <c r="V339" s="20"/>
    </row>
    <row r="340" spans="2:22" ht="34">
      <c r="B340" s="11" t="s">
        <v>2102</v>
      </c>
      <c r="C340" s="23" t="s">
        <v>33</v>
      </c>
      <c r="D340" s="13" t="s">
        <v>356</v>
      </c>
      <c r="E340" s="24">
        <v>5250000</v>
      </c>
      <c r="F340" s="25">
        <f>Table2[[#This Row],[Price]]/Table2[[#This Row],[Tot Ht Area]]</f>
        <v>178.95490336435219</v>
      </c>
      <c r="G340" s="16">
        <v>29337</v>
      </c>
      <c r="H340" s="16">
        <v>31499</v>
      </c>
      <c r="I340" s="17" t="s">
        <v>2103</v>
      </c>
      <c r="J340" s="18" t="s">
        <v>225</v>
      </c>
      <c r="K340" s="19" t="s">
        <v>37</v>
      </c>
      <c r="L340" s="19" t="s">
        <v>457</v>
      </c>
      <c r="M340" s="19" t="s">
        <v>2104</v>
      </c>
      <c r="N340" s="20" t="s">
        <v>1598</v>
      </c>
      <c r="O340" s="20" t="s">
        <v>27</v>
      </c>
      <c r="P340" s="21" t="s">
        <v>2105</v>
      </c>
      <c r="Q340" s="20"/>
      <c r="R340" s="20" t="s">
        <v>2106</v>
      </c>
      <c r="S340" s="20"/>
      <c r="T340" s="20"/>
      <c r="U340" s="20"/>
      <c r="V340" s="20"/>
    </row>
    <row r="341" spans="2:22" ht="17">
      <c r="B341" s="11" t="s">
        <v>2107</v>
      </c>
      <c r="C341" s="23" t="s">
        <v>33</v>
      </c>
      <c r="D341" s="13" t="s">
        <v>722</v>
      </c>
      <c r="E341" s="24">
        <v>2500000</v>
      </c>
      <c r="F341" s="25">
        <f>Table2[[#This Row],[Price]]/Table2[[#This Row],[Tot Ht Area]]</f>
        <v>543.95126196692775</v>
      </c>
      <c r="G341" s="16">
        <v>4596</v>
      </c>
      <c r="H341" s="16">
        <v>4846</v>
      </c>
      <c r="I341" s="17" t="s">
        <v>2108</v>
      </c>
      <c r="J341" s="18" t="s">
        <v>301</v>
      </c>
      <c r="K341" s="19" t="s">
        <v>37</v>
      </c>
      <c r="L341" s="19" t="s">
        <v>2109</v>
      </c>
      <c r="M341" s="19" t="s">
        <v>2110</v>
      </c>
      <c r="N341" s="20" t="s">
        <v>1598</v>
      </c>
      <c r="O341" s="20" t="s">
        <v>27</v>
      </c>
      <c r="P341" s="21" t="s">
        <v>2111</v>
      </c>
      <c r="Q341" s="20" t="s">
        <v>2112</v>
      </c>
      <c r="R341" s="20" t="s">
        <v>2113</v>
      </c>
      <c r="S341" s="20"/>
      <c r="T341" s="20"/>
      <c r="U341" s="20"/>
      <c r="V341" s="20"/>
    </row>
    <row r="342" spans="2:22" ht="17">
      <c r="B342" s="11" t="s">
        <v>2114</v>
      </c>
      <c r="C342" s="23" t="s">
        <v>33</v>
      </c>
      <c r="D342" s="13" t="s">
        <v>177</v>
      </c>
      <c r="E342" s="24">
        <v>325000</v>
      </c>
      <c r="F342" s="25">
        <f>Table2[[#This Row],[Price]]/Table2[[#This Row],[Tot Ht Area]]</f>
        <v>154.76190476190476</v>
      </c>
      <c r="G342" s="16">
        <v>2100</v>
      </c>
      <c r="H342" s="16">
        <v>2964</v>
      </c>
      <c r="I342" s="17" t="s">
        <v>2115</v>
      </c>
      <c r="J342" s="18" t="s">
        <v>57</v>
      </c>
      <c r="K342" s="19" t="s">
        <v>37</v>
      </c>
      <c r="L342" s="19" t="s">
        <v>392</v>
      </c>
      <c r="M342" s="19" t="s">
        <v>2116</v>
      </c>
      <c r="N342" s="20" t="s">
        <v>1598</v>
      </c>
      <c r="O342" s="20" t="s">
        <v>27</v>
      </c>
      <c r="P342" s="21" t="s">
        <v>2117</v>
      </c>
      <c r="Q342" s="20"/>
      <c r="R342" s="20" t="s">
        <v>2118</v>
      </c>
      <c r="S342" s="20"/>
      <c r="T342" s="20"/>
      <c r="U342" s="20"/>
      <c r="V342" s="20"/>
    </row>
    <row r="343" spans="2:22" ht="17">
      <c r="B343" s="11" t="s">
        <v>2119</v>
      </c>
      <c r="C343" s="23" t="s">
        <v>33</v>
      </c>
      <c r="D343" s="13" t="s">
        <v>407</v>
      </c>
      <c r="E343" s="24">
        <v>4300000</v>
      </c>
      <c r="F343" s="25">
        <f>Table2[[#This Row],[Price]]/Table2[[#This Row],[Tot Ht Area]]</f>
        <v>127.38098764700655</v>
      </c>
      <c r="G343" s="16">
        <v>33757</v>
      </c>
      <c r="H343" s="16">
        <v>35637</v>
      </c>
      <c r="I343" s="17" t="s">
        <v>2120</v>
      </c>
      <c r="J343" s="18" t="s">
        <v>278</v>
      </c>
      <c r="K343" s="19" t="s">
        <v>37</v>
      </c>
      <c r="L343" s="19" t="s">
        <v>2109</v>
      </c>
      <c r="M343" s="19" t="s">
        <v>2121</v>
      </c>
      <c r="N343" s="20" t="s">
        <v>1598</v>
      </c>
      <c r="O343" s="20" t="s">
        <v>27</v>
      </c>
      <c r="P343" s="21" t="s">
        <v>2122</v>
      </c>
      <c r="Q343" s="20" t="s">
        <v>2123</v>
      </c>
      <c r="R343" s="20" t="s">
        <v>2124</v>
      </c>
      <c r="S343" s="20"/>
      <c r="T343" s="20"/>
      <c r="U343" s="20"/>
      <c r="V343" s="20"/>
    </row>
    <row r="344" spans="2:22" ht="34">
      <c r="B344" s="11" t="s">
        <v>2125</v>
      </c>
      <c r="C344" s="23" t="s">
        <v>33</v>
      </c>
      <c r="D344" s="13" t="s">
        <v>207</v>
      </c>
      <c r="E344" s="24">
        <v>275000</v>
      </c>
      <c r="F344" s="25">
        <f>Table2[[#This Row],[Price]]/Table2[[#This Row],[Tot Ht Area]]</f>
        <v>67.50122729504173</v>
      </c>
      <c r="G344" s="16">
        <v>4074</v>
      </c>
      <c r="H344" s="16">
        <v>4206</v>
      </c>
      <c r="I344" s="17" t="s">
        <v>2126</v>
      </c>
      <c r="J344" s="18" t="s">
        <v>760</v>
      </c>
      <c r="K344" s="19" t="s">
        <v>101</v>
      </c>
      <c r="L344" s="19" t="s">
        <v>1866</v>
      </c>
      <c r="M344" s="19" t="s">
        <v>2127</v>
      </c>
      <c r="N344" s="20" t="s">
        <v>1598</v>
      </c>
      <c r="O344" s="20" t="s">
        <v>27</v>
      </c>
      <c r="P344" s="21" t="s">
        <v>2128</v>
      </c>
      <c r="Q344" s="26" t="s">
        <v>2129</v>
      </c>
      <c r="R344" s="20" t="s">
        <v>2130</v>
      </c>
      <c r="S344" s="20"/>
      <c r="T344" s="20"/>
      <c r="U344" s="20"/>
      <c r="V344" s="20"/>
    </row>
    <row r="345" spans="2:22" ht="34">
      <c r="B345" s="11" t="s">
        <v>2131</v>
      </c>
      <c r="C345" s="23" t="s">
        <v>33</v>
      </c>
      <c r="D345" s="13" t="s">
        <v>579</v>
      </c>
      <c r="E345" s="24">
        <v>1425000</v>
      </c>
      <c r="F345" s="25">
        <f>Table2[[#This Row],[Price]]/Table2[[#This Row],[Tot Ht Area]]</f>
        <v>276.80652680652679</v>
      </c>
      <c r="G345" s="16">
        <v>5148</v>
      </c>
      <c r="H345" s="16">
        <v>6406</v>
      </c>
      <c r="I345" s="17" t="s">
        <v>2132</v>
      </c>
      <c r="J345" s="18" t="s">
        <v>2133</v>
      </c>
      <c r="K345" s="19" t="s">
        <v>37</v>
      </c>
      <c r="L345" s="19" t="s">
        <v>392</v>
      </c>
      <c r="M345" s="19" t="s">
        <v>2134</v>
      </c>
      <c r="N345" s="20" t="s">
        <v>1598</v>
      </c>
      <c r="O345" s="20" t="s">
        <v>27</v>
      </c>
      <c r="P345" s="21" t="s">
        <v>2135</v>
      </c>
      <c r="Q345" s="20"/>
      <c r="R345" s="20" t="s">
        <v>2136</v>
      </c>
      <c r="S345" s="20"/>
      <c r="T345" s="20"/>
      <c r="U345" s="20"/>
      <c r="V345" s="20"/>
    </row>
    <row r="346" spans="2:22" ht="34">
      <c r="B346" s="11" t="s">
        <v>2137</v>
      </c>
      <c r="C346" s="23" t="s">
        <v>33</v>
      </c>
      <c r="D346" s="13" t="s">
        <v>571</v>
      </c>
      <c r="E346" s="24">
        <v>3850000</v>
      </c>
      <c r="F346" s="25">
        <f>Table2[[#This Row],[Price]]/Table2[[#This Row],[Tot Ht Area]]</f>
        <v>95.391476709613485</v>
      </c>
      <c r="G346" s="16">
        <v>40360</v>
      </c>
      <c r="H346" s="16">
        <v>41416</v>
      </c>
      <c r="I346" s="17" t="s">
        <v>2138</v>
      </c>
      <c r="J346" s="18" t="s">
        <v>760</v>
      </c>
      <c r="K346" s="19" t="s">
        <v>101</v>
      </c>
      <c r="L346" s="19" t="s">
        <v>2109</v>
      </c>
      <c r="M346" s="19" t="s">
        <v>2139</v>
      </c>
      <c r="N346" s="20" t="s">
        <v>1598</v>
      </c>
      <c r="O346" s="20" t="s">
        <v>27</v>
      </c>
      <c r="P346" s="21" t="s">
        <v>2140</v>
      </c>
      <c r="Q346" s="26" t="s">
        <v>2141</v>
      </c>
      <c r="R346" s="20" t="s">
        <v>2142</v>
      </c>
      <c r="S346" s="20"/>
      <c r="T346" s="20"/>
      <c r="U346" s="20"/>
      <c r="V346" s="20"/>
    </row>
    <row r="347" spans="2:22" ht="17">
      <c r="B347" s="11" t="s">
        <v>2143</v>
      </c>
      <c r="C347" s="23" t="s">
        <v>33</v>
      </c>
      <c r="D347" s="13" t="s">
        <v>231</v>
      </c>
      <c r="E347" s="24">
        <v>275800</v>
      </c>
      <c r="F347" s="25">
        <f>Table2[[#This Row],[Price]]/Table2[[#This Row],[Tot Ht Area]]</f>
        <v>69.840465940744494</v>
      </c>
      <c r="G347" s="16">
        <v>3949</v>
      </c>
      <c r="H347" s="16">
        <v>4609</v>
      </c>
      <c r="I347" s="17" t="s">
        <v>2144</v>
      </c>
      <c r="J347" s="18" t="s">
        <v>1231</v>
      </c>
      <c r="K347" s="19" t="s">
        <v>37</v>
      </c>
      <c r="L347" s="19" t="s">
        <v>2109</v>
      </c>
      <c r="M347" s="19" t="s">
        <v>2145</v>
      </c>
      <c r="N347" s="20" t="s">
        <v>1598</v>
      </c>
      <c r="O347" s="20" t="s">
        <v>1812</v>
      </c>
      <c r="P347" s="21" t="s">
        <v>2146</v>
      </c>
      <c r="Q347" s="20" t="s">
        <v>2147</v>
      </c>
      <c r="R347" s="20" t="s">
        <v>2148</v>
      </c>
      <c r="S347" s="20"/>
      <c r="T347" s="20"/>
      <c r="U347" s="20"/>
      <c r="V347" s="20"/>
    </row>
    <row r="348" spans="2:22" ht="17">
      <c r="B348" s="11" t="s">
        <v>2149</v>
      </c>
      <c r="C348" s="23" t="s">
        <v>33</v>
      </c>
      <c r="D348" s="13" t="s">
        <v>231</v>
      </c>
      <c r="E348" s="24">
        <v>1324200</v>
      </c>
      <c r="F348" s="25">
        <f>Table2[[#This Row],[Price]]/Table2[[#This Row],[Tot Ht Area]]</f>
        <v>69.860195199155896</v>
      </c>
      <c r="G348" s="16">
        <v>18955</v>
      </c>
      <c r="H348" s="16">
        <v>21458</v>
      </c>
      <c r="I348" s="17" t="s">
        <v>2144</v>
      </c>
      <c r="J348" s="18" t="s">
        <v>2150</v>
      </c>
      <c r="K348" s="19" t="s">
        <v>37</v>
      </c>
      <c r="L348" s="19" t="s">
        <v>2109</v>
      </c>
      <c r="M348" s="19" t="s">
        <v>2151</v>
      </c>
      <c r="N348" s="20" t="s">
        <v>1598</v>
      </c>
      <c r="O348" s="20" t="s">
        <v>27</v>
      </c>
      <c r="P348" s="21" t="s">
        <v>2152</v>
      </c>
      <c r="Q348" s="20" t="s">
        <v>2153</v>
      </c>
      <c r="R348" s="20" t="s">
        <v>2154</v>
      </c>
      <c r="S348" s="20"/>
      <c r="T348" s="20"/>
      <c r="U348" s="20"/>
      <c r="V348" s="20"/>
    </row>
    <row r="349" spans="2:22" ht="17">
      <c r="B349" s="11" t="s">
        <v>2155</v>
      </c>
      <c r="C349" s="23" t="s">
        <v>33</v>
      </c>
      <c r="D349" s="13" t="s">
        <v>231</v>
      </c>
      <c r="E349" s="24">
        <v>5100000</v>
      </c>
      <c r="F349" s="25">
        <f>Table2[[#This Row],[Price]]/Table2[[#This Row],[Tot Ht Area]]</f>
        <v>126.48809523809524</v>
      </c>
      <c r="G349" s="16">
        <v>40320</v>
      </c>
      <c r="H349" s="16">
        <v>41110</v>
      </c>
      <c r="I349" s="17" t="s">
        <v>2156</v>
      </c>
      <c r="J349" s="18" t="s">
        <v>241</v>
      </c>
      <c r="K349" s="19" t="s">
        <v>37</v>
      </c>
      <c r="L349" s="19" t="s">
        <v>2098</v>
      </c>
      <c r="M349" s="19" t="s">
        <v>2157</v>
      </c>
      <c r="N349" s="20" t="s">
        <v>1598</v>
      </c>
      <c r="O349" s="20" t="s">
        <v>27</v>
      </c>
      <c r="P349" s="21" t="s">
        <v>2158</v>
      </c>
      <c r="Q349" s="20"/>
      <c r="R349" s="20" t="s">
        <v>2159</v>
      </c>
      <c r="S349" s="20"/>
      <c r="T349" s="20"/>
      <c r="U349" s="20"/>
      <c r="V349" s="20"/>
    </row>
    <row r="350" spans="2:22" ht="34">
      <c r="B350" s="11" t="s">
        <v>2160</v>
      </c>
      <c r="C350" s="23" t="s">
        <v>33</v>
      </c>
      <c r="D350" s="13" t="s">
        <v>474</v>
      </c>
      <c r="E350" s="24">
        <v>1784100</v>
      </c>
      <c r="F350" s="25">
        <f>Table2[[#This Row],[Price]]/Table2[[#This Row],[Tot Ht Area]]</f>
        <v>418.01780693533271</v>
      </c>
      <c r="G350" s="16">
        <v>4268</v>
      </c>
      <c r="H350" s="16">
        <v>4520</v>
      </c>
      <c r="I350" s="17" t="s">
        <v>2161</v>
      </c>
      <c r="J350" s="18" t="s">
        <v>518</v>
      </c>
      <c r="K350" s="19" t="s">
        <v>37</v>
      </c>
      <c r="L350" s="19" t="s">
        <v>2162</v>
      </c>
      <c r="M350" s="19" t="s">
        <v>2163</v>
      </c>
      <c r="N350" s="20" t="s">
        <v>1598</v>
      </c>
      <c r="O350" s="20" t="s">
        <v>27</v>
      </c>
      <c r="P350" s="21" t="s">
        <v>2164</v>
      </c>
      <c r="Q350" s="20"/>
      <c r="R350" s="20" t="s">
        <v>2165</v>
      </c>
      <c r="S350" s="20"/>
      <c r="T350" s="20"/>
      <c r="U350" s="20"/>
      <c r="V350" s="20"/>
    </row>
    <row r="351" spans="2:22" ht="34">
      <c r="B351" s="11" t="s">
        <v>2166</v>
      </c>
      <c r="C351" s="23" t="s">
        <v>33</v>
      </c>
      <c r="D351" s="13" t="s">
        <v>428</v>
      </c>
      <c r="E351" s="24">
        <v>12097500</v>
      </c>
      <c r="F351" s="25">
        <f>Table2[[#This Row],[Price]]/Table2[[#This Row],[Tot Ht Area]]</f>
        <v>142.97617359239825</v>
      </c>
      <c r="G351" s="16">
        <v>84612</v>
      </c>
      <c r="H351" s="16">
        <v>86535</v>
      </c>
      <c r="I351" s="17" t="s">
        <v>2167</v>
      </c>
      <c r="J351" s="18" t="s">
        <v>241</v>
      </c>
      <c r="K351" s="19" t="s">
        <v>101</v>
      </c>
      <c r="L351" s="19" t="s">
        <v>2098</v>
      </c>
      <c r="M351" s="19" t="s">
        <v>2168</v>
      </c>
      <c r="N351" s="20" t="s">
        <v>1598</v>
      </c>
      <c r="O351" s="20" t="s">
        <v>27</v>
      </c>
      <c r="P351" s="21" t="s">
        <v>2169</v>
      </c>
      <c r="Q351" s="20"/>
      <c r="R351" s="20" t="s">
        <v>2170</v>
      </c>
      <c r="S351" s="20"/>
      <c r="T351" s="20"/>
      <c r="U351" s="20"/>
      <c r="V351" s="20"/>
    </row>
    <row r="352" spans="2:22" ht="17">
      <c r="B352" s="11" t="s">
        <v>2171</v>
      </c>
      <c r="C352" s="23" t="s">
        <v>33</v>
      </c>
      <c r="D352" s="13" t="s">
        <v>276</v>
      </c>
      <c r="E352" s="24">
        <v>15000000</v>
      </c>
      <c r="F352" s="25">
        <f>Table2[[#This Row],[Price]]/Table2[[#This Row],[Tot Ht Area]]</f>
        <v>189.15510718789406</v>
      </c>
      <c r="G352" s="16">
        <v>79300</v>
      </c>
      <c r="H352" s="16">
        <v>82398</v>
      </c>
      <c r="I352" s="17" t="s">
        <v>2172</v>
      </c>
      <c r="J352" s="18" t="s">
        <v>1138</v>
      </c>
      <c r="K352" s="19" t="s">
        <v>37</v>
      </c>
      <c r="L352" s="19" t="s">
        <v>2162</v>
      </c>
      <c r="M352" s="19" t="s">
        <v>2173</v>
      </c>
      <c r="N352" s="20" t="s">
        <v>1598</v>
      </c>
      <c r="O352" s="20" t="s">
        <v>27</v>
      </c>
      <c r="P352" s="21" t="s">
        <v>2174</v>
      </c>
      <c r="Q352" s="20"/>
      <c r="R352" s="20" t="s">
        <v>2175</v>
      </c>
      <c r="S352" s="20"/>
      <c r="T352" s="20"/>
      <c r="U352" s="20"/>
      <c r="V352" s="20"/>
    </row>
    <row r="353" spans="2:22" ht="17">
      <c r="B353" s="11" t="s">
        <v>2176</v>
      </c>
      <c r="C353" s="23" t="s">
        <v>33</v>
      </c>
      <c r="D353" s="13" t="s">
        <v>428</v>
      </c>
      <c r="E353" s="24">
        <v>2100000</v>
      </c>
      <c r="F353" s="25">
        <f>Table2[[#This Row],[Price]]/Table2[[#This Row],[Tot Ht Area]]</f>
        <v>208.955223880597</v>
      </c>
      <c r="G353" s="16">
        <v>10050</v>
      </c>
      <c r="H353" s="16">
        <v>11472</v>
      </c>
      <c r="I353" s="17" t="s">
        <v>2177</v>
      </c>
      <c r="J353" s="18" t="s">
        <v>646</v>
      </c>
      <c r="K353" s="19" t="s">
        <v>37</v>
      </c>
      <c r="L353" s="19" t="s">
        <v>2178</v>
      </c>
      <c r="M353" s="19" t="s">
        <v>2179</v>
      </c>
      <c r="N353" s="20" t="s">
        <v>1598</v>
      </c>
      <c r="O353" s="20" t="s">
        <v>27</v>
      </c>
      <c r="P353" s="21" t="s">
        <v>2180</v>
      </c>
      <c r="Q353" s="20"/>
      <c r="R353" s="20" t="s">
        <v>2181</v>
      </c>
      <c r="S353" s="20"/>
      <c r="T353" s="20"/>
      <c r="U353" s="20"/>
      <c r="V353" s="20"/>
    </row>
    <row r="354" spans="2:22" ht="17">
      <c r="B354" s="11" t="s">
        <v>2182</v>
      </c>
      <c r="C354" s="23" t="s">
        <v>33</v>
      </c>
      <c r="D354" s="13" t="s">
        <v>207</v>
      </c>
      <c r="E354" s="24">
        <v>282000</v>
      </c>
      <c r="F354" s="25">
        <f>Table2[[#This Row],[Price]]/Table2[[#This Row],[Tot Ht Area]]</f>
        <v>164.33566433566435</v>
      </c>
      <c r="G354" s="16">
        <v>1716</v>
      </c>
      <c r="H354" s="16">
        <v>2056</v>
      </c>
      <c r="I354" s="17" t="s">
        <v>2183</v>
      </c>
      <c r="J354" s="18" t="s">
        <v>225</v>
      </c>
      <c r="K354" s="19" t="s">
        <v>37</v>
      </c>
      <c r="L354" s="19" t="s">
        <v>2162</v>
      </c>
      <c r="M354" s="19" t="s">
        <v>2184</v>
      </c>
      <c r="N354" s="20" t="s">
        <v>1598</v>
      </c>
      <c r="O354" s="20" t="s">
        <v>27</v>
      </c>
      <c r="P354" s="21" t="s">
        <v>2185</v>
      </c>
      <c r="Q354" s="20" t="s">
        <v>2186</v>
      </c>
      <c r="R354" s="20" t="s">
        <v>2187</v>
      </c>
      <c r="S354" s="20"/>
      <c r="T354" s="20"/>
      <c r="U354" s="20"/>
      <c r="V354" s="20"/>
    </row>
    <row r="355" spans="2:22" ht="34">
      <c r="B355" s="11" t="s">
        <v>2188</v>
      </c>
      <c r="C355" s="23" t="s">
        <v>33</v>
      </c>
      <c r="D355" s="13" t="s">
        <v>81</v>
      </c>
      <c r="E355" s="24">
        <v>3750000</v>
      </c>
      <c r="F355" s="25">
        <f>Table2[[#This Row],[Price]]/Table2[[#This Row],[Tot Ht Area]]</f>
        <v>402.36051502145921</v>
      </c>
      <c r="G355" s="16">
        <v>9320</v>
      </c>
      <c r="H355" s="16">
        <v>9950</v>
      </c>
      <c r="I355" s="17" t="s">
        <v>2189</v>
      </c>
      <c r="J355" s="18" t="s">
        <v>1231</v>
      </c>
      <c r="K355" s="19" t="s">
        <v>101</v>
      </c>
      <c r="L355" s="19" t="s">
        <v>2178</v>
      </c>
      <c r="M355" s="19" t="s">
        <v>2190</v>
      </c>
      <c r="N355" s="20" t="s">
        <v>1598</v>
      </c>
      <c r="O355" s="20" t="s">
        <v>27</v>
      </c>
      <c r="P355" s="21" t="s">
        <v>2191</v>
      </c>
      <c r="Q355" s="20"/>
      <c r="R355" s="20" t="s">
        <v>2192</v>
      </c>
      <c r="S355" s="20"/>
      <c r="T355" s="20"/>
      <c r="U355" s="20"/>
      <c r="V355" s="20"/>
    </row>
    <row r="356" spans="2:22" ht="34">
      <c r="B356" s="11" t="s">
        <v>2193</v>
      </c>
      <c r="C356" s="23" t="s">
        <v>33</v>
      </c>
      <c r="D356" s="13" t="s">
        <v>554</v>
      </c>
      <c r="E356" s="24">
        <v>100</v>
      </c>
      <c r="F356" s="25">
        <f>Table2[[#This Row],[Price]]/Table2[[#This Row],[Tot Ht Area]]</f>
        <v>3.2467532467532464E-2</v>
      </c>
      <c r="G356" s="16">
        <v>3080</v>
      </c>
      <c r="H356" s="16">
        <v>3374</v>
      </c>
      <c r="I356" s="17" t="s">
        <v>2194</v>
      </c>
      <c r="J356" s="18" t="s">
        <v>430</v>
      </c>
      <c r="K356" s="19" t="s">
        <v>101</v>
      </c>
      <c r="L356" s="19" t="s">
        <v>2162</v>
      </c>
      <c r="M356" s="19" t="s">
        <v>2195</v>
      </c>
      <c r="N356" s="20" t="s">
        <v>1598</v>
      </c>
      <c r="O356" s="20" t="s">
        <v>1812</v>
      </c>
      <c r="P356" s="21" t="s">
        <v>2196</v>
      </c>
      <c r="Q356" s="20" t="s">
        <v>2197</v>
      </c>
      <c r="R356" s="26" t="s">
        <v>2198</v>
      </c>
      <c r="S356" s="20"/>
      <c r="T356" s="20" t="s">
        <v>6318</v>
      </c>
      <c r="U356" s="20"/>
      <c r="V356" s="20"/>
    </row>
    <row r="357" spans="2:22" ht="34">
      <c r="B357" s="11" t="s">
        <v>2199</v>
      </c>
      <c r="C357" s="23" t="s">
        <v>33</v>
      </c>
      <c r="D357" s="13" t="s">
        <v>779</v>
      </c>
      <c r="E357" s="24">
        <v>2950000</v>
      </c>
      <c r="F357" s="25">
        <f>Table2[[#This Row],[Price]]/Table2[[#This Row],[Tot Ht Area]]</f>
        <v>514.20603102666894</v>
      </c>
      <c r="G357" s="16">
        <v>5737</v>
      </c>
      <c r="H357" s="16">
        <v>5737</v>
      </c>
      <c r="I357" s="17" t="s">
        <v>2200</v>
      </c>
      <c r="J357" s="18" t="s">
        <v>2201</v>
      </c>
      <c r="K357" s="19" t="s">
        <v>101</v>
      </c>
      <c r="L357" s="19" t="s">
        <v>438</v>
      </c>
      <c r="M357" s="19" t="s">
        <v>2202</v>
      </c>
      <c r="N357" s="20" t="s">
        <v>1598</v>
      </c>
      <c r="O357" s="20" t="s">
        <v>27</v>
      </c>
      <c r="P357" s="21" t="s">
        <v>2203</v>
      </c>
      <c r="Q357" s="20"/>
      <c r="R357" s="20" t="s">
        <v>2204</v>
      </c>
      <c r="S357" s="20"/>
      <c r="T357" s="20"/>
      <c r="U357" s="20"/>
      <c r="V357" s="20"/>
    </row>
    <row r="358" spans="2:22" ht="34">
      <c r="B358" s="11" t="s">
        <v>2205</v>
      </c>
      <c r="C358" s="23" t="s">
        <v>33</v>
      </c>
      <c r="D358" s="13" t="s">
        <v>372</v>
      </c>
      <c r="E358" s="24">
        <v>3224700</v>
      </c>
      <c r="F358" s="25">
        <f>Table2[[#This Row],[Price]]/Table2[[#This Row],[Tot Ht Area]]</f>
        <v>237.42453246944484</v>
      </c>
      <c r="G358" s="16">
        <v>13582</v>
      </c>
      <c r="H358" s="16">
        <v>15079</v>
      </c>
      <c r="I358" s="17" t="s">
        <v>2206</v>
      </c>
      <c r="J358" s="18" t="s">
        <v>536</v>
      </c>
      <c r="K358" s="19" t="s">
        <v>37</v>
      </c>
      <c r="L358" s="19" t="s">
        <v>438</v>
      </c>
      <c r="M358" s="19" t="s">
        <v>2207</v>
      </c>
      <c r="N358" s="20" t="s">
        <v>1598</v>
      </c>
      <c r="O358" s="20" t="s">
        <v>27</v>
      </c>
      <c r="P358" s="21" t="s">
        <v>2208</v>
      </c>
      <c r="Q358" s="20"/>
      <c r="R358" s="20" t="s">
        <v>2209</v>
      </c>
      <c r="S358" s="20"/>
      <c r="T358" s="20"/>
      <c r="U358" s="20"/>
      <c r="V358" s="20"/>
    </row>
    <row r="359" spans="2:22" ht="17">
      <c r="B359" s="11" t="s">
        <v>2210</v>
      </c>
      <c r="C359" s="23" t="s">
        <v>33</v>
      </c>
      <c r="D359" s="13" t="s">
        <v>372</v>
      </c>
      <c r="E359" s="24">
        <v>100</v>
      </c>
      <c r="F359" s="25">
        <f>Table2[[#This Row],[Price]]/Table2[[#This Row],[Tot Ht Area]]</f>
        <v>5.1894135962636222E-2</v>
      </c>
      <c r="G359" s="16">
        <v>1927</v>
      </c>
      <c r="H359" s="16">
        <v>2275</v>
      </c>
      <c r="I359" s="17" t="s">
        <v>2211</v>
      </c>
      <c r="J359" s="18" t="s">
        <v>548</v>
      </c>
      <c r="K359" s="19" t="s">
        <v>37</v>
      </c>
      <c r="L359" s="19" t="s">
        <v>438</v>
      </c>
      <c r="M359" s="19" t="s">
        <v>2212</v>
      </c>
      <c r="N359" s="20" t="s">
        <v>1598</v>
      </c>
      <c r="O359" s="20" t="s">
        <v>1812</v>
      </c>
      <c r="P359" s="21" t="s">
        <v>2213</v>
      </c>
      <c r="Q359" s="20" t="s">
        <v>2214</v>
      </c>
      <c r="R359" s="26" t="s">
        <v>2215</v>
      </c>
      <c r="S359" s="20"/>
      <c r="T359" s="20" t="s">
        <v>6318</v>
      </c>
      <c r="U359" s="20"/>
      <c r="V359" s="20"/>
    </row>
    <row r="360" spans="2:22" ht="17">
      <c r="B360" s="11" t="s">
        <v>2216</v>
      </c>
      <c r="C360" s="23" t="s">
        <v>33</v>
      </c>
      <c r="D360" s="13" t="s">
        <v>591</v>
      </c>
      <c r="E360" s="24">
        <v>975000</v>
      </c>
      <c r="F360" s="25">
        <f>Table2[[#This Row],[Price]]/Table2[[#This Row],[Tot Ht Area]]</f>
        <v>283.34786399302527</v>
      </c>
      <c r="G360" s="16">
        <v>3441</v>
      </c>
      <c r="H360" s="16">
        <v>3513</v>
      </c>
      <c r="I360" s="17" t="s">
        <v>2217</v>
      </c>
      <c r="J360" s="18" t="s">
        <v>2218</v>
      </c>
      <c r="K360" s="19" t="s">
        <v>101</v>
      </c>
      <c r="L360" s="19" t="s">
        <v>438</v>
      </c>
      <c r="M360" s="19" t="s">
        <v>2219</v>
      </c>
      <c r="N360" s="20" t="s">
        <v>1598</v>
      </c>
      <c r="O360" s="20" t="s">
        <v>27</v>
      </c>
      <c r="P360" s="21" t="s">
        <v>2220</v>
      </c>
      <c r="Q360" s="20" t="s">
        <v>2221</v>
      </c>
      <c r="R360" s="20" t="s">
        <v>2222</v>
      </c>
      <c r="S360" s="20"/>
      <c r="T360" s="20"/>
      <c r="U360" s="20"/>
      <c r="V360" s="20"/>
    </row>
    <row r="361" spans="2:22" ht="34">
      <c r="B361" s="11" t="s">
        <v>2223</v>
      </c>
      <c r="C361" s="23" t="s">
        <v>33</v>
      </c>
      <c r="D361" s="13" t="s">
        <v>407</v>
      </c>
      <c r="E361" s="24">
        <v>975000</v>
      </c>
      <c r="F361" s="25">
        <f>Table2[[#This Row],[Price]]/Table2[[#This Row],[Tot Ht Area]]</f>
        <v>185.99771079740557</v>
      </c>
      <c r="G361" s="16">
        <v>5242</v>
      </c>
      <c r="H361" s="16">
        <v>5832</v>
      </c>
      <c r="I361" s="17" t="s">
        <v>2224</v>
      </c>
      <c r="J361" s="18" t="s">
        <v>301</v>
      </c>
      <c r="K361" s="19" t="s">
        <v>101</v>
      </c>
      <c r="L361" s="19" t="s">
        <v>127</v>
      </c>
      <c r="M361" s="19" t="s">
        <v>2225</v>
      </c>
      <c r="N361" s="20" t="s">
        <v>1598</v>
      </c>
      <c r="O361" s="20" t="s">
        <v>1812</v>
      </c>
      <c r="P361" s="21" t="s">
        <v>2226</v>
      </c>
      <c r="Q361" s="20"/>
      <c r="R361" s="26" t="s">
        <v>2227</v>
      </c>
      <c r="S361" s="20"/>
      <c r="T361" s="20"/>
      <c r="U361" s="20"/>
      <c r="V361" s="20"/>
    </row>
    <row r="362" spans="2:22" ht="17">
      <c r="B362" s="11" t="s">
        <v>2228</v>
      </c>
      <c r="C362" s="23" t="s">
        <v>33</v>
      </c>
      <c r="D362" s="13" t="s">
        <v>729</v>
      </c>
      <c r="E362" s="24">
        <v>100</v>
      </c>
      <c r="F362" s="25">
        <f>Table2[[#This Row],[Price]]/Table2[[#This Row],[Tot Ht Area]]</f>
        <v>4.2607584149978693E-2</v>
      </c>
      <c r="G362" s="16">
        <v>2347</v>
      </c>
      <c r="H362" s="16">
        <v>3316</v>
      </c>
      <c r="I362" s="17" t="s">
        <v>2229</v>
      </c>
      <c r="J362" s="18" t="s">
        <v>2230</v>
      </c>
      <c r="K362" s="19" t="s">
        <v>101</v>
      </c>
      <c r="L362" s="19" t="s">
        <v>2231</v>
      </c>
      <c r="M362" s="19" t="s">
        <v>2232</v>
      </c>
      <c r="N362" s="20" t="s">
        <v>1598</v>
      </c>
      <c r="O362" s="20" t="s">
        <v>27</v>
      </c>
      <c r="P362" s="21" t="s">
        <v>2233</v>
      </c>
      <c r="Q362" s="20"/>
      <c r="R362" s="20" t="s">
        <v>2234</v>
      </c>
      <c r="S362" s="20"/>
      <c r="T362" s="20" t="s">
        <v>6318</v>
      </c>
      <c r="U362" s="20"/>
      <c r="V362" s="20"/>
    </row>
    <row r="363" spans="2:22" ht="17">
      <c r="B363" s="11" t="s">
        <v>2235</v>
      </c>
      <c r="C363" s="23" t="s">
        <v>33</v>
      </c>
      <c r="D363" s="13" t="s">
        <v>133</v>
      </c>
      <c r="E363" s="24">
        <v>1850000</v>
      </c>
      <c r="F363" s="25">
        <f>Table2[[#This Row],[Price]]/Table2[[#This Row],[Tot Ht Area]]</f>
        <v>365.03551696921863</v>
      </c>
      <c r="G363" s="16">
        <v>5068</v>
      </c>
      <c r="H363" s="16">
        <v>5221</v>
      </c>
      <c r="I363" s="17" t="s">
        <v>2236</v>
      </c>
      <c r="J363" s="18" t="s">
        <v>1231</v>
      </c>
      <c r="K363" s="19" t="s">
        <v>101</v>
      </c>
      <c r="L363" s="19" t="s">
        <v>127</v>
      </c>
      <c r="M363" s="19" t="s">
        <v>2237</v>
      </c>
      <c r="N363" s="20" t="s">
        <v>1598</v>
      </c>
      <c r="O363" s="20" t="s">
        <v>27</v>
      </c>
      <c r="P363" s="21" t="s">
        <v>2238</v>
      </c>
      <c r="Q363" s="20"/>
      <c r="R363" s="20" t="s">
        <v>2239</v>
      </c>
      <c r="S363" s="20"/>
      <c r="T363" s="20"/>
      <c r="U363" s="20"/>
      <c r="V363" s="20"/>
    </row>
    <row r="364" spans="2:22" ht="34">
      <c r="B364" s="11" t="s">
        <v>2240</v>
      </c>
      <c r="C364" s="23" t="s">
        <v>33</v>
      </c>
      <c r="D364" s="13" t="s">
        <v>436</v>
      </c>
      <c r="E364" s="24">
        <v>1900000</v>
      </c>
      <c r="F364" s="25">
        <f>Table2[[#This Row],[Price]]/Table2[[#This Row],[Tot Ht Area]]</f>
        <v>369.79369404437523</v>
      </c>
      <c r="G364" s="16">
        <v>5138</v>
      </c>
      <c r="H364" s="16">
        <v>5282</v>
      </c>
      <c r="I364" s="17" t="s">
        <v>2241</v>
      </c>
      <c r="J364" s="18" t="s">
        <v>1231</v>
      </c>
      <c r="K364" s="19" t="s">
        <v>101</v>
      </c>
      <c r="L364" s="19" t="s">
        <v>127</v>
      </c>
      <c r="M364" s="19" t="s">
        <v>2242</v>
      </c>
      <c r="N364" s="20" t="s">
        <v>1598</v>
      </c>
      <c r="O364" s="20" t="s">
        <v>27</v>
      </c>
      <c r="P364" s="21" t="s">
        <v>2243</v>
      </c>
      <c r="Q364" s="20"/>
      <c r="R364" s="20" t="s">
        <v>2244</v>
      </c>
      <c r="S364" s="20"/>
      <c r="T364" s="20"/>
      <c r="U364" s="20"/>
      <c r="V364" s="20"/>
    </row>
    <row r="365" spans="2:22" ht="34">
      <c r="B365" s="11" t="s">
        <v>2245</v>
      </c>
      <c r="C365" s="23" t="s">
        <v>33</v>
      </c>
      <c r="D365" s="13" t="s">
        <v>554</v>
      </c>
      <c r="E365" s="24">
        <v>2600000</v>
      </c>
      <c r="F365" s="25">
        <f>Table2[[#This Row],[Price]]/Table2[[#This Row],[Tot Ht Area]]</f>
        <v>404.98442367601245</v>
      </c>
      <c r="G365" s="16">
        <v>6420</v>
      </c>
      <c r="H365" s="16">
        <v>6528</v>
      </c>
      <c r="I365" s="17" t="s">
        <v>2246</v>
      </c>
      <c r="J365" s="18" t="s">
        <v>135</v>
      </c>
      <c r="K365" s="19" t="s">
        <v>101</v>
      </c>
      <c r="L365" s="19" t="s">
        <v>127</v>
      </c>
      <c r="M365" s="19" t="s">
        <v>2247</v>
      </c>
      <c r="N365" s="20" t="s">
        <v>1598</v>
      </c>
      <c r="O365" s="20" t="s">
        <v>27</v>
      </c>
      <c r="P365" s="21" t="s">
        <v>2248</v>
      </c>
      <c r="Q365" s="20"/>
      <c r="R365" s="20" t="s">
        <v>2249</v>
      </c>
      <c r="S365" s="20"/>
      <c r="T365" s="20"/>
      <c r="U365" s="20"/>
      <c r="V365" s="20"/>
    </row>
    <row r="366" spans="2:22" ht="34">
      <c r="B366" s="11" t="s">
        <v>2250</v>
      </c>
      <c r="C366" s="23" t="s">
        <v>33</v>
      </c>
      <c r="D366" s="13" t="s">
        <v>1641</v>
      </c>
      <c r="E366" s="24">
        <v>2900000</v>
      </c>
      <c r="F366" s="25">
        <f>Table2[[#This Row],[Price]]/Table2[[#This Row],[Tot Ht Area]]</f>
        <v>489.20377867746288</v>
      </c>
      <c r="G366" s="16">
        <v>5928</v>
      </c>
      <c r="H366" s="16">
        <v>6012</v>
      </c>
      <c r="I366" s="17" t="s">
        <v>2251</v>
      </c>
      <c r="J366" s="18" t="s">
        <v>135</v>
      </c>
      <c r="K366" s="19" t="s">
        <v>101</v>
      </c>
      <c r="L366" s="19" t="s">
        <v>127</v>
      </c>
      <c r="M366" s="19" t="s">
        <v>2252</v>
      </c>
      <c r="N366" s="20" t="s">
        <v>1598</v>
      </c>
      <c r="O366" s="20" t="s">
        <v>27</v>
      </c>
      <c r="P366" s="21" t="s">
        <v>2243</v>
      </c>
      <c r="Q366" s="20"/>
      <c r="R366" s="20" t="s">
        <v>2253</v>
      </c>
      <c r="S366" s="20"/>
      <c r="T366" s="20"/>
      <c r="U366" s="20"/>
      <c r="V366" s="20"/>
    </row>
    <row r="367" spans="2:22" ht="51">
      <c r="B367" s="11" t="s">
        <v>2254</v>
      </c>
      <c r="C367" s="23" t="s">
        <v>33</v>
      </c>
      <c r="D367" s="13" t="s">
        <v>1255</v>
      </c>
      <c r="E367" s="24">
        <v>2100000</v>
      </c>
      <c r="F367" s="25">
        <f>Table2[[#This Row],[Price]]/Table2[[#This Row],[Tot Ht Area]]</f>
        <v>421.0104250200481</v>
      </c>
      <c r="G367" s="16">
        <v>4988</v>
      </c>
      <c r="H367" s="16">
        <v>5308</v>
      </c>
      <c r="I367" s="17" t="s">
        <v>2255</v>
      </c>
      <c r="J367" s="18" t="s">
        <v>1231</v>
      </c>
      <c r="K367" s="19" t="s">
        <v>101</v>
      </c>
      <c r="L367" s="19" t="s">
        <v>127</v>
      </c>
      <c r="M367" s="19" t="s">
        <v>2256</v>
      </c>
      <c r="N367" s="20" t="s">
        <v>1598</v>
      </c>
      <c r="O367" s="20" t="s">
        <v>27</v>
      </c>
      <c r="P367" s="21" t="s">
        <v>2243</v>
      </c>
      <c r="Q367" s="20" t="s">
        <v>2257</v>
      </c>
      <c r="R367" s="20" t="s">
        <v>2258</v>
      </c>
      <c r="S367" s="20"/>
      <c r="T367" s="20"/>
      <c r="U367" s="20"/>
      <c r="V367" s="20"/>
    </row>
    <row r="368" spans="2:22" ht="17">
      <c r="B368" s="11" t="s">
        <v>2259</v>
      </c>
      <c r="C368" s="23" t="s">
        <v>33</v>
      </c>
      <c r="D368" s="13" t="s">
        <v>223</v>
      </c>
      <c r="E368" s="24">
        <v>1800000</v>
      </c>
      <c r="F368" s="25">
        <f>Table2[[#This Row],[Price]]/Table2[[#This Row],[Tot Ht Area]]</f>
        <v>353.35689045936397</v>
      </c>
      <c r="G368" s="16">
        <v>5094</v>
      </c>
      <c r="H368" s="16">
        <v>5627</v>
      </c>
      <c r="I368" s="17" t="s">
        <v>2260</v>
      </c>
      <c r="J368" s="18" t="s">
        <v>135</v>
      </c>
      <c r="K368" s="19" t="s">
        <v>101</v>
      </c>
      <c r="L368" s="19" t="s">
        <v>127</v>
      </c>
      <c r="M368" s="19" t="s">
        <v>2261</v>
      </c>
      <c r="N368" s="20" t="s">
        <v>1598</v>
      </c>
      <c r="O368" s="20" t="s">
        <v>27</v>
      </c>
      <c r="P368" s="21" t="s">
        <v>2243</v>
      </c>
      <c r="Q368" s="20" t="s">
        <v>2262</v>
      </c>
      <c r="R368" s="20" t="s">
        <v>2263</v>
      </c>
      <c r="S368" s="20"/>
      <c r="T368" s="20"/>
      <c r="U368" s="20"/>
      <c r="V368" s="20"/>
    </row>
    <row r="369" spans="1:22" ht="34">
      <c r="B369" s="11" t="s">
        <v>2264</v>
      </c>
      <c r="C369" s="23" t="s">
        <v>33</v>
      </c>
      <c r="D369" s="13" t="s">
        <v>729</v>
      </c>
      <c r="E369" s="24">
        <v>917000</v>
      </c>
      <c r="F369" s="25">
        <f>Table2[[#This Row],[Price]]/Table2[[#This Row],[Tot Ht Area]]</f>
        <v>359.18527222875048</v>
      </c>
      <c r="G369" s="16">
        <v>2553</v>
      </c>
      <c r="H369" s="16">
        <v>3048</v>
      </c>
      <c r="I369" s="17" t="s">
        <v>2265</v>
      </c>
      <c r="J369" s="18" t="s">
        <v>2218</v>
      </c>
      <c r="K369" s="19" t="s">
        <v>101</v>
      </c>
      <c r="L369" s="19" t="s">
        <v>503</v>
      </c>
      <c r="M369" s="19" t="s">
        <v>2266</v>
      </c>
      <c r="N369" s="20" t="s">
        <v>1598</v>
      </c>
      <c r="O369" s="20" t="s">
        <v>27</v>
      </c>
      <c r="P369" s="21" t="s">
        <v>2267</v>
      </c>
      <c r="Q369" s="20" t="s">
        <v>2268</v>
      </c>
      <c r="R369" s="20" t="s">
        <v>2269</v>
      </c>
      <c r="S369" s="20"/>
      <c r="T369" s="20"/>
      <c r="U369" s="20"/>
      <c r="V369" s="20"/>
    </row>
    <row r="370" spans="1:22" ht="34">
      <c r="B370" s="11" t="s">
        <v>2270</v>
      </c>
      <c r="C370" s="23" t="s">
        <v>33</v>
      </c>
      <c r="D370" s="13" t="s">
        <v>792</v>
      </c>
      <c r="E370" s="24">
        <v>2095000</v>
      </c>
      <c r="F370" s="25">
        <f>Table2[[#This Row],[Price]]/Table2[[#This Row],[Tot Ht Area]]</f>
        <v>763.2058287795993</v>
      </c>
      <c r="G370" s="16">
        <v>2745</v>
      </c>
      <c r="H370" s="16">
        <v>2799</v>
      </c>
      <c r="I370" s="17" t="s">
        <v>2271</v>
      </c>
      <c r="J370" s="18" t="s">
        <v>47</v>
      </c>
      <c r="K370" s="19" t="s">
        <v>37</v>
      </c>
      <c r="L370" s="19" t="s">
        <v>503</v>
      </c>
      <c r="M370" s="19" t="s">
        <v>2272</v>
      </c>
      <c r="N370" s="20" t="s">
        <v>1598</v>
      </c>
      <c r="O370" s="20" t="s">
        <v>27</v>
      </c>
      <c r="P370" s="21" t="s">
        <v>2273</v>
      </c>
      <c r="Q370" s="20" t="s">
        <v>2274</v>
      </c>
      <c r="R370" s="20" t="s">
        <v>2275</v>
      </c>
      <c r="S370" s="20"/>
      <c r="T370" s="20"/>
      <c r="U370" s="20"/>
      <c r="V370" s="20"/>
    </row>
    <row r="371" spans="1:22" ht="17">
      <c r="B371" s="11" t="s">
        <v>2276</v>
      </c>
      <c r="C371" s="23" t="s">
        <v>33</v>
      </c>
      <c r="D371" s="13" t="s">
        <v>722</v>
      </c>
      <c r="E371" s="24">
        <v>2900000</v>
      </c>
      <c r="F371" s="25">
        <f>Table2[[#This Row],[Price]]/Table2[[#This Row],[Tot Ht Area]]</f>
        <v>382.98996302165875</v>
      </c>
      <c r="G371" s="16">
        <v>7572</v>
      </c>
      <c r="H371" s="16">
        <v>7720</v>
      </c>
      <c r="I371" s="17" t="s">
        <v>2277</v>
      </c>
      <c r="J371" s="18" t="s">
        <v>217</v>
      </c>
      <c r="K371" s="19" t="s">
        <v>37</v>
      </c>
      <c r="L371" s="19" t="s">
        <v>438</v>
      </c>
      <c r="M371" s="19" t="s">
        <v>2278</v>
      </c>
      <c r="N371" s="20" t="s">
        <v>1598</v>
      </c>
      <c r="O371" s="20" t="s">
        <v>1812</v>
      </c>
      <c r="P371" s="21" t="s">
        <v>2279</v>
      </c>
      <c r="Q371" s="20" t="s">
        <v>2280</v>
      </c>
      <c r="R371" s="20" t="s">
        <v>2281</v>
      </c>
      <c r="S371" s="20"/>
      <c r="T371" s="20"/>
      <c r="U371" s="20"/>
      <c r="V371" s="20"/>
    </row>
    <row r="372" spans="1:22" ht="34">
      <c r="B372" s="11" t="s">
        <v>2282</v>
      </c>
      <c r="C372" s="23" t="s">
        <v>33</v>
      </c>
      <c r="D372" s="13" t="s">
        <v>729</v>
      </c>
      <c r="E372" s="24">
        <v>4843881</v>
      </c>
      <c r="F372" s="25">
        <f>Table2[[#This Row],[Price]]/Table2[[#This Row],[Tot Ht Area]]</f>
        <v>501.33316083626579</v>
      </c>
      <c r="G372" s="16">
        <v>9662</v>
      </c>
      <c r="H372" s="16">
        <v>10949</v>
      </c>
      <c r="I372" s="17" t="s">
        <v>2283</v>
      </c>
      <c r="J372" s="18" t="s">
        <v>1231</v>
      </c>
      <c r="K372" s="19" t="s">
        <v>101</v>
      </c>
      <c r="L372" s="19" t="s">
        <v>503</v>
      </c>
      <c r="M372" s="19" t="s">
        <v>2284</v>
      </c>
      <c r="N372" s="20" t="s">
        <v>1598</v>
      </c>
      <c r="O372" s="20" t="s">
        <v>27</v>
      </c>
      <c r="P372" s="21" t="s">
        <v>2285</v>
      </c>
      <c r="Q372" s="20" t="s">
        <v>2286</v>
      </c>
      <c r="R372" s="20" t="s">
        <v>2287</v>
      </c>
      <c r="S372" s="20"/>
      <c r="T372" s="20"/>
      <c r="U372" s="20"/>
      <c r="V372" s="20"/>
    </row>
    <row r="373" spans="1:22" ht="17">
      <c r="B373" s="11" t="s">
        <v>2288</v>
      </c>
      <c r="C373" s="23" t="s">
        <v>33</v>
      </c>
      <c r="D373" s="13" t="s">
        <v>436</v>
      </c>
      <c r="E373" s="24">
        <v>2150000</v>
      </c>
      <c r="F373" s="25">
        <f>Table2[[#This Row],[Price]]/Table2[[#This Row],[Tot Ht Area]]</f>
        <v>383.92857142857144</v>
      </c>
      <c r="G373" s="16">
        <v>5600</v>
      </c>
      <c r="H373" s="16">
        <v>5690</v>
      </c>
      <c r="I373" s="17" t="s">
        <v>2289</v>
      </c>
      <c r="J373" s="18" t="s">
        <v>542</v>
      </c>
      <c r="K373" s="19" t="s">
        <v>37</v>
      </c>
      <c r="L373" s="19" t="s">
        <v>484</v>
      </c>
      <c r="M373" s="19" t="s">
        <v>2290</v>
      </c>
      <c r="N373" s="20" t="s">
        <v>1598</v>
      </c>
      <c r="O373" s="20" t="s">
        <v>1812</v>
      </c>
      <c r="P373" s="21" t="s">
        <v>2291</v>
      </c>
      <c r="Q373" s="20" t="s">
        <v>2292</v>
      </c>
      <c r="R373" s="20" t="s">
        <v>2293</v>
      </c>
      <c r="S373" s="20"/>
      <c r="T373" s="20"/>
      <c r="U373" s="20"/>
      <c r="V373" s="20"/>
    </row>
    <row r="374" spans="1:22" ht="17">
      <c r="B374" s="11" t="s">
        <v>2294</v>
      </c>
      <c r="C374" s="23" t="s">
        <v>33</v>
      </c>
      <c r="D374" s="13" t="s">
        <v>702</v>
      </c>
      <c r="E374" s="24">
        <v>1400000</v>
      </c>
      <c r="F374" s="25">
        <f>Table2[[#This Row],[Price]]/Table2[[#This Row],[Tot Ht Area]]</f>
        <v>271.84466019417476</v>
      </c>
      <c r="G374" s="16">
        <v>5150</v>
      </c>
      <c r="H374" s="16">
        <v>5484</v>
      </c>
      <c r="I374" s="17" t="s">
        <v>2295</v>
      </c>
      <c r="J374" s="18" t="s">
        <v>301</v>
      </c>
      <c r="K374" s="19" t="s">
        <v>101</v>
      </c>
      <c r="L374" s="19" t="s">
        <v>110</v>
      </c>
      <c r="M374" s="19" t="s">
        <v>2296</v>
      </c>
      <c r="N374" s="20" t="s">
        <v>1598</v>
      </c>
      <c r="O374" s="20" t="s">
        <v>40</v>
      </c>
      <c r="P374" s="21" t="s">
        <v>2297</v>
      </c>
      <c r="Q374" s="20" t="s">
        <v>2298</v>
      </c>
      <c r="R374" s="20" t="s">
        <v>2299</v>
      </c>
      <c r="S374" s="20"/>
      <c r="T374" s="20"/>
      <c r="U374" s="20"/>
      <c r="V374" s="20"/>
    </row>
    <row r="375" spans="1:22" ht="17">
      <c r="B375" s="11" t="s">
        <v>2300</v>
      </c>
      <c r="C375" s="23" t="s">
        <v>33</v>
      </c>
      <c r="D375" s="13" t="s">
        <v>90</v>
      </c>
      <c r="E375" s="24">
        <v>2000000</v>
      </c>
      <c r="F375" s="25">
        <f>Table2[[#This Row],[Price]]/Table2[[#This Row],[Tot Ht Area]]</f>
        <v>210.08403361344537</v>
      </c>
      <c r="G375" s="16">
        <v>9520</v>
      </c>
      <c r="H375" s="16">
        <v>14672</v>
      </c>
      <c r="I375" s="17" t="s">
        <v>2301</v>
      </c>
      <c r="J375" s="18" t="s">
        <v>1231</v>
      </c>
      <c r="K375" s="19" t="s">
        <v>37</v>
      </c>
      <c r="L375" s="19" t="s">
        <v>143</v>
      </c>
      <c r="M375" s="19" t="s">
        <v>2302</v>
      </c>
      <c r="N375" s="20" t="s">
        <v>1598</v>
      </c>
      <c r="O375" s="20" t="s">
        <v>27</v>
      </c>
      <c r="P375" s="21" t="s">
        <v>2303</v>
      </c>
      <c r="Q375" s="20" t="s">
        <v>2304</v>
      </c>
      <c r="R375" s="20" t="s">
        <v>2305</v>
      </c>
      <c r="S375" s="20"/>
      <c r="T375" s="20"/>
      <c r="U375" s="20"/>
      <c r="V375" s="20"/>
    </row>
    <row r="376" spans="1:22" ht="17">
      <c r="B376" s="11" t="s">
        <v>2306</v>
      </c>
      <c r="C376" s="23" t="s">
        <v>33</v>
      </c>
      <c r="D376" s="13" t="s">
        <v>314</v>
      </c>
      <c r="E376" s="24">
        <v>1300000</v>
      </c>
      <c r="F376" s="25">
        <f>Table2[[#This Row],[Price]]/Table2[[#This Row],[Tot Ht Area]]</f>
        <v>72.158081705150977</v>
      </c>
      <c r="G376" s="16">
        <v>18016</v>
      </c>
      <c r="H376" s="16">
        <v>19328</v>
      </c>
      <c r="I376" s="17" t="s">
        <v>2307</v>
      </c>
      <c r="J376" s="18" t="s">
        <v>278</v>
      </c>
      <c r="K376" s="19" t="s">
        <v>101</v>
      </c>
      <c r="L376" s="19" t="s">
        <v>110</v>
      </c>
      <c r="M376" s="19" t="s">
        <v>2308</v>
      </c>
      <c r="N376" s="20" t="s">
        <v>1598</v>
      </c>
      <c r="O376" s="20" t="s">
        <v>27</v>
      </c>
      <c r="P376" s="21" t="s">
        <v>2309</v>
      </c>
      <c r="Q376" s="20"/>
      <c r="R376" s="20" t="s">
        <v>2310</v>
      </c>
      <c r="S376" s="20"/>
      <c r="T376" s="20"/>
      <c r="U376" s="20"/>
      <c r="V376" s="20"/>
    </row>
    <row r="377" spans="1:22" ht="34">
      <c r="A377" s="40"/>
      <c r="B377" s="11" t="s">
        <v>2311</v>
      </c>
      <c r="C377" s="23" t="s">
        <v>33</v>
      </c>
      <c r="D377" s="13" t="s">
        <v>709</v>
      </c>
      <c r="E377" s="24">
        <v>1325000</v>
      </c>
      <c r="F377" s="25">
        <f>Table2[[#This Row],[Price]]/Table2[[#This Row],[Tot Ht Area]]</f>
        <v>262.89682539682542</v>
      </c>
      <c r="G377" s="16">
        <v>5040</v>
      </c>
      <c r="H377" s="16">
        <v>5570</v>
      </c>
      <c r="I377" s="17" t="s">
        <v>2312</v>
      </c>
      <c r="J377" s="18" t="s">
        <v>1231</v>
      </c>
      <c r="K377" s="19" t="s">
        <v>37</v>
      </c>
      <c r="L377" s="19" t="s">
        <v>366</v>
      </c>
      <c r="M377" s="19" t="s">
        <v>2313</v>
      </c>
      <c r="N377" s="20" t="s">
        <v>1598</v>
      </c>
      <c r="O377" s="20" t="s">
        <v>27</v>
      </c>
      <c r="P377" s="21" t="s">
        <v>2314</v>
      </c>
      <c r="Q377" s="20"/>
      <c r="R377" s="20" t="s">
        <v>2315</v>
      </c>
      <c r="S377" s="20"/>
      <c r="T377" s="20"/>
      <c r="U377" s="20"/>
      <c r="V377" s="20"/>
    </row>
    <row r="378" spans="1:22" ht="17">
      <c r="B378" s="11" t="s">
        <v>2316</v>
      </c>
      <c r="C378" s="23" t="s">
        <v>33</v>
      </c>
      <c r="D378" s="13" t="s">
        <v>896</v>
      </c>
      <c r="E378" s="24">
        <v>863200</v>
      </c>
      <c r="F378" s="25">
        <f>Table2[[#This Row],[Price]]/Table2[[#This Row],[Tot Ht Area]]</f>
        <v>191.82222222222222</v>
      </c>
      <c r="G378" s="16">
        <v>4500</v>
      </c>
      <c r="H378" s="16">
        <v>5300</v>
      </c>
      <c r="I378" s="17" t="s">
        <v>2317</v>
      </c>
      <c r="J378" s="18" t="s">
        <v>57</v>
      </c>
      <c r="K378" s="19" t="s">
        <v>48</v>
      </c>
      <c r="L378" s="19" t="s">
        <v>366</v>
      </c>
      <c r="M378" s="19" t="s">
        <v>2318</v>
      </c>
      <c r="N378" s="20" t="s">
        <v>1598</v>
      </c>
      <c r="O378" s="20" t="s">
        <v>27</v>
      </c>
      <c r="P378" s="21" t="s">
        <v>2319</v>
      </c>
      <c r="Q378" s="20" t="s">
        <v>2320</v>
      </c>
      <c r="R378" s="20" t="s">
        <v>2321</v>
      </c>
      <c r="S378" s="20"/>
      <c r="T378" s="20"/>
      <c r="U378" s="20"/>
      <c r="V378" s="20"/>
    </row>
    <row r="379" spans="1:22" ht="51">
      <c r="B379" s="11" t="s">
        <v>2322</v>
      </c>
      <c r="C379" s="23" t="s">
        <v>33</v>
      </c>
      <c r="D379" s="13" t="s">
        <v>591</v>
      </c>
      <c r="E379" s="24">
        <v>3200000</v>
      </c>
      <c r="F379" s="25">
        <f>Table2[[#This Row],[Price]]/Table2[[#This Row],[Tot Ht Area]]</f>
        <v>110.59653003387018</v>
      </c>
      <c r="G379" s="16">
        <v>28934</v>
      </c>
      <c r="H379" s="16">
        <v>29029</v>
      </c>
      <c r="I379" s="17" t="s">
        <v>2323</v>
      </c>
      <c r="J379" s="18" t="s">
        <v>627</v>
      </c>
      <c r="K379" s="19" t="s">
        <v>101</v>
      </c>
      <c r="L379" s="19" t="s">
        <v>573</v>
      </c>
      <c r="M379" s="19" t="s">
        <v>2324</v>
      </c>
      <c r="N379" s="20" t="s">
        <v>1598</v>
      </c>
      <c r="O379" s="20" t="s">
        <v>27</v>
      </c>
      <c r="P379" s="21" t="s">
        <v>2325</v>
      </c>
      <c r="Q379" s="20"/>
      <c r="R379" s="20" t="s">
        <v>2326</v>
      </c>
      <c r="S379" s="20"/>
      <c r="T379" s="20"/>
      <c r="U379" s="20"/>
      <c r="V379" s="20"/>
    </row>
    <row r="380" spans="1:22" ht="34">
      <c r="B380" s="11" t="s">
        <v>2327</v>
      </c>
      <c r="C380" s="23" t="s">
        <v>33</v>
      </c>
      <c r="D380" s="13" t="s">
        <v>398</v>
      </c>
      <c r="E380" s="24">
        <v>798200</v>
      </c>
      <c r="F380" s="25">
        <f>Table2[[#This Row],[Price]]/Table2[[#This Row],[Tot Ht Area]]</f>
        <v>147.21504979712284</v>
      </c>
      <c r="G380" s="16">
        <v>5422</v>
      </c>
      <c r="H380" s="16">
        <v>6119</v>
      </c>
      <c r="I380" s="17" t="s">
        <v>2328</v>
      </c>
      <c r="J380" s="18" t="s">
        <v>1163</v>
      </c>
      <c r="K380" s="19" t="s">
        <v>37</v>
      </c>
      <c r="L380" s="19" t="s">
        <v>392</v>
      </c>
      <c r="M380" s="19" t="s">
        <v>2329</v>
      </c>
      <c r="N380" s="20" t="s">
        <v>1598</v>
      </c>
      <c r="O380" s="20" t="s">
        <v>1812</v>
      </c>
      <c r="P380" s="21" t="s">
        <v>2330</v>
      </c>
      <c r="Q380" s="20" t="s">
        <v>2331</v>
      </c>
      <c r="R380" s="20" t="s">
        <v>2332</v>
      </c>
      <c r="S380" s="20"/>
      <c r="T380" s="20"/>
      <c r="U380" s="20"/>
      <c r="V380" s="20"/>
    </row>
    <row r="381" spans="1:22" ht="17">
      <c r="B381" s="11" t="s">
        <v>2333</v>
      </c>
      <c r="C381" s="23" t="s">
        <v>33</v>
      </c>
      <c r="D381" s="13" t="s">
        <v>231</v>
      </c>
      <c r="E381" s="24">
        <v>103100</v>
      </c>
      <c r="F381" s="25">
        <f>Table2[[#This Row],[Price]]/Table2[[#This Row],[Tot Ht Area]]</f>
        <v>55.074786324786324</v>
      </c>
      <c r="G381" s="16">
        <v>1872</v>
      </c>
      <c r="H381" s="16">
        <v>2708</v>
      </c>
      <c r="I381" s="17" t="s">
        <v>2334</v>
      </c>
      <c r="J381" s="18" t="s">
        <v>2335</v>
      </c>
      <c r="K381" s="19" t="s">
        <v>37</v>
      </c>
      <c r="L381" s="19" t="s">
        <v>484</v>
      </c>
      <c r="M381" s="19" t="s">
        <v>2336</v>
      </c>
      <c r="N381" s="20" t="s">
        <v>1598</v>
      </c>
      <c r="O381" s="20" t="s">
        <v>1812</v>
      </c>
      <c r="P381" s="21" t="s">
        <v>2337</v>
      </c>
      <c r="Q381" s="20" t="s">
        <v>2338</v>
      </c>
      <c r="R381" s="20" t="s">
        <v>2339</v>
      </c>
      <c r="S381" s="20"/>
      <c r="T381" s="20"/>
      <c r="U381" s="20"/>
      <c r="V381" s="20"/>
    </row>
    <row r="382" spans="1:22" ht="51">
      <c r="B382" s="11" t="s">
        <v>2340</v>
      </c>
      <c r="C382" s="23" t="s">
        <v>33</v>
      </c>
      <c r="D382" s="13" t="s">
        <v>108</v>
      </c>
      <c r="E382" s="24"/>
      <c r="F382" s="25">
        <f>Table2[[#This Row],[Price]]/Table2[[#This Row],[Tot Ht Area]]</f>
        <v>0</v>
      </c>
      <c r="G382" s="16">
        <v>2156</v>
      </c>
      <c r="H382" s="16">
        <v>2274</v>
      </c>
      <c r="I382" s="17" t="s">
        <v>2341</v>
      </c>
      <c r="J382" s="18" t="s">
        <v>619</v>
      </c>
      <c r="K382" s="19" t="s">
        <v>48</v>
      </c>
      <c r="L382" s="19" t="s">
        <v>110</v>
      </c>
      <c r="M382" s="19" t="s">
        <v>2342</v>
      </c>
      <c r="N382" s="20" t="s">
        <v>1598</v>
      </c>
      <c r="O382" s="20" t="s">
        <v>27</v>
      </c>
      <c r="P382" s="21" t="s">
        <v>2343</v>
      </c>
      <c r="Q382" s="20"/>
      <c r="R382" s="20" t="s">
        <v>2344</v>
      </c>
      <c r="S382" s="20"/>
      <c r="T382" s="20"/>
      <c r="U382" s="20"/>
      <c r="V382" s="20"/>
    </row>
    <row r="383" spans="1:22" ht="51">
      <c r="B383" s="11" t="s">
        <v>2345</v>
      </c>
      <c r="C383" s="23" t="s">
        <v>33</v>
      </c>
      <c r="D383" s="13" t="s">
        <v>90</v>
      </c>
      <c r="E383" s="24">
        <v>8000000</v>
      </c>
      <c r="F383" s="25">
        <f>Table2[[#This Row],[Price]]/Table2[[#This Row],[Tot Ht Area]]</f>
        <v>287.04700394689633</v>
      </c>
      <c r="G383" s="16">
        <v>27870</v>
      </c>
      <c r="H383" s="16">
        <v>33660</v>
      </c>
      <c r="I383" s="17" t="s">
        <v>2346</v>
      </c>
      <c r="J383" s="18" t="s">
        <v>1138</v>
      </c>
      <c r="K383" s="19" t="s">
        <v>101</v>
      </c>
      <c r="L383" s="19" t="s">
        <v>2347</v>
      </c>
      <c r="M383" s="19" t="s">
        <v>2348</v>
      </c>
      <c r="N383" s="20" t="s">
        <v>1598</v>
      </c>
      <c r="O383" s="20" t="s">
        <v>27</v>
      </c>
      <c r="P383" s="21" t="s">
        <v>2349</v>
      </c>
      <c r="Q383" s="20"/>
      <c r="R383" s="20" t="s">
        <v>2350</v>
      </c>
      <c r="S383" s="20"/>
      <c r="T383" s="20"/>
      <c r="U383" s="20"/>
      <c r="V383" s="20"/>
    </row>
    <row r="384" spans="1:22" ht="51">
      <c r="B384" s="11" t="s">
        <v>2351</v>
      </c>
      <c r="C384" s="23" t="s">
        <v>33</v>
      </c>
      <c r="D384" s="13" t="s">
        <v>1908</v>
      </c>
      <c r="E384" s="24">
        <v>16800000</v>
      </c>
      <c r="F384" s="25">
        <f>Table2[[#This Row],[Price]]/Table2[[#This Row],[Tot Ht Area]]</f>
        <v>483.73164411171899</v>
      </c>
      <c r="G384" s="16">
        <v>34730</v>
      </c>
      <c r="H384" s="16">
        <v>34938</v>
      </c>
      <c r="I384" s="17" t="s">
        <v>2352</v>
      </c>
      <c r="J384" s="18" t="s">
        <v>23</v>
      </c>
      <c r="K384" s="19" t="s">
        <v>37</v>
      </c>
      <c r="L384" s="19" t="s">
        <v>2347</v>
      </c>
      <c r="M384" s="19" t="s">
        <v>2353</v>
      </c>
      <c r="N384" s="20" t="s">
        <v>1598</v>
      </c>
      <c r="O384" s="20" t="s">
        <v>27</v>
      </c>
      <c r="P384" s="21" t="s">
        <v>2354</v>
      </c>
      <c r="Q384" s="20"/>
      <c r="R384" s="20" t="s">
        <v>2355</v>
      </c>
      <c r="S384" s="20"/>
      <c r="T384" s="20"/>
      <c r="U384" s="20"/>
      <c r="V384" s="20"/>
    </row>
    <row r="385" spans="2:22" ht="17">
      <c r="B385" s="11" t="s">
        <v>2356</v>
      </c>
      <c r="C385" s="23" t="s">
        <v>33</v>
      </c>
      <c r="D385" s="13" t="s">
        <v>285</v>
      </c>
      <c r="E385" s="24">
        <v>800000</v>
      </c>
      <c r="F385" s="25">
        <f>Table2[[#This Row],[Price]]/Table2[[#This Row],[Tot Ht Area]]</f>
        <v>425.30568846358318</v>
      </c>
      <c r="G385" s="16">
        <v>1881</v>
      </c>
      <c r="H385" s="16">
        <v>2054</v>
      </c>
      <c r="I385" s="17" t="s">
        <v>2357</v>
      </c>
      <c r="J385" s="18" t="s">
        <v>422</v>
      </c>
      <c r="K385" s="19" t="s">
        <v>37</v>
      </c>
      <c r="L385" s="19" t="s">
        <v>366</v>
      </c>
      <c r="M385" s="19" t="s">
        <v>2358</v>
      </c>
      <c r="N385" s="20" t="s">
        <v>1598</v>
      </c>
      <c r="O385" s="20" t="s">
        <v>1812</v>
      </c>
      <c r="P385" s="21" t="s">
        <v>2359</v>
      </c>
      <c r="Q385" s="20" t="s">
        <v>2360</v>
      </c>
      <c r="R385" s="20" t="s">
        <v>2361</v>
      </c>
      <c r="S385" s="20"/>
      <c r="T385" s="20"/>
      <c r="U385" s="20"/>
      <c r="V385" s="20"/>
    </row>
    <row r="386" spans="2:22" ht="17">
      <c r="B386" s="11" t="s">
        <v>2362</v>
      </c>
      <c r="C386" s="23" t="s">
        <v>33</v>
      </c>
      <c r="D386" s="13" t="s">
        <v>1860</v>
      </c>
      <c r="E386" s="24">
        <v>680000</v>
      </c>
      <c r="F386" s="25">
        <f>Table2[[#This Row],[Price]]/Table2[[#This Row],[Tot Ht Area]]</f>
        <v>331.0613437195716</v>
      </c>
      <c r="G386" s="16">
        <v>2054</v>
      </c>
      <c r="H386" s="16">
        <v>2149</v>
      </c>
      <c r="I386" s="17" t="s">
        <v>2363</v>
      </c>
      <c r="J386" s="18" t="s">
        <v>652</v>
      </c>
      <c r="K386" s="19" t="s">
        <v>37</v>
      </c>
      <c r="L386" s="19" t="s">
        <v>366</v>
      </c>
      <c r="M386" s="19" t="s">
        <v>2364</v>
      </c>
      <c r="N386" s="20" t="s">
        <v>1598</v>
      </c>
      <c r="O386" s="20" t="s">
        <v>27</v>
      </c>
      <c r="P386" s="21" t="s">
        <v>2365</v>
      </c>
      <c r="Q386" s="20" t="s">
        <v>2366</v>
      </c>
      <c r="R386" s="20" t="s">
        <v>2367</v>
      </c>
      <c r="S386" s="20"/>
      <c r="T386" s="20"/>
      <c r="U386" s="20"/>
      <c r="V386" s="20"/>
    </row>
    <row r="387" spans="2:22" ht="17">
      <c r="B387" s="11" t="s">
        <v>2368</v>
      </c>
      <c r="C387" s="23" t="s">
        <v>33</v>
      </c>
      <c r="D387" s="13" t="s">
        <v>779</v>
      </c>
      <c r="E387" s="24">
        <v>795000</v>
      </c>
      <c r="F387" s="25">
        <f>Table2[[#This Row],[Price]]/Table2[[#This Row],[Tot Ht Area]]</f>
        <v>390.66339066339066</v>
      </c>
      <c r="G387" s="16">
        <v>2035</v>
      </c>
      <c r="H387" s="16">
        <v>2211</v>
      </c>
      <c r="I387" s="17" t="s">
        <v>2369</v>
      </c>
      <c r="J387" s="18" t="s">
        <v>57</v>
      </c>
      <c r="K387" s="19" t="s">
        <v>37</v>
      </c>
      <c r="L387" s="19" t="s">
        <v>110</v>
      </c>
      <c r="M387" s="19" t="s">
        <v>2370</v>
      </c>
      <c r="N387" s="20" t="s">
        <v>1598</v>
      </c>
      <c r="O387" s="20" t="s">
        <v>27</v>
      </c>
      <c r="P387" s="21" t="s">
        <v>2371</v>
      </c>
      <c r="Q387" s="20"/>
      <c r="R387" s="20" t="s">
        <v>2372</v>
      </c>
      <c r="S387" s="20"/>
      <c r="T387" s="20"/>
      <c r="U387" s="20"/>
      <c r="V387" s="20"/>
    </row>
    <row r="388" spans="2:22" ht="34">
      <c r="B388" s="11" t="s">
        <v>2373</v>
      </c>
      <c r="C388" s="23" t="s">
        <v>33</v>
      </c>
      <c r="D388" s="13" t="s">
        <v>686</v>
      </c>
      <c r="E388" s="24">
        <v>805300</v>
      </c>
      <c r="F388" s="25">
        <f>Table2[[#This Row],[Price]]/Table2[[#This Row],[Tot Ht Area]]</f>
        <v>255.65079365079364</v>
      </c>
      <c r="G388" s="16">
        <v>3150</v>
      </c>
      <c r="H388" s="16">
        <v>3420</v>
      </c>
      <c r="I388" s="17" t="s">
        <v>2374</v>
      </c>
      <c r="J388" s="18" t="s">
        <v>83</v>
      </c>
      <c r="K388" s="19" t="s">
        <v>37</v>
      </c>
      <c r="L388" s="19" t="s">
        <v>143</v>
      </c>
      <c r="M388" s="19" t="s">
        <v>2375</v>
      </c>
      <c r="N388" s="20" t="s">
        <v>1598</v>
      </c>
      <c r="O388" s="20" t="s">
        <v>27</v>
      </c>
      <c r="P388" s="21" t="s">
        <v>2376</v>
      </c>
      <c r="Q388" s="20"/>
      <c r="R388" s="20" t="s">
        <v>2377</v>
      </c>
      <c r="S388" s="20"/>
      <c r="T388" s="20"/>
      <c r="U388" s="20"/>
      <c r="V388" s="20"/>
    </row>
    <row r="389" spans="2:22" ht="34">
      <c r="B389" s="11" t="s">
        <v>2378</v>
      </c>
      <c r="C389" s="23" t="s">
        <v>33</v>
      </c>
      <c r="D389" s="13" t="s">
        <v>158</v>
      </c>
      <c r="E389" s="24">
        <v>2800000</v>
      </c>
      <c r="F389" s="25">
        <f>Table2[[#This Row],[Price]]/Table2[[#This Row],[Tot Ht Area]]</f>
        <v>540.74932406334494</v>
      </c>
      <c r="G389" s="16">
        <v>5178</v>
      </c>
      <c r="H389" s="16">
        <v>7531</v>
      </c>
      <c r="I389" s="17" t="s">
        <v>2379</v>
      </c>
      <c r="J389" s="18" t="s">
        <v>83</v>
      </c>
      <c r="K389" s="19" t="s">
        <v>37</v>
      </c>
      <c r="L389" s="19" t="s">
        <v>143</v>
      </c>
      <c r="M389" s="19" t="s">
        <v>2380</v>
      </c>
      <c r="N389" s="20" t="s">
        <v>1598</v>
      </c>
      <c r="O389" s="20" t="s">
        <v>27</v>
      </c>
      <c r="P389" s="21" t="s">
        <v>2381</v>
      </c>
      <c r="Q389" s="20"/>
      <c r="R389" s="20" t="s">
        <v>2382</v>
      </c>
      <c r="S389" s="20"/>
      <c r="T389" s="20"/>
      <c r="U389" s="20"/>
      <c r="V389" s="20"/>
    </row>
    <row r="390" spans="2:22" ht="34">
      <c r="B390" s="11" t="s">
        <v>2389</v>
      </c>
      <c r="C390" s="23" t="s">
        <v>33</v>
      </c>
      <c r="D390" s="13" t="s">
        <v>253</v>
      </c>
      <c r="E390" s="24">
        <v>100</v>
      </c>
      <c r="F390" s="25">
        <f>Table2[[#This Row],[Price]]/Table2[[#This Row],[Tot Ht Area]]</f>
        <v>3.6403349108117947E-2</v>
      </c>
      <c r="G390" s="16">
        <v>2747</v>
      </c>
      <c r="H390" s="16">
        <v>2747</v>
      </c>
      <c r="I390" s="17" t="s">
        <v>2390</v>
      </c>
      <c r="J390" s="18" t="s">
        <v>57</v>
      </c>
      <c r="K390" s="19" t="s">
        <v>37</v>
      </c>
      <c r="L390" s="19" t="s">
        <v>366</v>
      </c>
      <c r="M390" s="19" t="s">
        <v>2391</v>
      </c>
      <c r="N390" s="20" t="s">
        <v>1598</v>
      </c>
      <c r="O390" s="20" t="s">
        <v>40</v>
      </c>
      <c r="P390" s="21" t="s">
        <v>2392</v>
      </c>
      <c r="Q390" s="20"/>
      <c r="R390" s="20" t="s">
        <v>2393</v>
      </c>
      <c r="S390" s="20"/>
      <c r="T390" s="20" t="s">
        <v>6318</v>
      </c>
      <c r="U390" s="20"/>
      <c r="V390" s="20"/>
    </row>
    <row r="391" spans="2:22" ht="17">
      <c r="B391" s="11" t="s">
        <v>2394</v>
      </c>
      <c r="C391" s="23" t="s">
        <v>33</v>
      </c>
      <c r="D391" s="13" t="s">
        <v>428</v>
      </c>
      <c r="E391" s="24">
        <v>934900</v>
      </c>
      <c r="F391" s="25">
        <f>Table2[[#This Row],[Price]]/Table2[[#This Row],[Tot Ht Area]]</f>
        <v>260.85379464285717</v>
      </c>
      <c r="G391" s="16">
        <v>3584</v>
      </c>
      <c r="H391" s="16">
        <v>3959</v>
      </c>
      <c r="I391" s="17" t="s">
        <v>2395</v>
      </c>
      <c r="J391" s="18" t="s">
        <v>1231</v>
      </c>
      <c r="K391" s="19" t="s">
        <v>101</v>
      </c>
      <c r="L391" s="19" t="s">
        <v>127</v>
      </c>
      <c r="M391" s="19" t="s">
        <v>2396</v>
      </c>
      <c r="N391" s="20" t="s">
        <v>1598</v>
      </c>
      <c r="O391" s="20" t="s">
        <v>27</v>
      </c>
      <c r="P391" s="21" t="s">
        <v>2397</v>
      </c>
      <c r="Q391" s="20"/>
      <c r="R391" s="20" t="s">
        <v>2398</v>
      </c>
      <c r="S391" s="20"/>
      <c r="T391" s="20"/>
      <c r="U391" s="20"/>
      <c r="V391" s="20"/>
    </row>
    <row r="392" spans="2:22" ht="17">
      <c r="B392" s="11" t="s">
        <v>2399</v>
      </c>
      <c r="C392" s="23" t="s">
        <v>33</v>
      </c>
      <c r="D392" s="13" t="s">
        <v>108</v>
      </c>
      <c r="E392" s="24">
        <v>100</v>
      </c>
      <c r="F392" s="25">
        <f>Table2[[#This Row],[Price]]/Table2[[#This Row],[Tot Ht Area]]</f>
        <v>6.3131313131313135E-2</v>
      </c>
      <c r="G392" s="16">
        <v>1584</v>
      </c>
      <c r="H392" s="16">
        <v>2098</v>
      </c>
      <c r="I392" s="17" t="s">
        <v>2400</v>
      </c>
      <c r="J392" s="18" t="s">
        <v>627</v>
      </c>
      <c r="K392" s="19" t="s">
        <v>37</v>
      </c>
      <c r="L392" s="19" t="s">
        <v>102</v>
      </c>
      <c r="M392" s="19" t="s">
        <v>2401</v>
      </c>
      <c r="N392" s="20" t="s">
        <v>1598</v>
      </c>
      <c r="O392" s="20" t="s">
        <v>1812</v>
      </c>
      <c r="P392" s="21" t="s">
        <v>2402</v>
      </c>
      <c r="Q392" s="20" t="s">
        <v>2403</v>
      </c>
      <c r="R392" s="20" t="s">
        <v>2404</v>
      </c>
      <c r="S392" s="20"/>
      <c r="T392" s="20" t="s">
        <v>6318</v>
      </c>
      <c r="U392" s="20"/>
      <c r="V392" s="20"/>
    </row>
    <row r="393" spans="2:22" ht="34">
      <c r="B393" s="11" t="s">
        <v>2405</v>
      </c>
      <c r="C393" s="23" t="s">
        <v>33</v>
      </c>
      <c r="D393" s="13" t="s">
        <v>1908</v>
      </c>
      <c r="E393" s="24">
        <v>2500000</v>
      </c>
      <c r="F393" s="25">
        <f>Table2[[#This Row],[Price]]/Table2[[#This Row],[Tot Ht Area]]</f>
        <v>695.21690767519465</v>
      </c>
      <c r="G393" s="16">
        <v>3596</v>
      </c>
      <c r="H393" s="16">
        <v>5077</v>
      </c>
      <c r="I393" s="17" t="s">
        <v>2406</v>
      </c>
      <c r="J393" s="18" t="s">
        <v>599</v>
      </c>
      <c r="K393" s="19" t="s">
        <v>37</v>
      </c>
      <c r="L393" s="19" t="s">
        <v>127</v>
      </c>
      <c r="M393" s="19" t="s">
        <v>2407</v>
      </c>
      <c r="N393" s="20" t="s">
        <v>1598</v>
      </c>
      <c r="O393" s="20" t="s">
        <v>27</v>
      </c>
      <c r="P393" s="21" t="s">
        <v>2408</v>
      </c>
      <c r="Q393" s="20"/>
      <c r="R393" s="20" t="s">
        <v>2409</v>
      </c>
      <c r="S393" s="20"/>
      <c r="T393" s="20"/>
      <c r="U393" s="20"/>
      <c r="V393" s="20"/>
    </row>
    <row r="394" spans="2:22" ht="17">
      <c r="B394" s="11" t="s">
        <v>2410</v>
      </c>
      <c r="C394" s="23" t="s">
        <v>33</v>
      </c>
      <c r="D394" s="13" t="s">
        <v>745</v>
      </c>
      <c r="E394" s="24">
        <v>100</v>
      </c>
      <c r="F394" s="25">
        <f>Table2[[#This Row],[Price]]/Table2[[#This Row],[Tot Ht Area]]</f>
        <v>2.2983222247759137E-2</v>
      </c>
      <c r="G394" s="16">
        <v>4351</v>
      </c>
      <c r="H394" s="16">
        <v>5192</v>
      </c>
      <c r="I394" s="17" t="s">
        <v>2411</v>
      </c>
      <c r="J394" s="18" t="s">
        <v>2218</v>
      </c>
      <c r="K394" s="19" t="s">
        <v>48</v>
      </c>
      <c r="L394" s="19" t="s">
        <v>127</v>
      </c>
      <c r="M394" s="19" t="s">
        <v>2412</v>
      </c>
      <c r="N394" s="20" t="s">
        <v>1598</v>
      </c>
      <c r="O394" s="20" t="s">
        <v>27</v>
      </c>
      <c r="P394" s="21" t="s">
        <v>2413</v>
      </c>
      <c r="Q394" s="20" t="s">
        <v>2414</v>
      </c>
      <c r="R394" s="20" t="s">
        <v>2415</v>
      </c>
      <c r="S394" s="20"/>
      <c r="T394" s="20" t="s">
        <v>6318</v>
      </c>
      <c r="U394" s="20"/>
      <c r="V394" s="20"/>
    </row>
    <row r="395" spans="2:22" ht="17">
      <c r="B395" s="11" t="s">
        <v>2416</v>
      </c>
      <c r="C395" s="23" t="s">
        <v>33</v>
      </c>
      <c r="D395" s="13" t="s">
        <v>314</v>
      </c>
      <c r="E395" s="24">
        <v>100</v>
      </c>
      <c r="F395" s="25">
        <f>Table2[[#This Row],[Price]]/Table2[[#This Row],[Tot Ht Area]]</f>
        <v>2.772387025228722E-2</v>
      </c>
      <c r="G395" s="16">
        <v>3607</v>
      </c>
      <c r="H395" s="16">
        <v>3880</v>
      </c>
      <c r="I395" s="17" t="s">
        <v>2417</v>
      </c>
      <c r="J395" s="18" t="s">
        <v>135</v>
      </c>
      <c r="K395" s="19" t="s">
        <v>37</v>
      </c>
      <c r="L395" s="19" t="s">
        <v>503</v>
      </c>
      <c r="M395" s="19" t="s">
        <v>2418</v>
      </c>
      <c r="N395" s="20" t="s">
        <v>1598</v>
      </c>
      <c r="O395" s="20" t="s">
        <v>1812</v>
      </c>
      <c r="P395" s="21" t="s">
        <v>2419</v>
      </c>
      <c r="Q395" s="20" t="s">
        <v>2420</v>
      </c>
      <c r="R395" s="20" t="s">
        <v>2421</v>
      </c>
      <c r="S395" s="20"/>
      <c r="T395" s="20" t="s">
        <v>6318</v>
      </c>
      <c r="U395" s="20"/>
      <c r="V395" s="20"/>
    </row>
    <row r="396" spans="2:22" ht="17">
      <c r="B396" s="11" t="s">
        <v>2422</v>
      </c>
      <c r="C396" s="23" t="s">
        <v>33</v>
      </c>
      <c r="D396" s="13" t="s">
        <v>658</v>
      </c>
      <c r="E396" s="24">
        <v>1660000</v>
      </c>
      <c r="F396" s="25">
        <f>Table2[[#This Row],[Price]]/Table2[[#This Row],[Tot Ht Area]]</f>
        <v>390.95619406500236</v>
      </c>
      <c r="G396" s="16">
        <v>4246</v>
      </c>
      <c r="H396" s="16">
        <v>4581</v>
      </c>
      <c r="I396" s="17" t="s">
        <v>2423</v>
      </c>
      <c r="J396" s="18" t="s">
        <v>2150</v>
      </c>
      <c r="K396" s="19" t="s">
        <v>37</v>
      </c>
      <c r="L396" s="19" t="s">
        <v>392</v>
      </c>
      <c r="M396" s="19" t="s">
        <v>2424</v>
      </c>
      <c r="N396" s="20" t="s">
        <v>1598</v>
      </c>
      <c r="O396" s="20" t="s">
        <v>1812</v>
      </c>
      <c r="P396" s="21" t="s">
        <v>2425</v>
      </c>
      <c r="Q396" s="20" t="s">
        <v>2426</v>
      </c>
      <c r="R396" s="20" t="s">
        <v>2427</v>
      </c>
      <c r="S396" s="20"/>
      <c r="T396" s="20"/>
      <c r="U396" s="20"/>
      <c r="V396" s="20"/>
    </row>
    <row r="397" spans="2:22" ht="34">
      <c r="B397" s="11" t="s">
        <v>2428</v>
      </c>
      <c r="C397" s="23" t="s">
        <v>33</v>
      </c>
      <c r="D397" s="13" t="s">
        <v>207</v>
      </c>
      <c r="E397" s="24">
        <v>377700</v>
      </c>
      <c r="F397" s="25">
        <f>Table2[[#This Row],[Price]]/Table2[[#This Row],[Tot Ht Area]]</f>
        <v>83.488063660477451</v>
      </c>
      <c r="G397" s="16">
        <v>4524</v>
      </c>
      <c r="H397" s="16">
        <v>6616</v>
      </c>
      <c r="I397" s="17" t="s">
        <v>2429</v>
      </c>
      <c r="J397" s="18" t="s">
        <v>75</v>
      </c>
      <c r="K397" s="19" t="s">
        <v>101</v>
      </c>
      <c r="L397" s="19" t="s">
        <v>127</v>
      </c>
      <c r="M397" s="19" t="s">
        <v>2430</v>
      </c>
      <c r="N397" s="20" t="s">
        <v>1598</v>
      </c>
      <c r="O397" s="20" t="s">
        <v>27</v>
      </c>
      <c r="P397" s="21" t="s">
        <v>2431</v>
      </c>
      <c r="Q397" s="20" t="s">
        <v>2432</v>
      </c>
      <c r="R397" s="20" t="s">
        <v>2433</v>
      </c>
      <c r="S397" s="20"/>
      <c r="T397" s="20"/>
      <c r="U397" s="20"/>
      <c r="V397" s="20"/>
    </row>
    <row r="398" spans="2:22" ht="34">
      <c r="B398" s="11" t="s">
        <v>2434</v>
      </c>
      <c r="C398" s="23" t="s">
        <v>33</v>
      </c>
      <c r="D398" s="13" t="s">
        <v>149</v>
      </c>
      <c r="E398" s="24">
        <v>100</v>
      </c>
      <c r="F398" s="25">
        <f>Table2[[#This Row],[Price]]/Table2[[#This Row],[Tot Ht Area]]</f>
        <v>3.9308176100628929E-2</v>
      </c>
      <c r="G398" s="16">
        <v>2544</v>
      </c>
      <c r="H398" s="16">
        <v>2880</v>
      </c>
      <c r="I398" s="17" t="s">
        <v>1579</v>
      </c>
      <c r="J398" s="18" t="s">
        <v>1170</v>
      </c>
      <c r="K398" s="19" t="s">
        <v>37</v>
      </c>
      <c r="L398" s="19" t="s">
        <v>127</v>
      </c>
      <c r="M398" s="19" t="s">
        <v>2435</v>
      </c>
      <c r="N398" s="20" t="s">
        <v>1598</v>
      </c>
      <c r="O398" s="20" t="s">
        <v>27</v>
      </c>
      <c r="P398" s="21" t="s">
        <v>1967</v>
      </c>
      <c r="Q398" s="20" t="s">
        <v>2436</v>
      </c>
      <c r="R398" s="20" t="s">
        <v>2437</v>
      </c>
      <c r="S398" s="20"/>
      <c r="T398" s="20" t="s">
        <v>6318</v>
      </c>
      <c r="U398" s="20"/>
      <c r="V398" s="20"/>
    </row>
    <row r="399" spans="2:22" ht="34">
      <c r="B399" s="11" t="s">
        <v>2438</v>
      </c>
      <c r="C399" s="23" t="s">
        <v>33</v>
      </c>
      <c r="D399" s="13" t="s">
        <v>407</v>
      </c>
      <c r="E399" s="24">
        <v>4230000</v>
      </c>
      <c r="F399" s="25">
        <f>Table2[[#This Row],[Price]]/Table2[[#This Row],[Tot Ht Area]]</f>
        <v>429.8780487804878</v>
      </c>
      <c r="G399" s="16">
        <v>9840</v>
      </c>
      <c r="H399" s="16">
        <v>14808</v>
      </c>
      <c r="I399" s="17" t="s">
        <v>2439</v>
      </c>
      <c r="J399" s="18" t="s">
        <v>1163</v>
      </c>
      <c r="K399" s="19" t="s">
        <v>37</v>
      </c>
      <c r="L399" s="19" t="s">
        <v>510</v>
      </c>
      <c r="M399" s="19" t="s">
        <v>2440</v>
      </c>
      <c r="N399" s="20" t="s">
        <v>1598</v>
      </c>
      <c r="O399" s="20" t="s">
        <v>27</v>
      </c>
      <c r="P399" s="21" t="s">
        <v>1967</v>
      </c>
      <c r="Q399" s="20" t="s">
        <v>2441</v>
      </c>
      <c r="R399" s="20" t="s">
        <v>2442</v>
      </c>
      <c r="S399" s="20"/>
      <c r="T399" s="20"/>
      <c r="U399" s="20"/>
      <c r="V399" s="20"/>
    </row>
    <row r="400" spans="2:22" ht="17">
      <c r="B400" s="11" t="s">
        <v>2443</v>
      </c>
      <c r="C400" s="23" t="s">
        <v>33</v>
      </c>
      <c r="D400" s="13" t="s">
        <v>428</v>
      </c>
      <c r="E400" s="24">
        <v>2900000</v>
      </c>
      <c r="F400" s="25">
        <f>Table2[[#This Row],[Price]]/Table2[[#This Row],[Tot Ht Area]]</f>
        <v>629.06724511930588</v>
      </c>
      <c r="G400" s="16">
        <v>4610</v>
      </c>
      <c r="H400" s="16">
        <v>4865</v>
      </c>
      <c r="I400" s="17" t="s">
        <v>1429</v>
      </c>
      <c r="J400" s="18" t="s">
        <v>2335</v>
      </c>
      <c r="K400" s="19" t="s">
        <v>101</v>
      </c>
      <c r="L400" s="19" t="s">
        <v>510</v>
      </c>
      <c r="M400" s="19" t="s">
        <v>2444</v>
      </c>
      <c r="N400" s="20" t="s">
        <v>1598</v>
      </c>
      <c r="O400" s="20" t="s">
        <v>1812</v>
      </c>
      <c r="P400" s="21" t="s">
        <v>2445</v>
      </c>
      <c r="Q400" s="20" t="s">
        <v>2446</v>
      </c>
      <c r="R400" s="20" t="s">
        <v>2447</v>
      </c>
      <c r="S400" s="20"/>
      <c r="T400" s="20"/>
      <c r="U400" s="20"/>
      <c r="V400" s="20"/>
    </row>
    <row r="401" spans="2:22" ht="17">
      <c r="B401" s="11" t="s">
        <v>2448</v>
      </c>
      <c r="C401" s="23" t="s">
        <v>33</v>
      </c>
      <c r="D401" s="13" t="s">
        <v>571</v>
      </c>
      <c r="E401" s="24">
        <v>825000</v>
      </c>
      <c r="F401" s="25">
        <f>Table2[[#This Row],[Price]]/Table2[[#This Row],[Tot Ht Area]]</f>
        <v>477.70700636942678</v>
      </c>
      <c r="G401" s="16">
        <v>1727</v>
      </c>
      <c r="H401" s="16">
        <v>2014</v>
      </c>
      <c r="I401" s="17" t="s">
        <v>2449</v>
      </c>
      <c r="J401" s="18" t="s">
        <v>2335</v>
      </c>
      <c r="K401" s="19" t="s">
        <v>37</v>
      </c>
      <c r="L401" s="19" t="s">
        <v>510</v>
      </c>
      <c r="M401" s="19" t="s">
        <v>2450</v>
      </c>
      <c r="N401" s="20" t="s">
        <v>1598</v>
      </c>
      <c r="O401" s="20" t="s">
        <v>27</v>
      </c>
      <c r="P401" s="21" t="s">
        <v>2451</v>
      </c>
      <c r="Q401" s="20" t="s">
        <v>2452</v>
      </c>
      <c r="R401" s="20" t="s">
        <v>2453</v>
      </c>
      <c r="S401" s="20"/>
      <c r="T401" s="20"/>
      <c r="U401" s="20"/>
      <c r="V401" s="20"/>
    </row>
    <row r="402" spans="2:22" ht="17">
      <c r="B402" s="11" t="s">
        <v>2454</v>
      </c>
      <c r="C402" s="23" t="s">
        <v>33</v>
      </c>
      <c r="D402" s="13" t="s">
        <v>745</v>
      </c>
      <c r="E402" s="24">
        <v>1100000</v>
      </c>
      <c r="F402" s="25">
        <f>Table2[[#This Row],[Price]]/Table2[[#This Row],[Tot Ht Area]]</f>
        <v>337.63044812768572</v>
      </c>
      <c r="G402" s="16">
        <v>3258</v>
      </c>
      <c r="H402" s="16">
        <v>4443</v>
      </c>
      <c r="I402" s="17" t="s">
        <v>2455</v>
      </c>
      <c r="J402" s="18" t="s">
        <v>800</v>
      </c>
      <c r="K402" s="19" t="s">
        <v>101</v>
      </c>
      <c r="L402" s="19" t="s">
        <v>510</v>
      </c>
      <c r="M402" s="19" t="s">
        <v>2456</v>
      </c>
      <c r="N402" s="20" t="s">
        <v>1598</v>
      </c>
      <c r="O402" s="20" t="s">
        <v>27</v>
      </c>
      <c r="P402" s="21" t="s">
        <v>2457</v>
      </c>
      <c r="Q402" s="20"/>
      <c r="R402" s="20" t="s">
        <v>2458</v>
      </c>
      <c r="S402" s="20"/>
      <c r="T402" s="20"/>
      <c r="U402" s="20"/>
      <c r="V402" s="20"/>
    </row>
    <row r="403" spans="2:22" ht="17">
      <c r="B403" s="11" t="s">
        <v>2459</v>
      </c>
      <c r="C403" s="23" t="s">
        <v>33</v>
      </c>
      <c r="D403" s="13" t="s">
        <v>658</v>
      </c>
      <c r="E403" s="24">
        <v>2025000</v>
      </c>
      <c r="F403" s="25">
        <f>Table2[[#This Row],[Price]]/Table2[[#This Row],[Tot Ht Area]]</f>
        <v>506.25</v>
      </c>
      <c r="G403" s="16">
        <v>4000</v>
      </c>
      <c r="H403" s="16">
        <v>4400</v>
      </c>
      <c r="I403" s="17" t="s">
        <v>2460</v>
      </c>
      <c r="J403" s="18" t="s">
        <v>1492</v>
      </c>
      <c r="K403" s="19" t="s">
        <v>37</v>
      </c>
      <c r="L403" s="19" t="s">
        <v>628</v>
      </c>
      <c r="M403" s="19" t="s">
        <v>2461</v>
      </c>
      <c r="N403" s="20" t="s">
        <v>1598</v>
      </c>
      <c r="O403" s="20" t="s">
        <v>1812</v>
      </c>
      <c r="P403" s="21" t="s">
        <v>2462</v>
      </c>
      <c r="Q403" s="20" t="s">
        <v>2463</v>
      </c>
      <c r="R403" s="20" t="s">
        <v>2464</v>
      </c>
      <c r="S403" s="20"/>
      <c r="T403" s="20"/>
      <c r="U403" s="20"/>
      <c r="V403" s="20"/>
    </row>
    <row r="404" spans="2:22" ht="51">
      <c r="B404" s="11" t="s">
        <v>2465</v>
      </c>
      <c r="C404" s="23" t="s">
        <v>33</v>
      </c>
      <c r="D404" s="13" t="s">
        <v>336</v>
      </c>
      <c r="E404" s="24">
        <v>100</v>
      </c>
      <c r="F404" s="25">
        <f>Table2[[#This Row],[Price]]/Table2[[#This Row],[Tot Ht Area]]</f>
        <v>2.8312570781426953E-2</v>
      </c>
      <c r="G404" s="16">
        <v>3532</v>
      </c>
      <c r="H404" s="16">
        <v>3900</v>
      </c>
      <c r="I404" s="17" t="s">
        <v>2466</v>
      </c>
      <c r="J404" s="18" t="s">
        <v>36</v>
      </c>
      <c r="K404" s="19" t="s">
        <v>37</v>
      </c>
      <c r="L404" s="19" t="s">
        <v>127</v>
      </c>
      <c r="M404" s="19" t="s">
        <v>2467</v>
      </c>
      <c r="N404" s="20" t="s">
        <v>1598</v>
      </c>
      <c r="O404" s="20" t="s">
        <v>27</v>
      </c>
      <c r="P404" s="21" t="s">
        <v>2468</v>
      </c>
      <c r="Q404" s="20" t="s">
        <v>2469</v>
      </c>
      <c r="R404" s="20" t="s">
        <v>2470</v>
      </c>
      <c r="S404" s="20"/>
      <c r="T404" s="20" t="s">
        <v>6318</v>
      </c>
      <c r="U404" s="20"/>
      <c r="V404" s="20"/>
    </row>
    <row r="405" spans="2:22" ht="34">
      <c r="B405" s="11" t="s">
        <v>2471</v>
      </c>
      <c r="C405" s="23" t="s">
        <v>33</v>
      </c>
      <c r="D405" s="13" t="s">
        <v>474</v>
      </c>
      <c r="E405" s="24">
        <v>2500000</v>
      </c>
      <c r="F405" s="25">
        <f>Table2[[#This Row],[Price]]/Table2[[#This Row],[Tot Ht Area]]</f>
        <v>222.18272307145395</v>
      </c>
      <c r="G405" s="16">
        <v>11252</v>
      </c>
      <c r="H405" s="16">
        <v>13334</v>
      </c>
      <c r="I405" s="17" t="s">
        <v>2472</v>
      </c>
      <c r="J405" s="18" t="s">
        <v>1057</v>
      </c>
      <c r="K405" s="19" t="s">
        <v>48</v>
      </c>
      <c r="L405" s="19" t="s">
        <v>510</v>
      </c>
      <c r="M405" s="19" t="s">
        <v>2473</v>
      </c>
      <c r="N405" s="20" t="s">
        <v>1598</v>
      </c>
      <c r="O405" s="20" t="s">
        <v>27</v>
      </c>
      <c r="P405" s="21" t="s">
        <v>2474</v>
      </c>
      <c r="Q405" s="20" t="s">
        <v>2475</v>
      </c>
      <c r="R405" s="20" t="s">
        <v>2476</v>
      </c>
      <c r="S405" s="20"/>
      <c r="T405" s="20"/>
      <c r="U405" s="20"/>
      <c r="V405" s="20"/>
    </row>
    <row r="406" spans="2:22" ht="51">
      <c r="B406" s="11" t="s">
        <v>2477</v>
      </c>
      <c r="C406" s="23" t="s">
        <v>33</v>
      </c>
      <c r="D406" s="13" t="s">
        <v>285</v>
      </c>
      <c r="E406" s="24">
        <v>1807800</v>
      </c>
      <c r="F406" s="25">
        <f>Table2[[#This Row],[Price]]/Table2[[#This Row],[Tot Ht Area]]</f>
        <v>55.355502480249861</v>
      </c>
      <c r="G406" s="16">
        <v>32658</v>
      </c>
      <c r="H406" s="16">
        <v>38308</v>
      </c>
      <c r="I406" s="17" t="s">
        <v>2478</v>
      </c>
      <c r="J406" s="18" t="s">
        <v>1163</v>
      </c>
      <c r="K406" s="19" t="s">
        <v>101</v>
      </c>
      <c r="L406" s="19" t="s">
        <v>510</v>
      </c>
      <c r="M406" s="19" t="s">
        <v>2479</v>
      </c>
      <c r="N406" s="20" t="s">
        <v>1598</v>
      </c>
      <c r="O406" s="20" t="s">
        <v>27</v>
      </c>
      <c r="P406" s="21" t="s">
        <v>2480</v>
      </c>
      <c r="Q406" s="20"/>
      <c r="R406" s="20" t="s">
        <v>2481</v>
      </c>
      <c r="S406" s="20"/>
      <c r="T406" s="20"/>
      <c r="U406" s="20"/>
      <c r="V406" s="20"/>
    </row>
    <row r="407" spans="2:22" ht="17">
      <c r="B407" s="11" t="s">
        <v>2482</v>
      </c>
      <c r="C407" s="23" t="s">
        <v>33</v>
      </c>
      <c r="D407" s="13" t="s">
        <v>792</v>
      </c>
      <c r="E407" s="24">
        <v>100</v>
      </c>
      <c r="F407" s="25">
        <f>Table2[[#This Row],[Price]]/Table2[[#This Row],[Tot Ht Area]]</f>
        <v>4.8449612403100778E-2</v>
      </c>
      <c r="G407" s="16">
        <v>2064</v>
      </c>
      <c r="H407" s="16">
        <v>2160</v>
      </c>
      <c r="I407" s="17" t="s">
        <v>2483</v>
      </c>
      <c r="J407" s="18" t="s">
        <v>430</v>
      </c>
      <c r="K407" s="19" t="s">
        <v>48</v>
      </c>
      <c r="L407" s="19" t="s">
        <v>573</v>
      </c>
      <c r="M407" s="19" t="s">
        <v>2484</v>
      </c>
      <c r="N407" s="20" t="s">
        <v>1598</v>
      </c>
      <c r="O407" s="20" t="s">
        <v>1812</v>
      </c>
      <c r="P407" s="21" t="s">
        <v>2485</v>
      </c>
      <c r="Q407" s="20" t="s">
        <v>2486</v>
      </c>
      <c r="R407" s="20" t="s">
        <v>2487</v>
      </c>
      <c r="S407" s="20"/>
      <c r="T407" s="20" t="s">
        <v>6318</v>
      </c>
      <c r="U407" s="20"/>
      <c r="V407" s="20"/>
    </row>
    <row r="408" spans="2:22" ht="34">
      <c r="B408" s="11" t="s">
        <v>2488</v>
      </c>
      <c r="C408" s="23" t="s">
        <v>33</v>
      </c>
      <c r="D408" s="13" t="s">
        <v>1441</v>
      </c>
      <c r="E408" s="24">
        <v>1425000</v>
      </c>
      <c r="F408" s="25">
        <f>Table2[[#This Row],[Price]]/Table2[[#This Row],[Tot Ht Area]]</f>
        <v>204.35967302452315</v>
      </c>
      <c r="G408" s="16">
        <v>6973</v>
      </c>
      <c r="H408" s="16">
        <v>7991</v>
      </c>
      <c r="I408" s="17" t="s">
        <v>2489</v>
      </c>
      <c r="J408" s="18" t="s">
        <v>135</v>
      </c>
      <c r="K408" s="19" t="s">
        <v>48</v>
      </c>
      <c r="L408" s="19" t="s">
        <v>628</v>
      </c>
      <c r="M408" s="19" t="s">
        <v>2490</v>
      </c>
      <c r="N408" s="20" t="s">
        <v>1598</v>
      </c>
      <c r="O408" s="20" t="s">
        <v>27</v>
      </c>
      <c r="P408" s="21" t="s">
        <v>2491</v>
      </c>
      <c r="Q408" s="20"/>
      <c r="R408" s="20" t="s">
        <v>2492</v>
      </c>
      <c r="S408" s="20"/>
      <c r="T408" s="20"/>
      <c r="U408" s="20"/>
      <c r="V408" s="20"/>
    </row>
    <row r="409" spans="2:22" ht="34">
      <c r="B409" s="11" t="s">
        <v>2493</v>
      </c>
      <c r="C409" s="23" t="s">
        <v>33</v>
      </c>
      <c r="D409" s="13" t="s">
        <v>90</v>
      </c>
      <c r="E409" s="24">
        <v>100</v>
      </c>
      <c r="F409" s="25">
        <f>Table2[[#This Row],[Price]]/Table2[[#This Row],[Tot Ht Area]]</f>
        <v>2.1186440677966101E-2</v>
      </c>
      <c r="G409" s="16">
        <v>4720</v>
      </c>
      <c r="H409" s="16">
        <v>4855</v>
      </c>
      <c r="I409" s="17" t="s">
        <v>2494</v>
      </c>
      <c r="J409" s="18" t="s">
        <v>518</v>
      </c>
      <c r="K409" s="19" t="s">
        <v>101</v>
      </c>
      <c r="L409" s="19" t="s">
        <v>143</v>
      </c>
      <c r="M409" s="19" t="s">
        <v>2495</v>
      </c>
      <c r="N409" s="20" t="s">
        <v>1598</v>
      </c>
      <c r="O409" s="20" t="s">
        <v>1812</v>
      </c>
      <c r="P409" s="21" t="s">
        <v>2496</v>
      </c>
      <c r="Q409" s="20" t="s">
        <v>2497</v>
      </c>
      <c r="R409" s="20" t="s">
        <v>2498</v>
      </c>
      <c r="S409" s="20"/>
      <c r="T409" s="20" t="s">
        <v>6318</v>
      </c>
      <c r="U409" s="20"/>
      <c r="V409" s="20"/>
    </row>
    <row r="410" spans="2:22" ht="68">
      <c r="B410" s="11" t="s">
        <v>2499</v>
      </c>
      <c r="C410" s="23" t="s">
        <v>33</v>
      </c>
      <c r="D410" s="13" t="s">
        <v>64</v>
      </c>
      <c r="E410" s="24">
        <v>10221900</v>
      </c>
      <c r="F410" s="25">
        <f>Table2[[#This Row],[Price]]/Table2[[#This Row],[Tot Ht Area]]</f>
        <v>5018.1148748159058</v>
      </c>
      <c r="G410" s="16">
        <v>2037</v>
      </c>
      <c r="H410" s="16">
        <v>2783</v>
      </c>
      <c r="I410" s="17" t="s">
        <v>524</v>
      </c>
      <c r="J410" s="18" t="s">
        <v>278</v>
      </c>
      <c r="K410" s="19" t="s">
        <v>48</v>
      </c>
      <c r="L410" s="19" t="s">
        <v>143</v>
      </c>
      <c r="M410" s="19" t="s">
        <v>2500</v>
      </c>
      <c r="N410" s="20" t="s">
        <v>1598</v>
      </c>
      <c r="O410" s="20" t="s">
        <v>27</v>
      </c>
      <c r="P410" s="21" t="s">
        <v>2501</v>
      </c>
      <c r="Q410" s="20" t="s">
        <v>2502</v>
      </c>
      <c r="R410" s="20" t="s">
        <v>2503</v>
      </c>
      <c r="S410" s="20"/>
      <c r="T410" s="20"/>
      <c r="U410" s="20"/>
      <c r="V410" s="20"/>
    </row>
    <row r="411" spans="2:22" ht="17">
      <c r="B411" s="11" t="s">
        <v>2504</v>
      </c>
      <c r="C411" s="23" t="s">
        <v>33</v>
      </c>
      <c r="D411" s="13" t="s">
        <v>722</v>
      </c>
      <c r="E411" s="24">
        <v>100</v>
      </c>
      <c r="F411" s="25">
        <f>Table2[[#This Row],[Price]]/Table2[[#This Row],[Tot Ht Area]]</f>
        <v>3.2530904359141181E-2</v>
      </c>
      <c r="G411" s="16">
        <v>3074</v>
      </c>
      <c r="H411" s="16">
        <v>6148</v>
      </c>
      <c r="I411" s="17" t="s">
        <v>2505</v>
      </c>
      <c r="J411" s="18" t="s">
        <v>66</v>
      </c>
      <c r="K411" s="19" t="s">
        <v>101</v>
      </c>
      <c r="L411" s="19" t="s">
        <v>38</v>
      </c>
      <c r="M411" s="19" t="s">
        <v>2506</v>
      </c>
      <c r="N411" s="20" t="s">
        <v>1598</v>
      </c>
      <c r="O411" s="20" t="s">
        <v>27</v>
      </c>
      <c r="P411" s="21" t="s">
        <v>2507</v>
      </c>
      <c r="Q411" s="20" t="s">
        <v>2508</v>
      </c>
      <c r="R411" s="20" t="s">
        <v>2509</v>
      </c>
      <c r="S411" s="20"/>
      <c r="T411" s="20" t="s">
        <v>6318</v>
      </c>
      <c r="U411" s="20"/>
      <c r="V411" s="20"/>
    </row>
    <row r="412" spans="2:22" ht="17">
      <c r="B412" s="11" t="s">
        <v>2510</v>
      </c>
      <c r="C412" s="23" t="s">
        <v>33</v>
      </c>
      <c r="D412" s="13" t="s">
        <v>223</v>
      </c>
      <c r="E412" s="24">
        <v>925000</v>
      </c>
      <c r="F412" s="25">
        <f>Table2[[#This Row],[Price]]/Table2[[#This Row],[Tot Ht Area]]</f>
        <v>343.61069836552747</v>
      </c>
      <c r="G412" s="16">
        <v>2692</v>
      </c>
      <c r="H412" s="16">
        <v>2762</v>
      </c>
      <c r="I412" s="17" t="s">
        <v>2511</v>
      </c>
      <c r="J412" s="18" t="s">
        <v>2512</v>
      </c>
      <c r="K412" s="19" t="s">
        <v>37</v>
      </c>
      <c r="L412" s="19" t="s">
        <v>665</v>
      </c>
      <c r="M412" s="19" t="s">
        <v>2513</v>
      </c>
      <c r="N412" s="20" t="s">
        <v>1598</v>
      </c>
      <c r="O412" s="20" t="s">
        <v>27</v>
      </c>
      <c r="P412" s="21" t="s">
        <v>2514</v>
      </c>
      <c r="Q412" s="20"/>
      <c r="R412" s="20" t="s">
        <v>2515</v>
      </c>
      <c r="S412" s="20"/>
      <c r="T412" s="20"/>
      <c r="U412" s="20"/>
      <c r="V412" s="20"/>
    </row>
    <row r="413" spans="2:22" ht="17">
      <c r="B413" s="11" t="s">
        <v>2516</v>
      </c>
      <c r="C413" s="23" t="s">
        <v>33</v>
      </c>
      <c r="D413" s="13" t="s">
        <v>722</v>
      </c>
      <c r="E413" s="24">
        <v>726000</v>
      </c>
      <c r="F413" s="25">
        <f>Table2[[#This Row],[Price]]/Table2[[#This Row],[Tot Ht Area]]</f>
        <v>321.52347209920282</v>
      </c>
      <c r="G413" s="16">
        <v>2258</v>
      </c>
      <c r="H413" s="16">
        <v>2276</v>
      </c>
      <c r="I413" s="17" t="s">
        <v>2517</v>
      </c>
      <c r="J413" s="18" t="s">
        <v>2518</v>
      </c>
      <c r="K413" s="19" t="s">
        <v>37</v>
      </c>
      <c r="L413" s="19" t="s">
        <v>102</v>
      </c>
      <c r="M413" s="19" t="s">
        <v>2519</v>
      </c>
      <c r="N413" s="20" t="s">
        <v>1598</v>
      </c>
      <c r="O413" s="20" t="s">
        <v>27</v>
      </c>
      <c r="P413" s="21" t="s">
        <v>2520</v>
      </c>
      <c r="Q413" s="20"/>
      <c r="R413" s="20" t="s">
        <v>2521</v>
      </c>
      <c r="S413" s="20"/>
      <c r="T413" s="20"/>
      <c r="U413" s="20"/>
      <c r="V413" s="20"/>
    </row>
    <row r="414" spans="2:22" ht="17">
      <c r="B414" s="11" t="s">
        <v>2522</v>
      </c>
      <c r="C414" s="23" t="s">
        <v>33</v>
      </c>
      <c r="D414" s="13" t="s">
        <v>90</v>
      </c>
      <c r="E414" s="24">
        <v>1465000</v>
      </c>
      <c r="F414" s="25">
        <f>Table2[[#This Row],[Price]]/Table2[[#This Row],[Tot Ht Area]]</f>
        <v>301.99958771387344</v>
      </c>
      <c r="G414" s="16">
        <v>4851</v>
      </c>
      <c r="H414" s="16">
        <v>5514</v>
      </c>
      <c r="I414" s="17" t="s">
        <v>2523</v>
      </c>
      <c r="J414" s="18" t="s">
        <v>379</v>
      </c>
      <c r="K414" s="19" t="s">
        <v>101</v>
      </c>
      <c r="L414" s="19" t="s">
        <v>38</v>
      </c>
      <c r="M414" s="19" t="s">
        <v>2524</v>
      </c>
      <c r="N414" s="20" t="s">
        <v>1598</v>
      </c>
      <c r="O414" s="20" t="s">
        <v>27</v>
      </c>
      <c r="P414" s="21" t="s">
        <v>2525</v>
      </c>
      <c r="Q414" s="20"/>
      <c r="R414" s="20" t="s">
        <v>2526</v>
      </c>
      <c r="S414" s="20"/>
      <c r="T414" s="20"/>
      <c r="U414" s="20"/>
      <c r="V414" s="20"/>
    </row>
    <row r="415" spans="2:22" ht="34">
      <c r="B415" s="11" t="s">
        <v>2527</v>
      </c>
      <c r="C415" s="23" t="s">
        <v>33</v>
      </c>
      <c r="D415" s="13" t="s">
        <v>108</v>
      </c>
      <c r="E415" s="24">
        <v>926300</v>
      </c>
      <c r="F415" s="25">
        <f>Table2[[#This Row],[Price]]/Table2[[#This Row],[Tot Ht Area]]</f>
        <v>423.3546617915905</v>
      </c>
      <c r="G415" s="16">
        <v>2188</v>
      </c>
      <c r="H415" s="16">
        <v>3000</v>
      </c>
      <c r="I415" s="17" t="s">
        <v>2528</v>
      </c>
      <c r="J415" s="18" t="s">
        <v>1163</v>
      </c>
      <c r="K415" s="19" t="s">
        <v>48</v>
      </c>
      <c r="L415" s="19" t="s">
        <v>143</v>
      </c>
      <c r="M415" s="19" t="s">
        <v>2529</v>
      </c>
      <c r="N415" s="20" t="s">
        <v>1598</v>
      </c>
      <c r="O415" s="20" t="s">
        <v>27</v>
      </c>
      <c r="P415" s="21" t="s">
        <v>2530</v>
      </c>
      <c r="Q415" s="20" t="s">
        <v>2531</v>
      </c>
      <c r="R415" s="20" t="s">
        <v>2532</v>
      </c>
      <c r="S415" s="20"/>
      <c r="T415" s="20"/>
      <c r="U415" s="20"/>
      <c r="V415" s="20"/>
    </row>
    <row r="416" spans="2:22" ht="34">
      <c r="B416" s="11" t="s">
        <v>2533</v>
      </c>
      <c r="C416" s="23" t="s">
        <v>33</v>
      </c>
      <c r="D416" s="13" t="s">
        <v>73</v>
      </c>
      <c r="E416" s="24">
        <v>735000</v>
      </c>
      <c r="F416" s="25">
        <f>Table2[[#This Row],[Price]]/Table2[[#This Row],[Tot Ht Area]]</f>
        <v>350</v>
      </c>
      <c r="G416" s="16">
        <v>2100</v>
      </c>
      <c r="H416" s="16">
        <v>2250</v>
      </c>
      <c r="I416" s="17" t="s">
        <v>2534</v>
      </c>
      <c r="J416" s="18" t="s">
        <v>1492</v>
      </c>
      <c r="K416" s="19" t="s">
        <v>37</v>
      </c>
      <c r="L416" s="19" t="s">
        <v>2535</v>
      </c>
      <c r="M416" s="19" t="s">
        <v>2536</v>
      </c>
      <c r="N416" s="20" t="s">
        <v>1598</v>
      </c>
      <c r="O416" s="20" t="s">
        <v>27</v>
      </c>
      <c r="P416" s="21" t="s">
        <v>2537</v>
      </c>
      <c r="Q416" s="20"/>
      <c r="R416" s="20" t="s">
        <v>2538</v>
      </c>
      <c r="S416" s="20"/>
      <c r="T416" s="20"/>
      <c r="U416" s="20"/>
      <c r="V416" s="20"/>
    </row>
    <row r="417" spans="2:22" ht="17">
      <c r="B417" s="11" t="s">
        <v>2539</v>
      </c>
      <c r="C417" s="23" t="s">
        <v>33</v>
      </c>
      <c r="D417" s="13" t="s">
        <v>45</v>
      </c>
      <c r="E417" s="24">
        <v>625000</v>
      </c>
      <c r="F417" s="25">
        <f>Table2[[#This Row],[Price]]/Table2[[#This Row],[Tot Ht Area]]</f>
        <v>522.1386800334169</v>
      </c>
      <c r="G417" s="16">
        <v>1197</v>
      </c>
      <c r="H417" s="16">
        <v>3663</v>
      </c>
      <c r="I417" s="17" t="s">
        <v>2540</v>
      </c>
      <c r="J417" s="18" t="s">
        <v>518</v>
      </c>
      <c r="K417" s="19" t="s">
        <v>37</v>
      </c>
      <c r="L417" s="19" t="s">
        <v>2535</v>
      </c>
      <c r="M417" s="19" t="s">
        <v>2541</v>
      </c>
      <c r="N417" s="20" t="s">
        <v>1598</v>
      </c>
      <c r="O417" s="20" t="s">
        <v>27</v>
      </c>
      <c r="P417" s="21" t="s">
        <v>2542</v>
      </c>
      <c r="Q417" s="20" t="s">
        <v>2543</v>
      </c>
      <c r="R417" s="20" t="s">
        <v>2544</v>
      </c>
      <c r="S417" s="20"/>
      <c r="T417" s="20"/>
      <c r="U417" s="20"/>
      <c r="V417" s="20"/>
    </row>
    <row r="418" spans="2:22" ht="51">
      <c r="B418" s="11" t="s">
        <v>2545</v>
      </c>
      <c r="C418" s="23" t="s">
        <v>33</v>
      </c>
      <c r="D418" s="13" t="s">
        <v>436</v>
      </c>
      <c r="E418" s="24">
        <v>100</v>
      </c>
      <c r="F418" s="25">
        <f>Table2[[#This Row],[Price]]/Table2[[#This Row],[Tot Ht Area]]</f>
        <v>4.084967320261438E-2</v>
      </c>
      <c r="G418" s="16">
        <v>2448</v>
      </c>
      <c r="H418" s="16">
        <v>2448</v>
      </c>
      <c r="I418" s="17" t="s">
        <v>2546</v>
      </c>
      <c r="J418" s="18" t="s">
        <v>599</v>
      </c>
      <c r="K418" s="19" t="s">
        <v>37</v>
      </c>
      <c r="L418" s="19" t="s">
        <v>2547</v>
      </c>
      <c r="M418" s="19" t="s">
        <v>2548</v>
      </c>
      <c r="N418" s="20" t="s">
        <v>1598</v>
      </c>
      <c r="O418" s="20" t="s">
        <v>27</v>
      </c>
      <c r="P418" s="21" t="s">
        <v>2549</v>
      </c>
      <c r="Q418" s="20" t="s">
        <v>2550</v>
      </c>
      <c r="R418" s="20" t="s">
        <v>2551</v>
      </c>
      <c r="S418" s="20"/>
      <c r="T418" s="20" t="s">
        <v>6318</v>
      </c>
      <c r="U418" s="20"/>
      <c r="V418" s="20"/>
    </row>
    <row r="419" spans="2:22" ht="17">
      <c r="B419" s="11" t="s">
        <v>2552</v>
      </c>
      <c r="C419" s="23" t="s">
        <v>33</v>
      </c>
      <c r="D419" s="13" t="s">
        <v>330</v>
      </c>
      <c r="E419" s="24">
        <v>380000</v>
      </c>
      <c r="F419" s="25">
        <f>Table2[[#This Row],[Price]]/Table2[[#This Row],[Tot Ht Area]]</f>
        <v>193.87755102040816</v>
      </c>
      <c r="G419" s="16">
        <v>1960</v>
      </c>
      <c r="H419" s="16">
        <v>2520</v>
      </c>
      <c r="I419" s="17" t="s">
        <v>2553</v>
      </c>
      <c r="J419" s="18" t="s">
        <v>187</v>
      </c>
      <c r="K419" s="19" t="s">
        <v>37</v>
      </c>
      <c r="L419" s="19" t="s">
        <v>194</v>
      </c>
      <c r="M419" s="19" t="s">
        <v>2554</v>
      </c>
      <c r="N419" s="20" t="s">
        <v>1598</v>
      </c>
      <c r="O419" s="20" t="s">
        <v>27</v>
      </c>
      <c r="P419" s="21" t="s">
        <v>2555</v>
      </c>
      <c r="Q419" s="20"/>
      <c r="R419" s="20" t="s">
        <v>2556</v>
      </c>
      <c r="S419" s="20"/>
      <c r="T419" s="20"/>
      <c r="U419" s="20"/>
      <c r="V419" s="20"/>
    </row>
    <row r="420" spans="2:22" ht="17">
      <c r="B420" s="11" t="s">
        <v>2557</v>
      </c>
      <c r="C420" s="23" t="s">
        <v>33</v>
      </c>
      <c r="D420" s="13" t="s">
        <v>428</v>
      </c>
      <c r="E420" s="24">
        <v>683000</v>
      </c>
      <c r="F420" s="25">
        <f>Table2[[#This Row],[Price]]/Table2[[#This Row],[Tot Ht Area]]</f>
        <v>128.98961284230407</v>
      </c>
      <c r="G420" s="16">
        <v>5295</v>
      </c>
      <c r="H420" s="16">
        <v>5295</v>
      </c>
      <c r="I420" s="17" t="s">
        <v>2558</v>
      </c>
      <c r="J420" s="18" t="s">
        <v>800</v>
      </c>
      <c r="K420" s="19" t="s">
        <v>37</v>
      </c>
      <c r="L420" s="19" t="s">
        <v>366</v>
      </c>
      <c r="M420" s="19" t="s">
        <v>2559</v>
      </c>
      <c r="N420" s="20" t="s">
        <v>1598</v>
      </c>
      <c r="O420" s="20" t="s">
        <v>27</v>
      </c>
      <c r="P420" s="21" t="s">
        <v>2560</v>
      </c>
      <c r="Q420" s="20" t="s">
        <v>2561</v>
      </c>
      <c r="R420" s="20" t="s">
        <v>2562</v>
      </c>
      <c r="S420" s="20"/>
      <c r="T420" s="20"/>
      <c r="U420" s="20"/>
      <c r="V420" s="20"/>
    </row>
    <row r="421" spans="2:22" ht="34">
      <c r="B421" s="11" t="s">
        <v>2563</v>
      </c>
      <c r="C421" s="23" t="s">
        <v>33</v>
      </c>
      <c r="D421" s="13" t="s">
        <v>1641</v>
      </c>
      <c r="E421" s="24">
        <v>2270000</v>
      </c>
      <c r="F421" s="25">
        <f>Table2[[#This Row],[Price]]/Table2[[#This Row],[Tot Ht Area]]</f>
        <v>151.20229134749883</v>
      </c>
      <c r="G421" s="16">
        <v>15013</v>
      </c>
      <c r="H421" s="16">
        <v>23483</v>
      </c>
      <c r="I421" s="17" t="s">
        <v>2564</v>
      </c>
      <c r="J421" s="18" t="s">
        <v>309</v>
      </c>
      <c r="K421" s="19" t="s">
        <v>101</v>
      </c>
      <c r="L421" s="19" t="s">
        <v>484</v>
      </c>
      <c r="M421" s="19" t="s">
        <v>2565</v>
      </c>
      <c r="N421" s="20" t="s">
        <v>1598</v>
      </c>
      <c r="O421" s="20" t="s">
        <v>27</v>
      </c>
      <c r="P421" s="21" t="s">
        <v>2566</v>
      </c>
      <c r="Q421" s="20"/>
      <c r="R421" s="20" t="s">
        <v>2567</v>
      </c>
      <c r="S421" s="20"/>
      <c r="T421" s="20"/>
      <c r="U421" s="20"/>
      <c r="V421" s="20"/>
    </row>
    <row r="422" spans="2:22" ht="17">
      <c r="B422" s="11" t="s">
        <v>2568</v>
      </c>
      <c r="C422" s="23" t="s">
        <v>33</v>
      </c>
      <c r="D422" s="13" t="s">
        <v>90</v>
      </c>
      <c r="E422" s="24">
        <v>1400000</v>
      </c>
      <c r="F422" s="25">
        <f>Table2[[#This Row],[Price]]/Table2[[#This Row],[Tot Ht Area]]</f>
        <v>204.20070011668611</v>
      </c>
      <c r="G422" s="16">
        <v>6856</v>
      </c>
      <c r="H422" s="16">
        <v>8571</v>
      </c>
      <c r="I422" s="17" t="s">
        <v>1843</v>
      </c>
      <c r="J422" s="18" t="s">
        <v>2133</v>
      </c>
      <c r="K422" s="19" t="s">
        <v>37</v>
      </c>
      <c r="L422" s="19" t="s">
        <v>484</v>
      </c>
      <c r="M422" s="19" t="s">
        <v>2569</v>
      </c>
      <c r="N422" s="20" t="s">
        <v>1598</v>
      </c>
      <c r="O422" s="20" t="s">
        <v>27</v>
      </c>
      <c r="P422" s="21" t="s">
        <v>1846</v>
      </c>
      <c r="Q422" s="20"/>
      <c r="R422" s="20" t="s">
        <v>2570</v>
      </c>
      <c r="S422" s="20"/>
      <c r="T422" s="20"/>
      <c r="U422" s="20"/>
      <c r="V422" s="20"/>
    </row>
    <row r="423" spans="2:22" ht="34">
      <c r="B423" s="11" t="s">
        <v>2571</v>
      </c>
      <c r="C423" s="23" t="s">
        <v>33</v>
      </c>
      <c r="D423" s="13" t="s">
        <v>686</v>
      </c>
      <c r="E423" s="24">
        <v>185700</v>
      </c>
      <c r="F423" s="25">
        <f>Table2[[#This Row],[Price]]/Table2[[#This Row],[Tot Ht Area]]</f>
        <v>85.105407882676445</v>
      </c>
      <c r="G423" s="16">
        <v>2182</v>
      </c>
      <c r="H423" s="16">
        <v>2224</v>
      </c>
      <c r="I423" s="17" t="s">
        <v>2572</v>
      </c>
      <c r="J423" s="18" t="s">
        <v>1430</v>
      </c>
      <c r="K423" s="19" t="s">
        <v>37</v>
      </c>
      <c r="L423" s="19" t="s">
        <v>366</v>
      </c>
      <c r="M423" s="19" t="s">
        <v>2573</v>
      </c>
      <c r="N423" s="20" t="s">
        <v>1598</v>
      </c>
      <c r="O423" s="20" t="s">
        <v>27</v>
      </c>
      <c r="P423" s="21" t="s">
        <v>2574</v>
      </c>
      <c r="Q423" s="20"/>
      <c r="R423" s="20" t="s">
        <v>2575</v>
      </c>
      <c r="S423" s="20"/>
      <c r="T423" s="20"/>
      <c r="U423" s="20"/>
      <c r="V423" s="20"/>
    </row>
    <row r="424" spans="2:22" ht="34">
      <c r="B424" s="11" t="s">
        <v>2576</v>
      </c>
      <c r="C424" s="23" t="s">
        <v>33</v>
      </c>
      <c r="D424" s="13" t="s">
        <v>686</v>
      </c>
      <c r="E424" s="24">
        <v>8586100</v>
      </c>
      <c r="F424" s="25">
        <f>Table2[[#This Row],[Price]]/Table2[[#This Row],[Tot Ht Area]]</f>
        <v>137.43477286551206</v>
      </c>
      <c r="G424" s="16">
        <v>62474</v>
      </c>
      <c r="H424" s="16">
        <v>64827</v>
      </c>
      <c r="I424" s="17" t="s">
        <v>2577</v>
      </c>
      <c r="J424" s="18" t="s">
        <v>1057</v>
      </c>
      <c r="K424" s="19" t="s">
        <v>101</v>
      </c>
      <c r="L424" s="19" t="s">
        <v>401</v>
      </c>
      <c r="M424" s="19" t="s">
        <v>2578</v>
      </c>
      <c r="N424" s="20" t="s">
        <v>1598</v>
      </c>
      <c r="O424" s="20" t="s">
        <v>27</v>
      </c>
      <c r="P424" s="21" t="s">
        <v>2579</v>
      </c>
      <c r="Q424" s="20"/>
      <c r="R424" s="20" t="s">
        <v>2580</v>
      </c>
      <c r="S424" s="20"/>
      <c r="T424" s="20"/>
      <c r="U424" s="20"/>
      <c r="V424" s="20"/>
    </row>
    <row r="425" spans="2:22" ht="17">
      <c r="B425" s="11" t="s">
        <v>2581</v>
      </c>
      <c r="C425" s="23" t="s">
        <v>33</v>
      </c>
      <c r="D425" s="13" t="s">
        <v>322</v>
      </c>
      <c r="E425" s="24">
        <v>1600000</v>
      </c>
      <c r="F425" s="25">
        <f>Table2[[#This Row],[Price]]/Table2[[#This Row],[Tot Ht Area]]</f>
        <v>223.30774598743895</v>
      </c>
      <c r="G425" s="16">
        <v>7165</v>
      </c>
      <c r="H425" s="16">
        <v>7234</v>
      </c>
      <c r="I425" s="17" t="s">
        <v>2582</v>
      </c>
      <c r="J425" s="18" t="s">
        <v>75</v>
      </c>
      <c r="K425" s="19" t="s">
        <v>101</v>
      </c>
      <c r="L425" s="19" t="s">
        <v>38</v>
      </c>
      <c r="M425" s="19" t="s">
        <v>2583</v>
      </c>
      <c r="N425" s="20" t="s">
        <v>1598</v>
      </c>
      <c r="O425" s="20" t="s">
        <v>27</v>
      </c>
      <c r="P425" s="21" t="s">
        <v>2584</v>
      </c>
      <c r="Q425" s="20"/>
      <c r="R425" s="20" t="s">
        <v>2585</v>
      </c>
      <c r="S425" s="20"/>
      <c r="T425" s="20"/>
      <c r="U425" s="20"/>
      <c r="V425" s="20"/>
    </row>
    <row r="426" spans="2:22" ht="17">
      <c r="B426" s="11" t="s">
        <v>2586</v>
      </c>
      <c r="C426" s="23" t="s">
        <v>33</v>
      </c>
      <c r="D426" s="13" t="s">
        <v>285</v>
      </c>
      <c r="E426" s="24">
        <v>100</v>
      </c>
      <c r="F426" s="25">
        <f>Table2[[#This Row],[Price]]/Table2[[#This Row],[Tot Ht Area]]</f>
        <v>1.2365524916532707E-2</v>
      </c>
      <c r="G426" s="16">
        <v>8087</v>
      </c>
      <c r="H426" s="16">
        <v>8478</v>
      </c>
      <c r="I426" s="17" t="s">
        <v>2587</v>
      </c>
      <c r="J426" s="18" t="s">
        <v>2588</v>
      </c>
      <c r="K426" s="19" t="s">
        <v>37</v>
      </c>
      <c r="L426" s="19" t="s">
        <v>38</v>
      </c>
      <c r="M426" s="19" t="s">
        <v>2589</v>
      </c>
      <c r="N426" s="20" t="s">
        <v>1598</v>
      </c>
      <c r="O426" s="20" t="s">
        <v>27</v>
      </c>
      <c r="P426" s="21" t="s">
        <v>2590</v>
      </c>
      <c r="Q426" s="20"/>
      <c r="R426" s="20" t="s">
        <v>2591</v>
      </c>
      <c r="S426" s="20"/>
      <c r="T426" s="20" t="s">
        <v>6318</v>
      </c>
      <c r="U426" s="20"/>
      <c r="V426" s="20"/>
    </row>
    <row r="427" spans="2:22" ht="17">
      <c r="B427" s="11" t="s">
        <v>2592</v>
      </c>
      <c r="C427" s="23" t="s">
        <v>33</v>
      </c>
      <c r="D427" s="13" t="s">
        <v>276</v>
      </c>
      <c r="E427" s="24">
        <v>3000000</v>
      </c>
      <c r="F427" s="25">
        <f>Table2[[#This Row],[Price]]/Table2[[#This Row],[Tot Ht Area]]</f>
        <v>276.44673792849244</v>
      </c>
      <c r="G427" s="16">
        <v>10852</v>
      </c>
      <c r="H427" s="16">
        <v>11196</v>
      </c>
      <c r="I427" s="17" t="s">
        <v>2593</v>
      </c>
      <c r="J427" s="18" t="s">
        <v>1624</v>
      </c>
      <c r="K427" s="19" t="s">
        <v>101</v>
      </c>
      <c r="L427" s="19" t="s">
        <v>38</v>
      </c>
      <c r="M427" s="19" t="s">
        <v>2594</v>
      </c>
      <c r="N427" s="20" t="s">
        <v>1598</v>
      </c>
      <c r="O427" s="20" t="s">
        <v>27</v>
      </c>
      <c r="P427" s="21" t="s">
        <v>2595</v>
      </c>
      <c r="Q427" s="20" t="s">
        <v>2596</v>
      </c>
      <c r="R427" s="20" t="s">
        <v>2597</v>
      </c>
      <c r="S427" s="20"/>
      <c r="T427" s="20"/>
      <c r="U427" s="20"/>
      <c r="V427" s="20"/>
    </row>
    <row r="428" spans="2:22" ht="17">
      <c r="B428" s="11" t="s">
        <v>2598</v>
      </c>
      <c r="C428" s="23" t="s">
        <v>33</v>
      </c>
      <c r="D428" s="13" t="s">
        <v>407</v>
      </c>
      <c r="E428" s="24">
        <v>100</v>
      </c>
      <c r="F428" s="25">
        <f>Table2[[#This Row],[Price]]/Table2[[#This Row],[Tot Ht Area]]</f>
        <v>4.4563279857397504E-2</v>
      </c>
      <c r="G428" s="16">
        <v>2244</v>
      </c>
      <c r="H428" s="16">
        <v>2363</v>
      </c>
      <c r="I428" s="17" t="s">
        <v>2599</v>
      </c>
      <c r="J428" s="18" t="s">
        <v>2218</v>
      </c>
      <c r="K428" s="19" t="s">
        <v>37</v>
      </c>
      <c r="L428" s="19" t="s">
        <v>143</v>
      </c>
      <c r="M428" s="19" t="s">
        <v>2600</v>
      </c>
      <c r="N428" s="20" t="s">
        <v>1598</v>
      </c>
      <c r="O428" s="20" t="s">
        <v>27</v>
      </c>
      <c r="P428" s="21" t="s">
        <v>2601</v>
      </c>
      <c r="Q428" s="20"/>
      <c r="R428" s="20" t="s">
        <v>2602</v>
      </c>
      <c r="S428" s="20"/>
      <c r="T428" s="20" t="s">
        <v>6318</v>
      </c>
      <c r="U428" s="20"/>
      <c r="V428" s="20"/>
    </row>
    <row r="429" spans="2:22" ht="34">
      <c r="B429" s="11" t="s">
        <v>2603</v>
      </c>
      <c r="C429" s="23" t="s">
        <v>33</v>
      </c>
      <c r="D429" s="13" t="s">
        <v>702</v>
      </c>
      <c r="E429" s="24"/>
      <c r="F429" s="25">
        <f>Table2[[#This Row],[Price]]/Table2[[#This Row],[Tot Ht Area]]</f>
        <v>0</v>
      </c>
      <c r="G429" s="16">
        <v>3057</v>
      </c>
      <c r="H429" s="16">
        <v>3882</v>
      </c>
      <c r="I429" s="17" t="s">
        <v>2604</v>
      </c>
      <c r="J429" s="18" t="s">
        <v>379</v>
      </c>
      <c r="K429" s="19" t="s">
        <v>101</v>
      </c>
      <c r="L429" s="19" t="s">
        <v>620</v>
      </c>
      <c r="M429" s="19" t="s">
        <v>2605</v>
      </c>
      <c r="N429" s="20" t="s">
        <v>1598</v>
      </c>
      <c r="O429" s="20" t="s">
        <v>27</v>
      </c>
      <c r="P429" s="21" t="s">
        <v>2606</v>
      </c>
      <c r="Q429" s="20"/>
      <c r="R429" s="20" t="s">
        <v>2607</v>
      </c>
      <c r="S429" s="20"/>
      <c r="T429" s="20"/>
      <c r="U429" s="20"/>
      <c r="V429" s="20"/>
    </row>
    <row r="430" spans="2:22" ht="34">
      <c r="B430" s="11" t="s">
        <v>2608</v>
      </c>
      <c r="C430" s="23" t="s">
        <v>33</v>
      </c>
      <c r="D430" s="13" t="s">
        <v>611</v>
      </c>
      <c r="E430" s="24">
        <v>1010000</v>
      </c>
      <c r="F430" s="25">
        <f>Table2[[#This Row],[Price]]/Table2[[#This Row],[Tot Ht Area]]</f>
        <v>148.96755162241888</v>
      </c>
      <c r="G430" s="16">
        <v>6780</v>
      </c>
      <c r="H430" s="16">
        <v>7096</v>
      </c>
      <c r="I430" s="17" t="s">
        <v>2609</v>
      </c>
      <c r="J430" s="18" t="s">
        <v>135</v>
      </c>
      <c r="K430" s="19" t="s">
        <v>37</v>
      </c>
      <c r="L430" s="19" t="s">
        <v>620</v>
      </c>
      <c r="M430" s="19" t="s">
        <v>2610</v>
      </c>
      <c r="N430" s="20" t="s">
        <v>1598</v>
      </c>
      <c r="O430" s="20" t="s">
        <v>27</v>
      </c>
      <c r="P430" s="21" t="s">
        <v>2611</v>
      </c>
      <c r="Q430" s="20"/>
      <c r="R430" s="20" t="s">
        <v>2612</v>
      </c>
      <c r="S430" s="20"/>
      <c r="T430" s="20"/>
      <c r="U430" s="20"/>
      <c r="V430" s="20"/>
    </row>
    <row r="431" spans="2:22" ht="17">
      <c r="B431" s="11" t="s">
        <v>2613</v>
      </c>
      <c r="C431" s="23" t="s">
        <v>33</v>
      </c>
      <c r="D431" s="13" t="s">
        <v>73</v>
      </c>
      <c r="E431" s="24">
        <v>700000</v>
      </c>
      <c r="F431" s="25">
        <f>Table2[[#This Row],[Price]]/Table2[[#This Row],[Tot Ht Area]]</f>
        <v>270.06172839506172</v>
      </c>
      <c r="G431" s="16">
        <v>2592</v>
      </c>
      <c r="H431" s="16">
        <v>2840</v>
      </c>
      <c r="I431" s="17" t="s">
        <v>2614</v>
      </c>
      <c r="J431" s="18" t="s">
        <v>430</v>
      </c>
      <c r="K431" s="19" t="s">
        <v>37</v>
      </c>
      <c r="L431" s="19" t="s">
        <v>143</v>
      </c>
      <c r="M431" s="19" t="s">
        <v>2615</v>
      </c>
      <c r="N431" s="20" t="s">
        <v>1598</v>
      </c>
      <c r="O431" s="20" t="s">
        <v>27</v>
      </c>
      <c r="P431" s="21" t="s">
        <v>2616</v>
      </c>
      <c r="Q431" s="20"/>
      <c r="R431" s="20" t="s">
        <v>2617</v>
      </c>
      <c r="S431" s="20"/>
      <c r="T431" s="20"/>
      <c r="U431" s="20"/>
      <c r="V431" s="20"/>
    </row>
    <row r="432" spans="2:22" ht="34">
      <c r="B432" s="11" t="s">
        <v>2618</v>
      </c>
      <c r="C432" s="23" t="s">
        <v>33</v>
      </c>
      <c r="D432" s="13" t="s">
        <v>21</v>
      </c>
      <c r="E432" s="24">
        <v>365800</v>
      </c>
      <c r="F432" s="25">
        <f>Table2[[#This Row],[Price]]/Table2[[#This Row],[Tot Ht Area]]</f>
        <v>102.98423423423424</v>
      </c>
      <c r="G432" s="16">
        <v>3552</v>
      </c>
      <c r="H432" s="16">
        <v>4012</v>
      </c>
      <c r="I432" s="17" t="s">
        <v>2619</v>
      </c>
      <c r="J432" s="18" t="s">
        <v>2620</v>
      </c>
      <c r="K432" s="19" t="s">
        <v>101</v>
      </c>
      <c r="L432" s="19" t="s">
        <v>2621</v>
      </c>
      <c r="M432" s="19" t="s">
        <v>2622</v>
      </c>
      <c r="N432" s="20" t="s">
        <v>1598</v>
      </c>
      <c r="O432" s="20" t="s">
        <v>27</v>
      </c>
      <c r="P432" s="21" t="s">
        <v>2623</v>
      </c>
      <c r="Q432" s="20"/>
      <c r="R432" s="20" t="s">
        <v>2624</v>
      </c>
      <c r="S432" s="20"/>
      <c r="T432" s="20"/>
      <c r="U432" s="20"/>
      <c r="V432" s="20"/>
    </row>
    <row r="433" spans="2:22" ht="34">
      <c r="B433" s="11" t="s">
        <v>2625</v>
      </c>
      <c r="C433" s="23" t="s">
        <v>33</v>
      </c>
      <c r="D433" s="13" t="s">
        <v>1490</v>
      </c>
      <c r="E433" s="24">
        <v>6700000</v>
      </c>
      <c r="F433" s="25">
        <f>Table2[[#This Row],[Price]]/Table2[[#This Row],[Tot Ht Area]]</f>
        <v>190.68761384335156</v>
      </c>
      <c r="G433" s="16">
        <v>35136</v>
      </c>
      <c r="H433" s="16">
        <v>35760</v>
      </c>
      <c r="I433" s="17" t="s">
        <v>2626</v>
      </c>
      <c r="J433" s="18" t="s">
        <v>2588</v>
      </c>
      <c r="K433" s="19" t="s">
        <v>101</v>
      </c>
      <c r="L433" s="19" t="s">
        <v>2621</v>
      </c>
      <c r="M433" s="19" t="s">
        <v>2627</v>
      </c>
      <c r="N433" s="20" t="s">
        <v>1598</v>
      </c>
      <c r="O433" s="20" t="s">
        <v>27</v>
      </c>
      <c r="P433" s="21" t="s">
        <v>2628</v>
      </c>
      <c r="Q433" s="20"/>
      <c r="R433" s="20" t="s">
        <v>2629</v>
      </c>
      <c r="S433" s="20"/>
      <c r="T433" s="20"/>
      <c r="U433" s="20"/>
      <c r="V433" s="20"/>
    </row>
    <row r="434" spans="2:22" ht="34">
      <c r="B434" s="11" t="s">
        <v>2630</v>
      </c>
      <c r="C434" s="23" t="s">
        <v>33</v>
      </c>
      <c r="D434" s="13" t="s">
        <v>307</v>
      </c>
      <c r="E434" s="24">
        <v>600000</v>
      </c>
      <c r="F434" s="25">
        <f>Table2[[#This Row],[Price]]/Table2[[#This Row],[Tot Ht Area]]</f>
        <v>159.65939329430549</v>
      </c>
      <c r="G434" s="16">
        <v>3758</v>
      </c>
      <c r="H434" s="16">
        <v>3806</v>
      </c>
      <c r="I434" s="17" t="s">
        <v>2631</v>
      </c>
      <c r="J434" s="18" t="s">
        <v>1788</v>
      </c>
      <c r="K434" s="19" t="s">
        <v>101</v>
      </c>
      <c r="L434" s="19" t="s">
        <v>143</v>
      </c>
      <c r="M434" s="19" t="s">
        <v>2632</v>
      </c>
      <c r="N434" s="20" t="s">
        <v>1598</v>
      </c>
      <c r="O434" s="20" t="s">
        <v>27</v>
      </c>
      <c r="P434" s="21" t="s">
        <v>2633</v>
      </c>
      <c r="Q434" s="20"/>
      <c r="R434" s="20" t="s">
        <v>2634</v>
      </c>
      <c r="S434" s="20"/>
      <c r="T434" s="20"/>
      <c r="U434" s="20"/>
      <c r="V434" s="20"/>
    </row>
    <row r="435" spans="2:22" ht="34">
      <c r="B435" s="11" t="s">
        <v>2635</v>
      </c>
      <c r="C435" s="23" t="s">
        <v>33</v>
      </c>
      <c r="D435" s="13" t="s">
        <v>336</v>
      </c>
      <c r="E435" s="24">
        <v>100</v>
      </c>
      <c r="F435" s="25">
        <f>Table2[[#This Row],[Price]]/Table2[[#This Row],[Tot Ht Area]]</f>
        <v>2.5786487880350695E-2</v>
      </c>
      <c r="G435" s="16">
        <v>3878</v>
      </c>
      <c r="H435" s="16">
        <v>3878</v>
      </c>
      <c r="I435" s="17" t="s">
        <v>2636</v>
      </c>
      <c r="J435" s="18" t="s">
        <v>2637</v>
      </c>
      <c r="K435" s="19" t="s">
        <v>101</v>
      </c>
      <c r="L435" s="19" t="s">
        <v>2621</v>
      </c>
      <c r="M435" s="19" t="s">
        <v>2638</v>
      </c>
      <c r="N435" s="20" t="s">
        <v>1598</v>
      </c>
      <c r="O435" s="20" t="s">
        <v>27</v>
      </c>
      <c r="P435" s="21" t="s">
        <v>2639</v>
      </c>
      <c r="Q435" s="20"/>
      <c r="R435" s="20" t="s">
        <v>2640</v>
      </c>
      <c r="S435" s="20"/>
      <c r="T435" s="20" t="s">
        <v>6318</v>
      </c>
      <c r="U435" s="20"/>
      <c r="V435" s="20"/>
    </row>
    <row r="436" spans="2:22" ht="34">
      <c r="B436" s="11" t="s">
        <v>2641</v>
      </c>
      <c r="C436" s="23" t="s">
        <v>33</v>
      </c>
      <c r="D436" s="13" t="s">
        <v>2642</v>
      </c>
      <c r="E436" s="24">
        <v>1580000</v>
      </c>
      <c r="F436" s="25">
        <f>Table2[[#This Row],[Price]]/Table2[[#This Row],[Tot Ht Area]]</f>
        <v>374.05303030303031</v>
      </c>
      <c r="G436" s="16">
        <v>4224</v>
      </c>
      <c r="H436" s="16">
        <v>5634</v>
      </c>
      <c r="I436" s="17" t="s">
        <v>2643</v>
      </c>
      <c r="J436" s="18" t="s">
        <v>358</v>
      </c>
      <c r="K436" s="19" t="s">
        <v>37</v>
      </c>
      <c r="L436" s="19" t="s">
        <v>143</v>
      </c>
      <c r="M436" s="19" t="s">
        <v>2644</v>
      </c>
      <c r="N436" s="20" t="s">
        <v>1598</v>
      </c>
      <c r="O436" s="20" t="s">
        <v>27</v>
      </c>
      <c r="P436" s="21" t="s">
        <v>2645</v>
      </c>
      <c r="Q436" s="20" t="s">
        <v>2646</v>
      </c>
      <c r="R436" s="20" t="s">
        <v>2647</v>
      </c>
      <c r="S436" s="20"/>
      <c r="T436" s="20"/>
      <c r="U436" s="20"/>
      <c r="V436" s="20"/>
    </row>
    <row r="437" spans="2:22" ht="17">
      <c r="B437" s="11" t="s">
        <v>2648</v>
      </c>
      <c r="C437" s="23" t="s">
        <v>33</v>
      </c>
      <c r="D437" s="13" t="s">
        <v>223</v>
      </c>
      <c r="E437" s="24">
        <v>100</v>
      </c>
      <c r="F437" s="25">
        <f>Table2[[#This Row],[Price]]/Table2[[#This Row],[Tot Ht Area]]</f>
        <v>1.2315270935960592E-2</v>
      </c>
      <c r="G437" s="16">
        <v>8120</v>
      </c>
      <c r="H437" s="16">
        <v>9462</v>
      </c>
      <c r="I437" s="17" t="s">
        <v>2648</v>
      </c>
      <c r="J437" s="18" t="s">
        <v>518</v>
      </c>
      <c r="K437" s="19" t="s">
        <v>101</v>
      </c>
      <c r="L437" s="19" t="s">
        <v>1569</v>
      </c>
      <c r="M437" s="19" t="s">
        <v>2649</v>
      </c>
      <c r="N437" s="20" t="s">
        <v>1598</v>
      </c>
      <c r="O437" s="20" t="s">
        <v>1812</v>
      </c>
      <c r="P437" s="21" t="s">
        <v>2650</v>
      </c>
      <c r="Q437" s="20"/>
      <c r="R437" s="20" t="s">
        <v>2651</v>
      </c>
      <c r="S437" s="20"/>
      <c r="T437" s="20" t="s">
        <v>6318</v>
      </c>
      <c r="U437" s="20"/>
      <c r="V437" s="20"/>
    </row>
    <row r="438" spans="2:22" ht="34">
      <c r="B438" s="11" t="s">
        <v>2652</v>
      </c>
      <c r="C438" s="23" t="s">
        <v>33</v>
      </c>
      <c r="D438" s="13" t="s">
        <v>995</v>
      </c>
      <c r="E438" s="24">
        <v>406322</v>
      </c>
      <c r="F438" s="25">
        <f>Table2[[#This Row],[Price]]/Table2[[#This Row],[Tot Ht Area]]</f>
        <v>136.67070299360915</v>
      </c>
      <c r="G438" s="16">
        <v>2973</v>
      </c>
      <c r="H438" s="16">
        <v>4092</v>
      </c>
      <c r="I438" s="17" t="s">
        <v>2653</v>
      </c>
      <c r="J438" s="18" t="s">
        <v>2150</v>
      </c>
      <c r="K438" s="19" t="s">
        <v>37</v>
      </c>
      <c r="L438" s="19" t="s">
        <v>38</v>
      </c>
      <c r="M438" s="19" t="s">
        <v>2654</v>
      </c>
      <c r="N438" s="20" t="s">
        <v>1598</v>
      </c>
      <c r="O438" s="20" t="s">
        <v>27</v>
      </c>
      <c r="P438" s="21" t="s">
        <v>2655</v>
      </c>
      <c r="Q438" s="20"/>
      <c r="R438" s="20" t="s">
        <v>2656</v>
      </c>
      <c r="S438" s="20"/>
      <c r="T438" s="20"/>
      <c r="U438" s="20"/>
      <c r="V438" s="20"/>
    </row>
    <row r="439" spans="2:22" ht="34">
      <c r="B439" s="11" t="s">
        <v>2657</v>
      </c>
      <c r="C439" s="23" t="s">
        <v>33</v>
      </c>
      <c r="D439" s="13" t="s">
        <v>995</v>
      </c>
      <c r="E439" s="24">
        <v>1599902</v>
      </c>
      <c r="F439" s="25">
        <f>Table2[[#This Row],[Price]]/Table2[[#This Row],[Tot Ht Area]]</f>
        <v>160.43943040513437</v>
      </c>
      <c r="G439" s="16">
        <v>9972</v>
      </c>
      <c r="H439" s="16">
        <v>10410</v>
      </c>
      <c r="I439" s="17" t="s">
        <v>2653</v>
      </c>
      <c r="J439" s="18" t="s">
        <v>483</v>
      </c>
      <c r="K439" s="19" t="s">
        <v>48</v>
      </c>
      <c r="L439" s="19" t="s">
        <v>38</v>
      </c>
      <c r="M439" s="19" t="s">
        <v>2658</v>
      </c>
      <c r="N439" s="20" t="s">
        <v>1598</v>
      </c>
      <c r="O439" s="20" t="s">
        <v>27</v>
      </c>
      <c r="P439" s="21" t="s">
        <v>2659</v>
      </c>
      <c r="Q439" s="20" t="s">
        <v>2660</v>
      </c>
      <c r="R439" s="20" t="s">
        <v>2661</v>
      </c>
      <c r="S439" s="20"/>
      <c r="T439" s="20"/>
      <c r="U439" s="20"/>
      <c r="V439" s="20"/>
    </row>
    <row r="440" spans="2:22" ht="17">
      <c r="B440" s="11" t="s">
        <v>2662</v>
      </c>
      <c r="C440" s="23" t="s">
        <v>33</v>
      </c>
      <c r="D440" s="13" t="s">
        <v>90</v>
      </c>
      <c r="E440" s="24">
        <v>965000</v>
      </c>
      <c r="F440" s="25">
        <f>Table2[[#This Row],[Price]]/Table2[[#This Row],[Tot Ht Area]]</f>
        <v>168.64732610975184</v>
      </c>
      <c r="G440" s="16">
        <v>5722</v>
      </c>
      <c r="H440" s="16">
        <v>6268</v>
      </c>
      <c r="I440" s="17" t="s">
        <v>2663</v>
      </c>
      <c r="J440" s="18" t="s">
        <v>430</v>
      </c>
      <c r="K440" s="19" t="s">
        <v>37</v>
      </c>
      <c r="L440" s="19" t="s">
        <v>2621</v>
      </c>
      <c r="M440" s="19" t="s">
        <v>2664</v>
      </c>
      <c r="N440" s="20" t="s">
        <v>1598</v>
      </c>
      <c r="O440" s="20" t="s">
        <v>27</v>
      </c>
      <c r="P440" s="21" t="s">
        <v>2665</v>
      </c>
      <c r="Q440" s="20"/>
      <c r="R440" s="20" t="s">
        <v>2666</v>
      </c>
      <c r="S440" s="20"/>
      <c r="T440" s="20"/>
      <c r="U440" s="20"/>
      <c r="V440" s="20"/>
    </row>
    <row r="441" spans="2:22" ht="34">
      <c r="B441" s="11" t="s">
        <v>2667</v>
      </c>
      <c r="C441" s="23" t="s">
        <v>33</v>
      </c>
      <c r="D441" s="13" t="s">
        <v>141</v>
      </c>
      <c r="E441" s="24">
        <v>1009200</v>
      </c>
      <c r="F441" s="25">
        <f>Table2[[#This Row],[Price]]/Table2[[#This Row],[Tot Ht Area]]</f>
        <v>397.63593380614657</v>
      </c>
      <c r="G441" s="16">
        <v>2538</v>
      </c>
      <c r="H441" s="16">
        <v>2962</v>
      </c>
      <c r="I441" s="17" t="s">
        <v>2668</v>
      </c>
      <c r="J441" s="18" t="s">
        <v>542</v>
      </c>
      <c r="K441" s="19" t="s">
        <v>37</v>
      </c>
      <c r="L441" s="19" t="s">
        <v>2621</v>
      </c>
      <c r="M441" s="19" t="s">
        <v>2669</v>
      </c>
      <c r="N441" s="20" t="s">
        <v>1598</v>
      </c>
      <c r="O441" s="20" t="s">
        <v>27</v>
      </c>
      <c r="P441" s="21" t="s">
        <v>2670</v>
      </c>
      <c r="Q441" s="20" t="s">
        <v>2671</v>
      </c>
      <c r="R441" s="20" t="s">
        <v>2672</v>
      </c>
      <c r="S441" s="20"/>
      <c r="T441" s="20"/>
      <c r="U441" s="20"/>
      <c r="V441" s="20"/>
    </row>
    <row r="442" spans="2:22" ht="17">
      <c r="B442" s="11" t="s">
        <v>2673</v>
      </c>
      <c r="C442" s="23" t="s">
        <v>33</v>
      </c>
      <c r="D442" s="13" t="s">
        <v>45</v>
      </c>
      <c r="E442" s="24">
        <v>1115000</v>
      </c>
      <c r="F442" s="25">
        <f>Table2[[#This Row],[Price]]/Table2[[#This Row],[Tot Ht Area]]</f>
        <v>293.11251314405888</v>
      </c>
      <c r="G442" s="16">
        <v>3804</v>
      </c>
      <c r="H442" s="16">
        <v>8072</v>
      </c>
      <c r="I442" s="17" t="s">
        <v>2674</v>
      </c>
      <c r="J442" s="18" t="s">
        <v>716</v>
      </c>
      <c r="K442" s="19" t="s">
        <v>37</v>
      </c>
      <c r="L442" s="19" t="s">
        <v>620</v>
      </c>
      <c r="M442" s="19" t="s">
        <v>2675</v>
      </c>
      <c r="N442" s="20" t="s">
        <v>1598</v>
      </c>
      <c r="O442" s="20" t="s">
        <v>27</v>
      </c>
      <c r="P442" s="21" t="s">
        <v>2676</v>
      </c>
      <c r="Q442" s="20" t="s">
        <v>2677</v>
      </c>
      <c r="R442" s="20" t="s">
        <v>2678</v>
      </c>
      <c r="S442" s="20"/>
      <c r="T442" s="20"/>
      <c r="U442" s="20"/>
      <c r="V442" s="20"/>
    </row>
    <row r="443" spans="2:22" ht="34">
      <c r="B443" s="11" t="s">
        <v>2679</v>
      </c>
      <c r="C443" s="23" t="s">
        <v>33</v>
      </c>
      <c r="D443" s="13" t="s">
        <v>21</v>
      </c>
      <c r="E443" s="24">
        <v>940000</v>
      </c>
      <c r="F443" s="25">
        <f>Table2[[#This Row],[Price]]/Table2[[#This Row],[Tot Ht Area]]</f>
        <v>285.97505324003652</v>
      </c>
      <c r="G443" s="16">
        <v>3287</v>
      </c>
      <c r="H443" s="16">
        <v>3303</v>
      </c>
      <c r="I443" s="17" t="s">
        <v>2680</v>
      </c>
      <c r="J443" s="18" t="s">
        <v>627</v>
      </c>
      <c r="K443" s="19" t="s">
        <v>37</v>
      </c>
      <c r="L443" s="19" t="s">
        <v>143</v>
      </c>
      <c r="M443" s="19" t="s">
        <v>2681</v>
      </c>
      <c r="N443" s="20" t="s">
        <v>1598</v>
      </c>
      <c r="O443" s="20" t="s">
        <v>27</v>
      </c>
      <c r="P443" s="21" t="s">
        <v>2682</v>
      </c>
      <c r="Q443" s="20"/>
      <c r="R443" s="20" t="s">
        <v>2683</v>
      </c>
      <c r="S443" s="20"/>
      <c r="T443" s="20"/>
      <c r="U443" s="20"/>
      <c r="V443" s="20"/>
    </row>
    <row r="444" spans="2:22" ht="34">
      <c r="B444" s="11" t="s">
        <v>2684</v>
      </c>
      <c r="C444" s="23" t="s">
        <v>33</v>
      </c>
      <c r="D444" s="13" t="s">
        <v>372</v>
      </c>
      <c r="E444" s="24">
        <v>3700000</v>
      </c>
      <c r="F444" s="25">
        <f>Table2[[#This Row],[Price]]/Table2[[#This Row],[Tot Ht Area]]</f>
        <v>179.56806600339723</v>
      </c>
      <c r="G444" s="16">
        <v>20605</v>
      </c>
      <c r="H444" s="16">
        <v>20957</v>
      </c>
      <c r="I444" s="17" t="s">
        <v>2685</v>
      </c>
      <c r="J444" s="18" t="s">
        <v>117</v>
      </c>
      <c r="K444" s="19" t="s">
        <v>101</v>
      </c>
      <c r="L444" s="19" t="s">
        <v>143</v>
      </c>
      <c r="M444" s="19" t="s">
        <v>2686</v>
      </c>
      <c r="N444" s="20" t="s">
        <v>1598</v>
      </c>
      <c r="O444" s="20" t="s">
        <v>27</v>
      </c>
      <c r="P444" s="21" t="s">
        <v>2687</v>
      </c>
      <c r="Q444" s="20"/>
      <c r="R444" s="20" t="s">
        <v>2688</v>
      </c>
      <c r="S444" s="20"/>
      <c r="T444" s="20"/>
      <c r="U444" s="20"/>
      <c r="V444" s="20"/>
    </row>
    <row r="445" spans="2:22" ht="34">
      <c r="B445" s="11" t="s">
        <v>2689</v>
      </c>
      <c r="C445" s="23" t="s">
        <v>33</v>
      </c>
      <c r="D445" s="13" t="s">
        <v>276</v>
      </c>
      <c r="E445" s="24">
        <v>1384996</v>
      </c>
      <c r="F445" s="25">
        <f>Table2[[#This Row],[Price]]/Table2[[#This Row],[Tot Ht Area]]</f>
        <v>228.84930601454064</v>
      </c>
      <c r="G445" s="16">
        <v>6052</v>
      </c>
      <c r="H445" s="16">
        <v>7341</v>
      </c>
      <c r="I445" s="17" t="s">
        <v>2690</v>
      </c>
      <c r="J445" s="18" t="s">
        <v>2133</v>
      </c>
      <c r="K445" s="19" t="s">
        <v>101</v>
      </c>
      <c r="L445" s="19" t="s">
        <v>143</v>
      </c>
      <c r="M445" s="19" t="s">
        <v>2691</v>
      </c>
      <c r="N445" s="20" t="s">
        <v>1598</v>
      </c>
      <c r="O445" s="20" t="s">
        <v>27</v>
      </c>
      <c r="P445" s="21" t="s">
        <v>2692</v>
      </c>
      <c r="Q445" s="20" t="s">
        <v>2693</v>
      </c>
      <c r="R445" s="20" t="s">
        <v>2694</v>
      </c>
      <c r="S445" s="20"/>
      <c r="T445" s="20"/>
      <c r="U445" s="20"/>
      <c r="V445" s="20"/>
    </row>
    <row r="446" spans="2:22" ht="34">
      <c r="B446" s="11" t="s">
        <v>2695</v>
      </c>
      <c r="C446" s="23" t="s">
        <v>33</v>
      </c>
      <c r="D446" s="13" t="s">
        <v>276</v>
      </c>
      <c r="E446" s="24">
        <v>1501677</v>
      </c>
      <c r="F446" s="25">
        <f>Table2[[#This Row],[Price]]/Table2[[#This Row],[Tot Ht Area]]</f>
        <v>220.83485294117648</v>
      </c>
      <c r="G446" s="16">
        <v>6800</v>
      </c>
      <c r="H446" s="16">
        <v>7952</v>
      </c>
      <c r="I446" s="17" t="s">
        <v>2690</v>
      </c>
      <c r="J446" s="18" t="s">
        <v>800</v>
      </c>
      <c r="K446" s="19" t="s">
        <v>101</v>
      </c>
      <c r="L446" s="19" t="s">
        <v>143</v>
      </c>
      <c r="M446" s="19" t="s">
        <v>2696</v>
      </c>
      <c r="N446" s="20" t="s">
        <v>1598</v>
      </c>
      <c r="O446" s="20" t="s">
        <v>27</v>
      </c>
      <c r="P446" s="21" t="s">
        <v>2697</v>
      </c>
      <c r="Q446" s="20" t="s">
        <v>2698</v>
      </c>
      <c r="R446" s="20" t="s">
        <v>2699</v>
      </c>
      <c r="S446" s="20"/>
      <c r="T446" s="20"/>
      <c r="U446" s="20"/>
      <c r="V446" s="20"/>
    </row>
    <row r="447" spans="2:22" ht="34">
      <c r="B447" s="11" t="s">
        <v>2700</v>
      </c>
      <c r="C447" s="23" t="s">
        <v>33</v>
      </c>
      <c r="D447" s="13" t="s">
        <v>141</v>
      </c>
      <c r="E447" s="24">
        <v>3025000</v>
      </c>
      <c r="F447" s="25">
        <f>Table2[[#This Row],[Price]]/Table2[[#This Row],[Tot Ht Area]]</f>
        <v>268.74555792466242</v>
      </c>
      <c r="G447" s="16">
        <v>11256</v>
      </c>
      <c r="H447" s="16">
        <v>18276</v>
      </c>
      <c r="I447" s="17" t="s">
        <v>2701</v>
      </c>
      <c r="J447" s="18" t="s">
        <v>75</v>
      </c>
      <c r="K447" s="19" t="s">
        <v>101</v>
      </c>
      <c r="L447" s="19" t="s">
        <v>665</v>
      </c>
      <c r="M447" s="19" t="s">
        <v>2702</v>
      </c>
      <c r="N447" s="20" t="s">
        <v>1598</v>
      </c>
      <c r="O447" s="20" t="s">
        <v>27</v>
      </c>
      <c r="P447" s="21" t="s">
        <v>2703</v>
      </c>
      <c r="Q447" s="20"/>
      <c r="R447" s="20" t="s">
        <v>2704</v>
      </c>
      <c r="S447" s="20"/>
      <c r="T447" s="20"/>
      <c r="U447" s="20"/>
      <c r="V447" s="20"/>
    </row>
    <row r="448" spans="2:22" ht="34">
      <c r="B448" s="11" t="s">
        <v>2705</v>
      </c>
      <c r="C448" s="23" t="s">
        <v>33</v>
      </c>
      <c r="D448" s="13" t="s">
        <v>356</v>
      </c>
      <c r="E448" s="24">
        <v>2173500</v>
      </c>
      <c r="F448" s="25">
        <f>Table2[[#This Row],[Price]]/Table2[[#This Row],[Tot Ht Area]]</f>
        <v>335.62384187770226</v>
      </c>
      <c r="G448" s="16">
        <v>6476</v>
      </c>
      <c r="H448" s="16">
        <v>6762</v>
      </c>
      <c r="I448" s="17" t="s">
        <v>2706</v>
      </c>
      <c r="J448" s="18" t="s">
        <v>415</v>
      </c>
      <c r="K448" s="19" t="s">
        <v>101</v>
      </c>
      <c r="L448" s="19" t="s">
        <v>38</v>
      </c>
      <c r="M448" s="19" t="s">
        <v>2707</v>
      </c>
      <c r="N448" s="20" t="s">
        <v>1598</v>
      </c>
      <c r="O448" s="20" t="s">
        <v>27</v>
      </c>
      <c r="P448" s="21" t="s">
        <v>2708</v>
      </c>
      <c r="Q448" s="20"/>
      <c r="R448" s="20" t="s">
        <v>2709</v>
      </c>
      <c r="S448" s="20"/>
      <c r="T448" s="20"/>
      <c r="U448" s="20"/>
      <c r="V448" s="20"/>
    </row>
    <row r="449" spans="2:22" ht="34">
      <c r="B449" s="11" t="s">
        <v>2710</v>
      </c>
      <c r="C449" s="23" t="s">
        <v>33</v>
      </c>
      <c r="D449" s="13" t="s">
        <v>428</v>
      </c>
      <c r="E449" s="24">
        <v>1800000</v>
      </c>
      <c r="F449" s="25">
        <f>Table2[[#This Row],[Price]]/Table2[[#This Row],[Tot Ht Area]]</f>
        <v>523.10374891020058</v>
      </c>
      <c r="G449" s="16">
        <v>3441</v>
      </c>
      <c r="H449" s="16">
        <v>3534</v>
      </c>
      <c r="I449" s="17" t="s">
        <v>2711</v>
      </c>
      <c r="J449" s="18" t="s">
        <v>518</v>
      </c>
      <c r="K449" s="19" t="s">
        <v>37</v>
      </c>
      <c r="L449" s="19" t="s">
        <v>38</v>
      </c>
      <c r="M449" s="19" t="s">
        <v>2712</v>
      </c>
      <c r="N449" s="20" t="s">
        <v>1598</v>
      </c>
      <c r="O449" s="20" t="s">
        <v>27</v>
      </c>
      <c r="P449" s="21" t="s">
        <v>2713</v>
      </c>
      <c r="Q449" s="20" t="s">
        <v>2714</v>
      </c>
      <c r="R449" s="20" t="s">
        <v>2715</v>
      </c>
      <c r="S449" s="20"/>
      <c r="T449" s="20"/>
      <c r="U449" s="20"/>
      <c r="V449" s="20"/>
    </row>
    <row r="450" spans="2:22" ht="34">
      <c r="B450" s="11" t="s">
        <v>2716</v>
      </c>
      <c r="C450" s="23" t="s">
        <v>33</v>
      </c>
      <c r="D450" s="13" t="s">
        <v>55</v>
      </c>
      <c r="E450" s="24">
        <v>2876825</v>
      </c>
      <c r="F450" s="25">
        <f>Table2[[#This Row],[Price]]/Table2[[#This Row],[Tot Ht Area]]</f>
        <v>228.42821978720025</v>
      </c>
      <c r="G450" s="16">
        <v>12594</v>
      </c>
      <c r="H450" s="16">
        <v>13104</v>
      </c>
      <c r="I450" s="17" t="s">
        <v>2717</v>
      </c>
      <c r="J450" s="18" t="s">
        <v>1163</v>
      </c>
      <c r="K450" s="19" t="s">
        <v>37</v>
      </c>
      <c r="L450" s="19" t="s">
        <v>1569</v>
      </c>
      <c r="M450" s="19" t="s">
        <v>2718</v>
      </c>
      <c r="N450" s="20" t="s">
        <v>1598</v>
      </c>
      <c r="O450" s="20" t="s">
        <v>27</v>
      </c>
      <c r="P450" s="21" t="s">
        <v>2719</v>
      </c>
      <c r="Q450" s="20"/>
      <c r="R450" s="20" t="s">
        <v>2720</v>
      </c>
      <c r="S450" s="20"/>
      <c r="T450" s="20"/>
      <c r="U450" s="20"/>
      <c r="V450" s="20"/>
    </row>
    <row r="451" spans="2:22" ht="17">
      <c r="B451" s="11" t="s">
        <v>2721</v>
      </c>
      <c r="C451" s="23" t="s">
        <v>33</v>
      </c>
      <c r="D451" s="13" t="s">
        <v>729</v>
      </c>
      <c r="E451" s="24">
        <v>730000</v>
      </c>
      <c r="F451" s="25">
        <f>Table2[[#This Row],[Price]]/Table2[[#This Row],[Tot Ht Area]]</f>
        <v>474.02597402597405</v>
      </c>
      <c r="G451" s="16">
        <v>1540</v>
      </c>
      <c r="H451" s="16">
        <v>2233</v>
      </c>
      <c r="I451" s="17" t="s">
        <v>2722</v>
      </c>
      <c r="J451" s="18" t="s">
        <v>2723</v>
      </c>
      <c r="K451" s="19" t="s">
        <v>37</v>
      </c>
      <c r="L451" s="19" t="s">
        <v>38</v>
      </c>
      <c r="M451" s="19" t="s">
        <v>2724</v>
      </c>
      <c r="N451" s="20" t="s">
        <v>1598</v>
      </c>
      <c r="O451" s="20" t="s">
        <v>1812</v>
      </c>
      <c r="P451" s="21" t="s">
        <v>2725</v>
      </c>
      <c r="Q451" s="20" t="s">
        <v>2726</v>
      </c>
      <c r="R451" s="20" t="s">
        <v>2727</v>
      </c>
      <c r="S451" s="20"/>
      <c r="T451" s="20"/>
      <c r="U451" s="20"/>
      <c r="V451" s="20"/>
    </row>
    <row r="452" spans="2:22" ht="17">
      <c r="B452" s="11" t="s">
        <v>2728</v>
      </c>
      <c r="C452" s="23" t="s">
        <v>33</v>
      </c>
      <c r="D452" s="13" t="s">
        <v>1490</v>
      </c>
      <c r="E452" s="24">
        <v>3214100</v>
      </c>
      <c r="F452" s="25">
        <f>Table2[[#This Row],[Price]]/Table2[[#This Row],[Tot Ht Area]]</f>
        <v>146.45493484006198</v>
      </c>
      <c r="G452" s="16">
        <v>21946</v>
      </c>
      <c r="H452" s="16">
        <v>23206</v>
      </c>
      <c r="I452" s="17" t="s">
        <v>2729</v>
      </c>
      <c r="J452" s="18" t="s">
        <v>599</v>
      </c>
      <c r="K452" s="19" t="s">
        <v>101</v>
      </c>
      <c r="L452" s="19" t="s">
        <v>143</v>
      </c>
      <c r="M452" s="19" t="s">
        <v>2730</v>
      </c>
      <c r="N452" s="20" t="s">
        <v>1598</v>
      </c>
      <c r="O452" s="20" t="s">
        <v>27</v>
      </c>
      <c r="P452" s="21" t="s">
        <v>2676</v>
      </c>
      <c r="Q452" s="20" t="s">
        <v>2731</v>
      </c>
      <c r="R452" s="20" t="s">
        <v>2732</v>
      </c>
      <c r="S452" s="20"/>
      <c r="T452" s="20"/>
      <c r="U452" s="20"/>
      <c r="V452" s="20"/>
    </row>
    <row r="453" spans="2:22" ht="51">
      <c r="B453" s="11" t="s">
        <v>2733</v>
      </c>
      <c r="C453" s="23" t="s">
        <v>33</v>
      </c>
      <c r="D453" s="13" t="s">
        <v>141</v>
      </c>
      <c r="E453" s="24">
        <v>3500000</v>
      </c>
      <c r="F453" s="25">
        <f>Table2[[#This Row],[Price]]/Table2[[#This Row],[Tot Ht Area]]</f>
        <v>555.20304568527922</v>
      </c>
      <c r="G453" s="16">
        <v>6304</v>
      </c>
      <c r="H453" s="16">
        <v>7710</v>
      </c>
      <c r="I453" s="17" t="s">
        <v>2734</v>
      </c>
      <c r="J453" s="18" t="s">
        <v>2218</v>
      </c>
      <c r="K453" s="19" t="s">
        <v>101</v>
      </c>
      <c r="L453" s="19" t="s">
        <v>2621</v>
      </c>
      <c r="M453" s="19" t="s">
        <v>2735</v>
      </c>
      <c r="N453" s="20" t="s">
        <v>1598</v>
      </c>
      <c r="O453" s="20" t="s">
        <v>27</v>
      </c>
      <c r="P453" s="21" t="s">
        <v>2736</v>
      </c>
      <c r="Q453" s="20"/>
      <c r="R453" s="20" t="s">
        <v>2737</v>
      </c>
      <c r="S453" s="20"/>
      <c r="T453" s="20"/>
      <c r="U453" s="20"/>
      <c r="V453" s="20"/>
    </row>
    <row r="454" spans="2:22" ht="68">
      <c r="B454" s="11" t="s">
        <v>2738</v>
      </c>
      <c r="C454" s="23" t="s">
        <v>33</v>
      </c>
      <c r="D454" s="13" t="s">
        <v>877</v>
      </c>
      <c r="E454" s="24">
        <v>1600000</v>
      </c>
      <c r="F454" s="25">
        <f>Table2[[#This Row],[Price]]/Table2[[#This Row],[Tot Ht Area]]</f>
        <v>424.85395645246945</v>
      </c>
      <c r="G454" s="16">
        <v>3766</v>
      </c>
      <c r="H454" s="16">
        <v>5465</v>
      </c>
      <c r="I454" s="17" t="s">
        <v>2739</v>
      </c>
      <c r="J454" s="18" t="s">
        <v>278</v>
      </c>
      <c r="K454" s="19" t="s">
        <v>101</v>
      </c>
      <c r="L454" s="19" t="s">
        <v>2621</v>
      </c>
      <c r="M454" s="19" t="s">
        <v>2740</v>
      </c>
      <c r="N454" s="20" t="s">
        <v>1598</v>
      </c>
      <c r="O454" s="20" t="s">
        <v>27</v>
      </c>
      <c r="P454" s="21" t="s">
        <v>2741</v>
      </c>
      <c r="Q454" s="20" t="s">
        <v>2742</v>
      </c>
      <c r="R454" s="20" t="s">
        <v>2743</v>
      </c>
      <c r="S454" s="20"/>
      <c r="T454" s="20"/>
      <c r="U454" s="20"/>
      <c r="V454" s="20"/>
    </row>
    <row r="455" spans="2:22" ht="51">
      <c r="B455" s="11" t="s">
        <v>2744</v>
      </c>
      <c r="C455" s="23" t="s">
        <v>33</v>
      </c>
      <c r="D455" s="13" t="s">
        <v>55</v>
      </c>
      <c r="E455" s="24">
        <v>2538337</v>
      </c>
      <c r="F455" s="25">
        <f>Table2[[#This Row],[Price]]/Table2[[#This Row],[Tot Ht Area]]</f>
        <v>727.73423165137615</v>
      </c>
      <c r="G455" s="16">
        <v>3488</v>
      </c>
      <c r="H455" s="16">
        <v>3587</v>
      </c>
      <c r="I455" s="17" t="s">
        <v>2745</v>
      </c>
      <c r="J455" s="18" t="s">
        <v>2746</v>
      </c>
      <c r="K455" s="19" t="s">
        <v>101</v>
      </c>
      <c r="L455" s="19" t="s">
        <v>2621</v>
      </c>
      <c r="M455" s="19" t="s">
        <v>2747</v>
      </c>
      <c r="N455" s="20" t="s">
        <v>1598</v>
      </c>
      <c r="O455" s="20" t="s">
        <v>27</v>
      </c>
      <c r="P455" s="21" t="s">
        <v>2748</v>
      </c>
      <c r="Q455" s="20"/>
      <c r="R455" s="20" t="s">
        <v>2749</v>
      </c>
      <c r="S455" s="20"/>
      <c r="T455" s="20"/>
      <c r="U455" s="20"/>
      <c r="V455" s="20"/>
    </row>
    <row r="456" spans="2:22" ht="17">
      <c r="B456" s="11" t="s">
        <v>2750</v>
      </c>
      <c r="C456" s="23" t="s">
        <v>33</v>
      </c>
      <c r="D456" s="13" t="s">
        <v>428</v>
      </c>
      <c r="E456" s="24">
        <v>830000</v>
      </c>
      <c r="F456" s="25">
        <f>Table2[[#This Row],[Price]]/Table2[[#This Row],[Tot Ht Area]]</f>
        <v>250.15069318866787</v>
      </c>
      <c r="G456" s="16">
        <v>3318</v>
      </c>
      <c r="H456" s="16">
        <v>3384</v>
      </c>
      <c r="I456" s="17" t="s">
        <v>2751</v>
      </c>
      <c r="J456" s="18" t="s">
        <v>309</v>
      </c>
      <c r="K456" s="19" t="s">
        <v>101</v>
      </c>
      <c r="L456" s="19" t="s">
        <v>38</v>
      </c>
      <c r="M456" s="19" t="s">
        <v>2752</v>
      </c>
      <c r="N456" s="20" t="s">
        <v>1598</v>
      </c>
      <c r="O456" s="20" t="s">
        <v>1812</v>
      </c>
      <c r="P456" s="21" t="s">
        <v>1967</v>
      </c>
      <c r="Q456" s="20" t="s">
        <v>2753</v>
      </c>
      <c r="R456" s="20" t="s">
        <v>2754</v>
      </c>
      <c r="S456" s="20"/>
      <c r="T456" s="20"/>
      <c r="U456" s="20"/>
      <c r="V456" s="20"/>
    </row>
    <row r="457" spans="2:22" ht="17">
      <c r="B457" s="11" t="s">
        <v>2755</v>
      </c>
      <c r="C457" s="23" t="s">
        <v>33</v>
      </c>
      <c r="D457" s="13" t="s">
        <v>398</v>
      </c>
      <c r="E457" s="24">
        <v>2900000</v>
      </c>
      <c r="F457" s="25">
        <f>Table2[[#This Row],[Price]]/Table2[[#This Row],[Tot Ht Area]]</f>
        <v>419.19629950852845</v>
      </c>
      <c r="G457" s="16">
        <v>6918</v>
      </c>
      <c r="H457" s="16">
        <v>6952</v>
      </c>
      <c r="I457" s="17" t="s">
        <v>2756</v>
      </c>
      <c r="J457" s="18" t="s">
        <v>566</v>
      </c>
      <c r="K457" s="19" t="s">
        <v>37</v>
      </c>
      <c r="L457" s="19" t="s">
        <v>38</v>
      </c>
      <c r="M457" s="19" t="s">
        <v>2757</v>
      </c>
      <c r="N457" s="20" t="s">
        <v>1598</v>
      </c>
      <c r="O457" s="20" t="s">
        <v>27</v>
      </c>
      <c r="P457" s="21" t="s">
        <v>2758</v>
      </c>
      <c r="Q457" s="20" t="s">
        <v>2759</v>
      </c>
      <c r="R457" s="20" t="s">
        <v>2760</v>
      </c>
      <c r="S457" s="20"/>
      <c r="T457" s="20"/>
      <c r="U457" s="20"/>
      <c r="V457" s="20"/>
    </row>
    <row r="458" spans="2:22" ht="34">
      <c r="B458" s="11" t="s">
        <v>2761</v>
      </c>
      <c r="C458" s="23" t="s">
        <v>33</v>
      </c>
      <c r="D458" s="13" t="s">
        <v>896</v>
      </c>
      <c r="E458" s="24">
        <v>5400000</v>
      </c>
      <c r="F458" s="25">
        <f>Table2[[#This Row],[Price]]/Table2[[#This Row],[Tot Ht Area]]</f>
        <v>569.68034602806199</v>
      </c>
      <c r="G458" s="16">
        <v>9479</v>
      </c>
      <c r="H458" s="16">
        <v>9492</v>
      </c>
      <c r="I458" s="17" t="s">
        <v>2762</v>
      </c>
      <c r="J458" s="18" t="s">
        <v>518</v>
      </c>
      <c r="K458" s="19" t="s">
        <v>37</v>
      </c>
      <c r="L458" s="19" t="s">
        <v>573</v>
      </c>
      <c r="M458" s="19" t="s">
        <v>2763</v>
      </c>
      <c r="N458" s="20" t="s">
        <v>1598</v>
      </c>
      <c r="O458" s="20" t="s">
        <v>27</v>
      </c>
      <c r="P458" s="21" t="s">
        <v>2764</v>
      </c>
      <c r="Q458" s="20" t="s">
        <v>2765</v>
      </c>
      <c r="R458" s="20" t="s">
        <v>2766</v>
      </c>
      <c r="S458" s="20"/>
      <c r="T458" s="20"/>
      <c r="U458" s="20"/>
      <c r="V458" s="20"/>
    </row>
    <row r="459" spans="2:22" ht="34">
      <c r="B459" s="11" t="s">
        <v>2767</v>
      </c>
      <c r="C459" s="23" t="s">
        <v>33</v>
      </c>
      <c r="D459" s="13" t="s">
        <v>207</v>
      </c>
      <c r="E459" s="24">
        <v>610000</v>
      </c>
      <c r="F459" s="25">
        <f>Table2[[#This Row],[Price]]/Table2[[#This Row],[Tot Ht Area]]</f>
        <v>290.47619047619048</v>
      </c>
      <c r="G459" s="16">
        <v>2100</v>
      </c>
      <c r="H459" s="16">
        <v>2156</v>
      </c>
      <c r="I459" s="17" t="s">
        <v>2768</v>
      </c>
      <c r="J459" s="18" t="s">
        <v>2588</v>
      </c>
      <c r="K459" s="19" t="s">
        <v>101</v>
      </c>
      <c r="L459" s="19" t="s">
        <v>1569</v>
      </c>
      <c r="M459" s="19" t="s">
        <v>2769</v>
      </c>
      <c r="N459" s="20" t="s">
        <v>1598</v>
      </c>
      <c r="O459" s="20" t="s">
        <v>27</v>
      </c>
      <c r="P459" s="21" t="s">
        <v>2770</v>
      </c>
      <c r="Q459" s="20"/>
      <c r="R459" s="20" t="s">
        <v>2771</v>
      </c>
      <c r="S459" s="20"/>
      <c r="T459" s="20"/>
      <c r="U459" s="20"/>
      <c r="V459" s="20"/>
    </row>
    <row r="460" spans="2:22" ht="17">
      <c r="B460" s="11" t="s">
        <v>2772</v>
      </c>
      <c r="C460" s="23" t="s">
        <v>33</v>
      </c>
      <c r="D460" s="13" t="s">
        <v>554</v>
      </c>
      <c r="E460" s="24">
        <v>8000000</v>
      </c>
      <c r="F460" s="25">
        <f>Table2[[#This Row],[Price]]/Table2[[#This Row],[Tot Ht Area]]</f>
        <v>463.04335243387163</v>
      </c>
      <c r="G460" s="16">
        <v>17277</v>
      </c>
      <c r="H460" s="16">
        <v>19872</v>
      </c>
      <c r="I460" s="17" t="s">
        <v>2773</v>
      </c>
      <c r="J460" s="18" t="s">
        <v>2588</v>
      </c>
      <c r="K460" s="19" t="s">
        <v>37</v>
      </c>
      <c r="L460" s="19" t="s">
        <v>38</v>
      </c>
      <c r="M460" s="19" t="s">
        <v>2774</v>
      </c>
      <c r="N460" s="20" t="s">
        <v>1598</v>
      </c>
      <c r="O460" s="20" t="s">
        <v>27</v>
      </c>
      <c r="P460" s="21" t="s">
        <v>2775</v>
      </c>
      <c r="Q460" s="20" t="s">
        <v>2776</v>
      </c>
      <c r="R460" s="20" t="s">
        <v>2777</v>
      </c>
      <c r="S460" s="20"/>
      <c r="T460" s="20"/>
      <c r="U460" s="20"/>
      <c r="V460" s="20"/>
    </row>
    <row r="461" spans="2:22" ht="51">
      <c r="B461" s="11" t="s">
        <v>2778</v>
      </c>
      <c r="C461" s="23" t="s">
        <v>33</v>
      </c>
      <c r="D461" s="13" t="s">
        <v>1490</v>
      </c>
      <c r="E461" s="24">
        <v>682500</v>
      </c>
      <c r="F461" s="25">
        <f>Table2[[#This Row],[Price]]/Table2[[#This Row],[Tot Ht Area]]</f>
        <v>342.27683049147441</v>
      </c>
      <c r="G461" s="16">
        <v>1994</v>
      </c>
      <c r="H461" s="16">
        <v>2038</v>
      </c>
      <c r="I461" s="17" t="s">
        <v>2779</v>
      </c>
      <c r="J461" s="18" t="s">
        <v>1484</v>
      </c>
      <c r="K461" s="19" t="s">
        <v>37</v>
      </c>
      <c r="L461" s="19" t="s">
        <v>2621</v>
      </c>
      <c r="M461" s="19" t="s">
        <v>2780</v>
      </c>
      <c r="N461" s="20" t="s">
        <v>1598</v>
      </c>
      <c r="O461" s="20" t="s">
        <v>27</v>
      </c>
      <c r="P461" s="21" t="s">
        <v>2781</v>
      </c>
      <c r="Q461" s="20" t="s">
        <v>2782</v>
      </c>
      <c r="R461" s="20" t="s">
        <v>2783</v>
      </c>
      <c r="S461" s="20"/>
      <c r="T461" s="20"/>
      <c r="U461" s="20"/>
      <c r="V461" s="20"/>
    </row>
    <row r="462" spans="2:22" ht="17">
      <c r="B462" s="11" t="s">
        <v>2784</v>
      </c>
      <c r="C462" s="23" t="s">
        <v>33</v>
      </c>
      <c r="D462" s="13" t="s">
        <v>170</v>
      </c>
      <c r="E462" s="24">
        <v>2268000</v>
      </c>
      <c r="F462" s="25">
        <f>Table2[[#This Row],[Price]]/Table2[[#This Row],[Tot Ht Area]]</f>
        <v>300.87556381002918</v>
      </c>
      <c r="G462" s="16">
        <v>7538</v>
      </c>
      <c r="H462" s="16">
        <v>8197</v>
      </c>
      <c r="I462" s="17" t="s">
        <v>2785</v>
      </c>
      <c r="J462" s="18" t="s">
        <v>672</v>
      </c>
      <c r="K462" s="19" t="s">
        <v>101</v>
      </c>
      <c r="L462" s="19" t="s">
        <v>573</v>
      </c>
      <c r="M462" s="19" t="s">
        <v>2786</v>
      </c>
      <c r="N462" s="20" t="s">
        <v>1598</v>
      </c>
      <c r="O462" s="20" t="s">
        <v>27</v>
      </c>
      <c r="P462" s="21" t="s">
        <v>2787</v>
      </c>
      <c r="Q462" s="20"/>
      <c r="R462" s="20" t="s">
        <v>2788</v>
      </c>
      <c r="S462" s="20"/>
      <c r="T462" s="20"/>
      <c r="U462" s="20"/>
      <c r="V462" s="20"/>
    </row>
    <row r="463" spans="2:22" ht="51">
      <c r="B463" s="11" t="s">
        <v>2789</v>
      </c>
      <c r="C463" s="23" t="s">
        <v>33</v>
      </c>
      <c r="D463" s="13" t="s">
        <v>896</v>
      </c>
      <c r="E463" s="24">
        <v>1575000</v>
      </c>
      <c r="F463" s="25">
        <f>Table2[[#This Row],[Price]]/Table2[[#This Row],[Tot Ht Area]]</f>
        <v>235.99041054839677</v>
      </c>
      <c r="G463" s="16">
        <v>6674</v>
      </c>
      <c r="H463" s="16">
        <v>8520</v>
      </c>
      <c r="I463" s="17" t="s">
        <v>2790</v>
      </c>
      <c r="J463" s="18" t="s">
        <v>2791</v>
      </c>
      <c r="K463" s="19" t="s">
        <v>101</v>
      </c>
      <c r="L463" s="19" t="s">
        <v>1569</v>
      </c>
      <c r="M463" s="19" t="s">
        <v>2792</v>
      </c>
      <c r="N463" s="20" t="s">
        <v>1598</v>
      </c>
      <c r="O463" s="20" t="s">
        <v>27</v>
      </c>
      <c r="P463" s="21" t="s">
        <v>2793</v>
      </c>
      <c r="Q463" s="20"/>
      <c r="R463" s="20" t="s">
        <v>2794</v>
      </c>
      <c r="S463" s="20"/>
      <c r="T463" s="20"/>
      <c r="U463" s="20"/>
      <c r="V463" s="20"/>
    </row>
    <row r="464" spans="2:22" ht="34">
      <c r="B464" s="11" t="s">
        <v>2795</v>
      </c>
      <c r="C464" s="23" t="s">
        <v>33</v>
      </c>
      <c r="D464" s="13" t="s">
        <v>322</v>
      </c>
      <c r="E464" s="24">
        <v>724954</v>
      </c>
      <c r="F464" s="25">
        <f>Table2[[#This Row],[Price]]/Table2[[#This Row],[Tot Ht Area]]</f>
        <v>206.53960113960113</v>
      </c>
      <c r="G464" s="16">
        <v>3510</v>
      </c>
      <c r="H464" s="16">
        <v>3762</v>
      </c>
      <c r="I464" s="17" t="s">
        <v>2796</v>
      </c>
      <c r="J464" s="18" t="s">
        <v>2797</v>
      </c>
      <c r="K464" s="19" t="s">
        <v>37</v>
      </c>
      <c r="L464" s="19" t="s">
        <v>143</v>
      </c>
      <c r="M464" s="19" t="s">
        <v>2798</v>
      </c>
      <c r="N464" s="20" t="s">
        <v>1598</v>
      </c>
      <c r="O464" s="20" t="s">
        <v>1812</v>
      </c>
      <c r="P464" s="21" t="s">
        <v>2799</v>
      </c>
      <c r="Q464" s="20" t="s">
        <v>2800</v>
      </c>
      <c r="R464" s="20" t="s">
        <v>2801</v>
      </c>
      <c r="S464" s="20"/>
      <c r="T464" s="20"/>
      <c r="U464" s="20"/>
      <c r="V464" s="20"/>
    </row>
    <row r="465" spans="2:22" ht="17">
      <c r="B465" s="11" t="s">
        <v>2802</v>
      </c>
      <c r="C465" s="23" t="s">
        <v>33</v>
      </c>
      <c r="D465" s="13" t="s">
        <v>896</v>
      </c>
      <c r="E465" s="24">
        <v>100</v>
      </c>
      <c r="F465" s="25">
        <f>Table2[[#This Row],[Price]]/Table2[[#This Row],[Tot Ht Area]]</f>
        <v>2.3315458148752622E-2</v>
      </c>
      <c r="G465" s="16">
        <v>4289</v>
      </c>
      <c r="H465" s="16">
        <v>4604</v>
      </c>
      <c r="I465" s="17" t="s">
        <v>2803</v>
      </c>
      <c r="J465" s="18" t="s">
        <v>1170</v>
      </c>
      <c r="K465" s="19" t="s">
        <v>101</v>
      </c>
      <c r="L465" s="19" t="s">
        <v>2621</v>
      </c>
      <c r="M465" s="19" t="s">
        <v>2804</v>
      </c>
      <c r="N465" s="20" t="s">
        <v>1598</v>
      </c>
      <c r="O465" s="20" t="s">
        <v>27</v>
      </c>
      <c r="P465" s="21" t="s">
        <v>2805</v>
      </c>
      <c r="Q465" s="20" t="s">
        <v>2806</v>
      </c>
      <c r="R465" s="20" t="s">
        <v>2807</v>
      </c>
      <c r="S465" s="20"/>
      <c r="T465" s="20" t="s">
        <v>6318</v>
      </c>
      <c r="U465" s="20"/>
      <c r="V465" s="20"/>
    </row>
    <row r="466" spans="2:22" ht="51">
      <c r="B466" s="11" t="s">
        <v>2808</v>
      </c>
      <c r="C466" s="23" t="s">
        <v>33</v>
      </c>
      <c r="D466" s="13" t="s">
        <v>1418</v>
      </c>
      <c r="E466" s="24">
        <v>100</v>
      </c>
      <c r="F466" s="25">
        <f>Table2[[#This Row],[Price]]/Table2[[#This Row],[Tot Ht Area]]</f>
        <v>1.7633574325515784E-2</v>
      </c>
      <c r="G466" s="16">
        <v>5671</v>
      </c>
      <c r="H466" s="16">
        <v>5864</v>
      </c>
      <c r="I466" s="17" t="s">
        <v>2809</v>
      </c>
      <c r="J466" s="18" t="s">
        <v>491</v>
      </c>
      <c r="K466" s="19" t="s">
        <v>37</v>
      </c>
      <c r="L466" s="19" t="s">
        <v>2621</v>
      </c>
      <c r="M466" s="19" t="s">
        <v>2810</v>
      </c>
      <c r="N466" s="20" t="s">
        <v>1598</v>
      </c>
      <c r="O466" s="20" t="s">
        <v>27</v>
      </c>
      <c r="P466" s="21" t="s">
        <v>2811</v>
      </c>
      <c r="Q466" s="20"/>
      <c r="R466" s="20" t="s">
        <v>2812</v>
      </c>
      <c r="S466" s="20"/>
      <c r="T466" s="20" t="s">
        <v>6318</v>
      </c>
      <c r="U466" s="20"/>
      <c r="V466" s="20"/>
    </row>
    <row r="467" spans="2:22" ht="17">
      <c r="B467" s="11" t="s">
        <v>2813</v>
      </c>
      <c r="C467" s="23" t="s">
        <v>33</v>
      </c>
      <c r="D467" s="13" t="s">
        <v>925</v>
      </c>
      <c r="E467" s="24">
        <v>100</v>
      </c>
      <c r="F467" s="25">
        <f>Table2[[#This Row],[Price]]/Table2[[#This Row],[Tot Ht Area]]</f>
        <v>3.4722222222222224E-2</v>
      </c>
      <c r="G467" s="16">
        <v>2880</v>
      </c>
      <c r="H467" s="16">
        <v>4008</v>
      </c>
      <c r="I467" s="17" t="s">
        <v>2814</v>
      </c>
      <c r="J467" s="18" t="s">
        <v>1624</v>
      </c>
      <c r="K467" s="19" t="s">
        <v>37</v>
      </c>
      <c r="L467" s="19" t="s">
        <v>152</v>
      </c>
      <c r="M467" s="19" t="s">
        <v>2815</v>
      </c>
      <c r="N467" s="20" t="s">
        <v>1598</v>
      </c>
      <c r="O467" s="20" t="s">
        <v>1812</v>
      </c>
      <c r="P467" s="21" t="s">
        <v>2816</v>
      </c>
      <c r="Q467" s="20"/>
      <c r="R467" s="20" t="s">
        <v>2817</v>
      </c>
      <c r="S467" s="20"/>
      <c r="T467" s="20" t="s">
        <v>6318</v>
      </c>
      <c r="U467" s="20"/>
      <c r="V467" s="20"/>
    </row>
    <row r="468" spans="2:22" ht="17">
      <c r="B468" s="11" t="s">
        <v>2818</v>
      </c>
      <c r="C468" s="23" t="s">
        <v>33</v>
      </c>
      <c r="D468" s="13" t="s">
        <v>108</v>
      </c>
      <c r="E468" s="24">
        <v>2150000</v>
      </c>
      <c r="F468" s="25">
        <f>Table2[[#This Row],[Price]]/Table2[[#This Row],[Tot Ht Area]]</f>
        <v>381.34090102873358</v>
      </c>
      <c r="G468" s="16">
        <v>5638</v>
      </c>
      <c r="H468" s="16">
        <v>5834</v>
      </c>
      <c r="I468" s="17" t="s">
        <v>2819</v>
      </c>
      <c r="J468" s="18" t="s">
        <v>135</v>
      </c>
      <c r="K468" s="19" t="s">
        <v>101</v>
      </c>
      <c r="L468" s="19" t="s">
        <v>2621</v>
      </c>
      <c r="M468" s="19" t="s">
        <v>2820</v>
      </c>
      <c r="N468" s="20" t="s">
        <v>1598</v>
      </c>
      <c r="O468" s="20" t="s">
        <v>27</v>
      </c>
      <c r="P468" s="21" t="s">
        <v>2821</v>
      </c>
      <c r="Q468" s="20" t="s">
        <v>2822</v>
      </c>
      <c r="R468" s="20" t="s">
        <v>2823</v>
      </c>
      <c r="S468" s="20"/>
      <c r="T468" s="20"/>
      <c r="U468" s="20"/>
      <c r="V468" s="20"/>
    </row>
    <row r="469" spans="2:22" ht="17">
      <c r="B469" s="11" t="s">
        <v>2824</v>
      </c>
      <c r="C469" s="23" t="s">
        <v>33</v>
      </c>
      <c r="D469" s="13" t="s">
        <v>571</v>
      </c>
      <c r="E469" s="24">
        <v>100</v>
      </c>
      <c r="F469" s="25">
        <f>Table2[[#This Row],[Price]]/Table2[[#This Row],[Tot Ht Area]]</f>
        <v>2.6041666666666668E-2</v>
      </c>
      <c r="G469" s="16">
        <v>3840</v>
      </c>
      <c r="H469" s="16">
        <v>7080</v>
      </c>
      <c r="I469" s="17" t="s">
        <v>2825</v>
      </c>
      <c r="J469" s="18" t="s">
        <v>1624</v>
      </c>
      <c r="K469" s="19" t="s">
        <v>101</v>
      </c>
      <c r="L469" s="19" t="s">
        <v>2535</v>
      </c>
      <c r="M469" s="19" t="s">
        <v>2826</v>
      </c>
      <c r="N469" s="20" t="s">
        <v>1598</v>
      </c>
      <c r="O469" s="20" t="s">
        <v>27</v>
      </c>
      <c r="P469" s="21" t="s">
        <v>2827</v>
      </c>
      <c r="Q469" s="20" t="s">
        <v>2828</v>
      </c>
      <c r="R469" s="20" t="s">
        <v>2829</v>
      </c>
      <c r="S469" s="20"/>
      <c r="T469" s="20" t="s">
        <v>6318</v>
      </c>
      <c r="U469" s="20"/>
      <c r="V469" s="20"/>
    </row>
    <row r="470" spans="2:22" ht="17">
      <c r="B470" s="11" t="s">
        <v>2830</v>
      </c>
      <c r="C470" s="23" t="s">
        <v>33</v>
      </c>
      <c r="D470" s="13" t="s">
        <v>474</v>
      </c>
      <c r="E470" s="24">
        <v>100</v>
      </c>
      <c r="F470" s="25">
        <f>Table2[[#This Row],[Price]]/Table2[[#This Row],[Tot Ht Area]]</f>
        <v>6.8804183294344295E-3</v>
      </c>
      <c r="G470" s="16">
        <v>14534</v>
      </c>
      <c r="H470" s="16">
        <v>18794</v>
      </c>
      <c r="I470" s="17" t="s">
        <v>2831</v>
      </c>
      <c r="J470" s="18" t="s">
        <v>2150</v>
      </c>
      <c r="K470" s="19" t="s">
        <v>37</v>
      </c>
      <c r="L470" s="19" t="s">
        <v>2535</v>
      </c>
      <c r="M470" s="19" t="s">
        <v>2832</v>
      </c>
      <c r="N470" s="20" t="s">
        <v>1598</v>
      </c>
      <c r="O470" s="20" t="s">
        <v>27</v>
      </c>
      <c r="P470" s="21" t="s">
        <v>2833</v>
      </c>
      <c r="Q470" s="20"/>
      <c r="R470" s="20" t="s">
        <v>2834</v>
      </c>
      <c r="S470" s="20"/>
      <c r="T470" s="20" t="s">
        <v>6318</v>
      </c>
      <c r="U470" s="20"/>
      <c r="V470" s="20"/>
    </row>
    <row r="471" spans="2:22" ht="17">
      <c r="B471" s="11" t="s">
        <v>2835</v>
      </c>
      <c r="C471" s="23" t="s">
        <v>33</v>
      </c>
      <c r="D471" s="13" t="s">
        <v>896</v>
      </c>
      <c r="E471" s="24">
        <v>1134700</v>
      </c>
      <c r="F471" s="25">
        <f>Table2[[#This Row],[Price]]/Table2[[#This Row],[Tot Ht Area]]</f>
        <v>83.403160602719595</v>
      </c>
      <c r="G471" s="16">
        <v>13605</v>
      </c>
      <c r="H471" s="16">
        <v>13853</v>
      </c>
      <c r="I471" s="17" t="s">
        <v>2836</v>
      </c>
      <c r="J471" s="18" t="s">
        <v>2837</v>
      </c>
      <c r="K471" s="19" t="s">
        <v>101</v>
      </c>
      <c r="L471" s="19" t="s">
        <v>2621</v>
      </c>
      <c r="M471" s="19" t="s">
        <v>2838</v>
      </c>
      <c r="N471" s="20" t="s">
        <v>1598</v>
      </c>
      <c r="O471" s="20" t="s">
        <v>27</v>
      </c>
      <c r="P471" s="21" t="s">
        <v>2839</v>
      </c>
      <c r="Q471" s="20"/>
      <c r="R471" s="20" t="s">
        <v>2840</v>
      </c>
      <c r="S471" s="20"/>
      <c r="T471" s="20"/>
      <c r="U471" s="20"/>
      <c r="V471" s="20"/>
    </row>
    <row r="472" spans="2:22" ht="34">
      <c r="B472" s="11" t="s">
        <v>2841</v>
      </c>
      <c r="C472" s="23" t="s">
        <v>33</v>
      </c>
      <c r="D472" s="13" t="s">
        <v>729</v>
      </c>
      <c r="E472" s="24">
        <v>1365000</v>
      </c>
      <c r="F472" s="25">
        <f>Table2[[#This Row],[Price]]/Table2[[#This Row],[Tot Ht Area]]</f>
        <v>396.22641509433964</v>
      </c>
      <c r="G472" s="16">
        <v>3445</v>
      </c>
      <c r="H472" s="16">
        <v>3480</v>
      </c>
      <c r="I472" s="17" t="s">
        <v>2842</v>
      </c>
      <c r="J472" s="18" t="s">
        <v>491</v>
      </c>
      <c r="K472" s="19" t="s">
        <v>101</v>
      </c>
      <c r="L472" s="19" t="s">
        <v>2621</v>
      </c>
      <c r="M472" s="19" t="s">
        <v>2843</v>
      </c>
      <c r="N472" s="20" t="s">
        <v>1598</v>
      </c>
      <c r="O472" s="20" t="s">
        <v>27</v>
      </c>
      <c r="P472" s="21" t="s">
        <v>2844</v>
      </c>
      <c r="Q472" s="20" t="s">
        <v>2845</v>
      </c>
      <c r="R472" s="20" t="s">
        <v>2846</v>
      </c>
      <c r="S472" s="20"/>
      <c r="T472" s="20"/>
      <c r="U472" s="20"/>
      <c r="V472" s="20"/>
    </row>
    <row r="473" spans="2:22" ht="17">
      <c r="B473" s="11" t="s">
        <v>2847</v>
      </c>
      <c r="C473" s="23" t="s">
        <v>33</v>
      </c>
      <c r="D473" s="13" t="s">
        <v>407</v>
      </c>
      <c r="E473" s="24">
        <v>1799900</v>
      </c>
      <c r="F473" s="25">
        <f>Table2[[#This Row],[Price]]/Table2[[#This Row],[Tot Ht Area]]</f>
        <v>264.96393346091565</v>
      </c>
      <c r="G473" s="16">
        <v>6793</v>
      </c>
      <c r="H473" s="16">
        <v>7005</v>
      </c>
      <c r="I473" s="17" t="s">
        <v>2848</v>
      </c>
      <c r="J473" s="18" t="s">
        <v>2791</v>
      </c>
      <c r="K473" s="19" t="s">
        <v>101</v>
      </c>
      <c r="L473" s="19" t="s">
        <v>2621</v>
      </c>
      <c r="M473" s="19" t="s">
        <v>2849</v>
      </c>
      <c r="N473" s="20" t="s">
        <v>1598</v>
      </c>
      <c r="O473" s="20" t="s">
        <v>1812</v>
      </c>
      <c r="P473" s="21" t="s">
        <v>2850</v>
      </c>
      <c r="Q473" s="20"/>
      <c r="R473" s="20" t="s">
        <v>2851</v>
      </c>
      <c r="S473" s="20"/>
      <c r="T473" s="20"/>
      <c r="U473" s="20"/>
      <c r="V473" s="20"/>
    </row>
    <row r="474" spans="2:22" ht="17">
      <c r="B474" s="11" t="s">
        <v>2852</v>
      </c>
      <c r="C474" s="23" t="s">
        <v>33</v>
      </c>
      <c r="D474" s="13" t="s">
        <v>398</v>
      </c>
      <c r="E474" s="24">
        <v>2200000</v>
      </c>
      <c r="F474" s="25">
        <f>Table2[[#This Row],[Price]]/Table2[[#This Row],[Tot Ht Area]]</f>
        <v>317.46031746031747</v>
      </c>
      <c r="G474" s="16">
        <v>6930</v>
      </c>
      <c r="H474" s="16">
        <v>7030</v>
      </c>
      <c r="I474" s="17" t="s">
        <v>2853</v>
      </c>
      <c r="J474" s="18" t="s">
        <v>2854</v>
      </c>
      <c r="K474" s="19" t="s">
        <v>101</v>
      </c>
      <c r="L474" s="19" t="s">
        <v>2621</v>
      </c>
      <c r="M474" s="19" t="s">
        <v>2855</v>
      </c>
      <c r="N474" s="20" t="s">
        <v>1598</v>
      </c>
      <c r="O474" s="20" t="s">
        <v>27</v>
      </c>
      <c r="P474" s="21" t="s">
        <v>2856</v>
      </c>
      <c r="Q474" s="20" t="s">
        <v>2857</v>
      </c>
      <c r="R474" s="20" t="s">
        <v>2858</v>
      </c>
      <c r="S474" s="20"/>
      <c r="T474" s="20"/>
      <c r="U474" s="20"/>
      <c r="V474" s="20"/>
    </row>
    <row r="475" spans="2:22" ht="34">
      <c r="B475" s="11" t="s">
        <v>2859</v>
      </c>
      <c r="C475" s="23" t="s">
        <v>33</v>
      </c>
      <c r="D475" s="13" t="s">
        <v>1908</v>
      </c>
      <c r="E475" s="24">
        <v>2100000</v>
      </c>
      <c r="F475" s="25">
        <f>Table2[[#This Row],[Price]]/Table2[[#This Row],[Tot Ht Area]]</f>
        <v>462.55506607929516</v>
      </c>
      <c r="G475" s="16">
        <v>4540</v>
      </c>
      <c r="H475" s="16">
        <v>4800</v>
      </c>
      <c r="I475" s="17" t="s">
        <v>2860</v>
      </c>
      <c r="J475" s="18" t="s">
        <v>2335</v>
      </c>
      <c r="K475" s="19" t="s">
        <v>101</v>
      </c>
      <c r="L475" s="19" t="s">
        <v>2621</v>
      </c>
      <c r="M475" s="19" t="s">
        <v>2861</v>
      </c>
      <c r="N475" s="20" t="s">
        <v>1598</v>
      </c>
      <c r="O475" s="20" t="s">
        <v>27</v>
      </c>
      <c r="P475" s="21" t="s">
        <v>2862</v>
      </c>
      <c r="Q475" s="20"/>
      <c r="R475" s="20" t="s">
        <v>2863</v>
      </c>
      <c r="S475" s="20"/>
      <c r="T475" s="20"/>
      <c r="U475" s="20"/>
      <c r="V475" s="20"/>
    </row>
    <row r="476" spans="2:22" ht="17">
      <c r="B476" s="11" t="s">
        <v>2864</v>
      </c>
      <c r="C476" s="23" t="s">
        <v>678</v>
      </c>
      <c r="D476" s="13" t="s">
        <v>207</v>
      </c>
      <c r="E476" s="24">
        <v>4100000</v>
      </c>
      <c r="F476" s="25">
        <f>Table2[[#This Row],[Price]]/Table2[[#This Row],[Tot Ht Area]]</f>
        <v>193.90843738176315</v>
      </c>
      <c r="G476" s="16">
        <v>21144</v>
      </c>
      <c r="H476" s="16">
        <v>21144</v>
      </c>
      <c r="I476" s="17" t="s">
        <v>2865</v>
      </c>
      <c r="J476" s="18" t="s">
        <v>2230</v>
      </c>
      <c r="K476" s="19" t="s">
        <v>1603</v>
      </c>
      <c r="L476" s="19" t="s">
        <v>2866</v>
      </c>
      <c r="M476" s="19" t="s">
        <v>2867</v>
      </c>
      <c r="N476" s="20" t="s">
        <v>1598</v>
      </c>
      <c r="O476" s="20" t="s">
        <v>27</v>
      </c>
      <c r="P476" s="21" t="s">
        <v>2868</v>
      </c>
      <c r="Q476" s="20" t="s">
        <v>2869</v>
      </c>
      <c r="R476" s="20" t="s">
        <v>2870</v>
      </c>
      <c r="S476" s="20"/>
      <c r="T476" s="20"/>
      <c r="U476" s="20"/>
      <c r="V476" s="20"/>
    </row>
    <row r="477" spans="2:22" ht="17">
      <c r="B477" s="11" t="s">
        <v>2871</v>
      </c>
      <c r="C477" s="23" t="s">
        <v>678</v>
      </c>
      <c r="D477" s="13" t="s">
        <v>709</v>
      </c>
      <c r="E477" s="24">
        <v>586700</v>
      </c>
      <c r="F477" s="25">
        <f>Table2[[#This Row],[Price]]/Table2[[#This Row],[Tot Ht Area]]</f>
        <v>50.893476752255381</v>
      </c>
      <c r="G477" s="16">
        <v>11528</v>
      </c>
      <c r="H477" s="16">
        <v>11917</v>
      </c>
      <c r="I477" s="17" t="s">
        <v>1996</v>
      </c>
      <c r="J477" s="18" t="s">
        <v>358</v>
      </c>
      <c r="K477" s="19" t="s">
        <v>1603</v>
      </c>
      <c r="L477" s="19" t="s">
        <v>689</v>
      </c>
      <c r="M477" s="19" t="s">
        <v>2872</v>
      </c>
      <c r="N477" s="20" t="s">
        <v>1598</v>
      </c>
      <c r="O477" s="20" t="s">
        <v>27</v>
      </c>
      <c r="P477" s="21" t="s">
        <v>1998</v>
      </c>
      <c r="Q477" s="20"/>
      <c r="R477" s="20" t="s">
        <v>2873</v>
      </c>
      <c r="S477" s="20"/>
      <c r="T477" s="20"/>
      <c r="U477" s="20"/>
      <c r="V477" s="20"/>
    </row>
    <row r="478" spans="2:22" ht="34">
      <c r="B478" s="11" t="s">
        <v>2874</v>
      </c>
      <c r="C478" s="23" t="s">
        <v>678</v>
      </c>
      <c r="D478" s="13" t="s">
        <v>124</v>
      </c>
      <c r="E478" s="24">
        <v>1050000</v>
      </c>
      <c r="F478" s="25">
        <f>Table2[[#This Row],[Price]]/Table2[[#This Row],[Tot Ht Area]]</f>
        <v>232.71276595744681</v>
      </c>
      <c r="G478" s="16">
        <v>4512</v>
      </c>
      <c r="H478" s="16">
        <v>4680</v>
      </c>
      <c r="I478" s="17" t="s">
        <v>2875</v>
      </c>
      <c r="J478" s="18" t="s">
        <v>358</v>
      </c>
      <c r="K478" s="19" t="s">
        <v>680</v>
      </c>
      <c r="L478" s="19" t="s">
        <v>681</v>
      </c>
      <c r="M478" s="19" t="s">
        <v>2876</v>
      </c>
      <c r="N478" s="20" t="s">
        <v>1598</v>
      </c>
      <c r="O478" s="20" t="s">
        <v>27</v>
      </c>
      <c r="P478" s="21" t="s">
        <v>2877</v>
      </c>
      <c r="Q478" s="20"/>
      <c r="R478" s="20" t="s">
        <v>2878</v>
      </c>
      <c r="S478" s="20"/>
      <c r="T478" s="20"/>
      <c r="U478" s="20"/>
      <c r="V478" s="20"/>
    </row>
    <row r="479" spans="2:22" ht="34">
      <c r="B479" s="11" t="s">
        <v>2879</v>
      </c>
      <c r="C479" s="23" t="s">
        <v>678</v>
      </c>
      <c r="D479" s="13" t="s">
        <v>90</v>
      </c>
      <c r="E479" s="24">
        <v>100</v>
      </c>
      <c r="F479" s="25">
        <f>Table2[[#This Row],[Price]]/Table2[[#This Row],[Tot Ht Area]]</f>
        <v>2.0845493204369216E-3</v>
      </c>
      <c r="G479" s="16">
        <v>47972</v>
      </c>
      <c r="H479" s="16">
        <v>52552</v>
      </c>
      <c r="I479" s="17" t="s">
        <v>2880</v>
      </c>
      <c r="J479" s="18" t="s">
        <v>1138</v>
      </c>
      <c r="K479" s="19" t="s">
        <v>1603</v>
      </c>
      <c r="L479" s="19" t="s">
        <v>689</v>
      </c>
      <c r="M479" s="19" t="s">
        <v>2881</v>
      </c>
      <c r="N479" s="20" t="s">
        <v>1598</v>
      </c>
      <c r="O479" s="20" t="s">
        <v>27</v>
      </c>
      <c r="P479" s="21" t="s">
        <v>2882</v>
      </c>
      <c r="Q479" s="20" t="s">
        <v>2883</v>
      </c>
      <c r="R479" s="20" t="s">
        <v>2884</v>
      </c>
      <c r="S479" s="20"/>
      <c r="T479" s="20" t="s">
        <v>6318</v>
      </c>
      <c r="U479" s="20"/>
      <c r="V479" s="20"/>
    </row>
    <row r="480" spans="2:22" ht="17">
      <c r="B480" s="11" t="s">
        <v>2885</v>
      </c>
      <c r="C480" s="23" t="s">
        <v>678</v>
      </c>
      <c r="D480" s="13" t="s">
        <v>336</v>
      </c>
      <c r="E480" s="24">
        <v>882900</v>
      </c>
      <c r="F480" s="25">
        <f>Table2[[#This Row],[Price]]/Table2[[#This Row],[Tot Ht Area]]</f>
        <v>270.49632352941177</v>
      </c>
      <c r="G480" s="16">
        <v>3264</v>
      </c>
      <c r="H480" s="16">
        <v>4996</v>
      </c>
      <c r="I480" s="17" t="s">
        <v>2886</v>
      </c>
      <c r="J480" s="18" t="s">
        <v>2887</v>
      </c>
      <c r="K480" s="19" t="s">
        <v>801</v>
      </c>
      <c r="L480" s="19" t="s">
        <v>681</v>
      </c>
      <c r="M480" s="19" t="s">
        <v>2888</v>
      </c>
      <c r="N480" s="20" t="s">
        <v>1598</v>
      </c>
      <c r="O480" s="20" t="s">
        <v>27</v>
      </c>
      <c r="P480" s="21" t="s">
        <v>2882</v>
      </c>
      <c r="Q480" s="20"/>
      <c r="R480" s="20" t="s">
        <v>2889</v>
      </c>
      <c r="S480" s="20"/>
      <c r="T480" s="20"/>
      <c r="U480" s="20"/>
      <c r="V480" s="20"/>
    </row>
    <row r="481" spans="1:22" ht="34">
      <c r="B481" s="11" t="s">
        <v>2890</v>
      </c>
      <c r="C481" s="23" t="s">
        <v>678</v>
      </c>
      <c r="D481" s="13" t="s">
        <v>45</v>
      </c>
      <c r="E481" s="24"/>
      <c r="F481" s="25">
        <f>Table2[[#This Row],[Price]]/Table2[[#This Row],[Tot Ht Area]]</f>
        <v>0</v>
      </c>
      <c r="G481" s="16">
        <v>13932</v>
      </c>
      <c r="H481" s="16">
        <v>24264</v>
      </c>
      <c r="I481" s="17" t="s">
        <v>2891</v>
      </c>
      <c r="J481" s="18" t="s">
        <v>262</v>
      </c>
      <c r="K481" s="19" t="s">
        <v>1603</v>
      </c>
      <c r="L481" s="19"/>
      <c r="M481" s="19" t="s">
        <v>2892</v>
      </c>
      <c r="N481" s="20" t="s">
        <v>1598</v>
      </c>
      <c r="O481" s="20" t="s">
        <v>27</v>
      </c>
      <c r="P481" s="21" t="s">
        <v>2893</v>
      </c>
      <c r="Q481" s="20"/>
      <c r="R481" s="20" t="s">
        <v>2894</v>
      </c>
      <c r="S481" s="20"/>
      <c r="T481" s="20"/>
      <c r="U481" s="20"/>
      <c r="V481" s="20"/>
    </row>
    <row r="482" spans="1:22" ht="51">
      <c r="B482" s="11" t="s">
        <v>2895</v>
      </c>
      <c r="C482" s="23" t="s">
        <v>678</v>
      </c>
      <c r="D482" s="13" t="s">
        <v>231</v>
      </c>
      <c r="E482" s="24">
        <v>100</v>
      </c>
      <c r="F482" s="25">
        <f>Table2[[#This Row],[Price]]/Table2[[#This Row],[Tot Ht Area]]</f>
        <v>6.3195146612740139E-3</v>
      </c>
      <c r="G482" s="16">
        <v>15824</v>
      </c>
      <c r="H482" s="16">
        <v>18187</v>
      </c>
      <c r="I482" s="17" t="s">
        <v>2896</v>
      </c>
      <c r="J482" s="18" t="s">
        <v>233</v>
      </c>
      <c r="K482" s="19" t="s">
        <v>680</v>
      </c>
      <c r="L482" s="19"/>
      <c r="M482" s="19" t="s">
        <v>2897</v>
      </c>
      <c r="N482" s="20" t="s">
        <v>1598</v>
      </c>
      <c r="O482" s="20" t="s">
        <v>27</v>
      </c>
      <c r="P482" s="21" t="s">
        <v>2898</v>
      </c>
      <c r="Q482" s="20" t="s">
        <v>2899</v>
      </c>
      <c r="R482" s="20" t="s">
        <v>2900</v>
      </c>
      <c r="S482" s="20"/>
      <c r="T482" s="20" t="s">
        <v>6318</v>
      </c>
      <c r="U482" s="20"/>
      <c r="V482" s="20"/>
    </row>
    <row r="483" spans="1:22" ht="34">
      <c r="B483" s="11" t="s">
        <v>2901</v>
      </c>
      <c r="C483" s="23" t="s">
        <v>678</v>
      </c>
      <c r="D483" s="13" t="s">
        <v>90</v>
      </c>
      <c r="E483" s="24">
        <v>1500000</v>
      </c>
      <c r="F483" s="25">
        <f>Table2[[#This Row],[Price]]/Table2[[#This Row],[Tot Ht Area]]</f>
        <v>436.80838672102504</v>
      </c>
      <c r="G483" s="16">
        <v>3434</v>
      </c>
      <c r="H483" s="16">
        <v>4293</v>
      </c>
      <c r="I483" s="17" t="s">
        <v>2902</v>
      </c>
      <c r="J483" s="18" t="s">
        <v>566</v>
      </c>
      <c r="K483" s="19" t="s">
        <v>680</v>
      </c>
      <c r="L483" s="19"/>
      <c r="M483" s="19" t="s">
        <v>2903</v>
      </c>
      <c r="N483" s="20" t="s">
        <v>1598</v>
      </c>
      <c r="O483" s="20" t="s">
        <v>27</v>
      </c>
      <c r="P483" s="21" t="s">
        <v>2904</v>
      </c>
      <c r="Q483" s="20" t="s">
        <v>2905</v>
      </c>
      <c r="R483" s="20" t="s">
        <v>2906</v>
      </c>
      <c r="S483" s="20"/>
      <c r="T483" s="20"/>
      <c r="U483" s="20"/>
      <c r="V483" s="20"/>
    </row>
    <row r="484" spans="1:22" ht="34">
      <c r="A484">
        <v>3</v>
      </c>
      <c r="B484" s="11" t="s">
        <v>2907</v>
      </c>
      <c r="C484" s="23" t="s">
        <v>678</v>
      </c>
      <c r="D484" s="13" t="s">
        <v>223</v>
      </c>
      <c r="E484" s="24">
        <v>17750000</v>
      </c>
      <c r="F484" s="25">
        <f>Table2[[#This Row],[Price]]/Table2[[#This Row],[Tot Ht Area]]</f>
        <v>171.13217188418932</v>
      </c>
      <c r="G484" s="16">
        <v>103721</v>
      </c>
      <c r="H484" s="16">
        <v>106321</v>
      </c>
      <c r="I484" s="17" t="s">
        <v>2908</v>
      </c>
      <c r="J484" s="18" t="s">
        <v>225</v>
      </c>
      <c r="K484" s="19" t="s">
        <v>801</v>
      </c>
      <c r="L484" s="19" t="s">
        <v>689</v>
      </c>
      <c r="M484" s="19" t="s">
        <v>2909</v>
      </c>
      <c r="N484" s="20" t="s">
        <v>1598</v>
      </c>
      <c r="O484" s="20" t="s">
        <v>27</v>
      </c>
      <c r="P484" s="21" t="s">
        <v>2910</v>
      </c>
      <c r="Q484" s="20" t="s">
        <v>2911</v>
      </c>
      <c r="R484" s="20" t="s">
        <v>2912</v>
      </c>
      <c r="S484" s="20"/>
      <c r="T484" s="20"/>
      <c r="U484" s="20"/>
      <c r="V484" s="20"/>
    </row>
    <row r="485" spans="1:22" ht="34">
      <c r="B485" s="11" t="s">
        <v>2913</v>
      </c>
      <c r="C485" s="23" t="s">
        <v>678</v>
      </c>
      <c r="D485" s="13" t="s">
        <v>55</v>
      </c>
      <c r="E485" s="24">
        <v>31500000</v>
      </c>
      <c r="F485" s="25">
        <f>Table2[[#This Row],[Price]]/Table2[[#This Row],[Tot Ht Area]]</f>
        <v>189.12557938471144</v>
      </c>
      <c r="G485" s="16">
        <v>166556</v>
      </c>
      <c r="H485" s="16">
        <v>166556</v>
      </c>
      <c r="I485" s="17" t="s">
        <v>2914</v>
      </c>
      <c r="J485" s="18" t="s">
        <v>241</v>
      </c>
      <c r="K485" s="19" t="s">
        <v>1603</v>
      </c>
      <c r="L485" s="19" t="s">
        <v>689</v>
      </c>
      <c r="M485" s="19" t="s">
        <v>2915</v>
      </c>
      <c r="N485" s="20" t="s">
        <v>1598</v>
      </c>
      <c r="O485" s="20" t="s">
        <v>27</v>
      </c>
      <c r="P485" s="21" t="s">
        <v>2916</v>
      </c>
      <c r="Q485" s="20"/>
      <c r="R485" s="20" t="s">
        <v>2917</v>
      </c>
      <c r="S485" s="20"/>
      <c r="T485" s="20"/>
      <c r="U485" s="20"/>
      <c r="V485" s="20"/>
    </row>
    <row r="486" spans="1:22" ht="34">
      <c r="B486" s="11" t="s">
        <v>2918</v>
      </c>
      <c r="C486" s="23" t="s">
        <v>678</v>
      </c>
      <c r="D486" s="13" t="s">
        <v>55</v>
      </c>
      <c r="E486" s="24">
        <v>19488900</v>
      </c>
      <c r="F486" s="25">
        <f>Table2[[#This Row],[Price]]/Table2[[#This Row],[Tot Ht Area]]</f>
        <v>186.52878007695105</v>
      </c>
      <c r="G486" s="16">
        <v>104482</v>
      </c>
      <c r="H486" s="16">
        <v>106196</v>
      </c>
      <c r="I486" s="17" t="s">
        <v>2919</v>
      </c>
      <c r="J486" s="18" t="s">
        <v>83</v>
      </c>
      <c r="K486" s="19" t="s">
        <v>1603</v>
      </c>
      <c r="L486" s="19" t="s">
        <v>689</v>
      </c>
      <c r="M486" s="19" t="s">
        <v>2920</v>
      </c>
      <c r="N486" s="20" t="s">
        <v>1598</v>
      </c>
      <c r="O486" s="20" t="s">
        <v>27</v>
      </c>
      <c r="P486" s="21" t="s">
        <v>2921</v>
      </c>
      <c r="Q486" s="20"/>
      <c r="R486" s="20" t="s">
        <v>2922</v>
      </c>
      <c r="S486" s="20"/>
      <c r="T486" s="20"/>
      <c r="U486" s="20"/>
      <c r="V486" s="20"/>
    </row>
    <row r="487" spans="1:22" ht="17">
      <c r="B487" s="11" t="s">
        <v>2923</v>
      </c>
      <c r="C487" s="23" t="s">
        <v>678</v>
      </c>
      <c r="D487" s="13" t="s">
        <v>1641</v>
      </c>
      <c r="E487" s="24">
        <v>9318900</v>
      </c>
      <c r="F487" s="25">
        <f>Table2[[#This Row],[Price]]/Table2[[#This Row],[Tot Ht Area]]</f>
        <v>2065.3590425531916</v>
      </c>
      <c r="G487" s="16">
        <v>4512</v>
      </c>
      <c r="H487" s="16">
        <v>13132</v>
      </c>
      <c r="I487" s="17" t="s">
        <v>2924</v>
      </c>
      <c r="J487" s="18" t="s">
        <v>1932</v>
      </c>
      <c r="K487" s="19" t="s">
        <v>680</v>
      </c>
      <c r="L487" s="19"/>
      <c r="M487" s="19" t="s">
        <v>2925</v>
      </c>
      <c r="N487" s="20" t="s">
        <v>1598</v>
      </c>
      <c r="O487" s="20" t="s">
        <v>27</v>
      </c>
      <c r="P487" s="21" t="s">
        <v>2926</v>
      </c>
      <c r="Q487" s="20" t="s">
        <v>2927</v>
      </c>
      <c r="R487" s="20" t="s">
        <v>2928</v>
      </c>
      <c r="S487" s="20"/>
      <c r="T487" s="20"/>
      <c r="U487" s="20"/>
      <c r="V487" s="20"/>
    </row>
    <row r="488" spans="1:22" ht="34">
      <c r="B488" s="11" t="s">
        <v>2929</v>
      </c>
      <c r="C488" s="23" t="s">
        <v>678</v>
      </c>
      <c r="D488" s="13" t="s">
        <v>428</v>
      </c>
      <c r="E488" s="24">
        <v>1100000</v>
      </c>
      <c r="F488" s="25">
        <f>Table2[[#This Row],[Price]]/Table2[[#This Row],[Tot Ht Area]]</f>
        <v>178.62942513803182</v>
      </c>
      <c r="G488" s="16">
        <v>6158</v>
      </c>
      <c r="H488" s="16">
        <v>7238</v>
      </c>
      <c r="I488" s="17" t="s">
        <v>2930</v>
      </c>
      <c r="J488" s="18" t="s">
        <v>400</v>
      </c>
      <c r="K488" s="19" t="s">
        <v>801</v>
      </c>
      <c r="L488" s="19" t="s">
        <v>2931</v>
      </c>
      <c r="M488" s="19" t="s">
        <v>2932</v>
      </c>
      <c r="N488" s="20" t="s">
        <v>1598</v>
      </c>
      <c r="O488" s="20" t="s">
        <v>27</v>
      </c>
      <c r="P488" s="21" t="s">
        <v>2933</v>
      </c>
      <c r="Q488" s="20"/>
      <c r="R488" s="20" t="s">
        <v>2934</v>
      </c>
      <c r="S488" s="20"/>
      <c r="T488" s="20"/>
      <c r="U488" s="20"/>
      <c r="V488" s="20"/>
    </row>
    <row r="489" spans="1:22" ht="17">
      <c r="A489" s="41">
        <v>3</v>
      </c>
      <c r="B489" s="11" t="s">
        <v>2935</v>
      </c>
      <c r="C489" s="23" t="s">
        <v>678</v>
      </c>
      <c r="D489" s="13" t="s">
        <v>207</v>
      </c>
      <c r="E489" s="24">
        <v>417000</v>
      </c>
      <c r="F489" s="25">
        <f>Table2[[#This Row],[Price]]/Table2[[#This Row],[Tot Ht Area]]</f>
        <v>167.60450160771705</v>
      </c>
      <c r="G489" s="16">
        <v>2488</v>
      </c>
      <c r="H489" s="16">
        <v>2640</v>
      </c>
      <c r="I489" s="17" t="s">
        <v>2936</v>
      </c>
      <c r="J489" s="18" t="s">
        <v>126</v>
      </c>
      <c r="K489" s="19" t="s">
        <v>801</v>
      </c>
      <c r="L489" s="19" t="s">
        <v>2937</v>
      </c>
      <c r="M489" s="19" t="s">
        <v>2938</v>
      </c>
      <c r="N489" s="20" t="s">
        <v>1598</v>
      </c>
      <c r="O489" s="20" t="s">
        <v>1812</v>
      </c>
      <c r="P489" s="21" t="s">
        <v>2939</v>
      </c>
      <c r="Q489" s="20" t="s">
        <v>2940</v>
      </c>
      <c r="R489" s="20" t="s">
        <v>2941</v>
      </c>
      <c r="S489" s="20"/>
      <c r="T489" s="20"/>
      <c r="U489" s="20"/>
      <c r="V489" s="20"/>
    </row>
    <row r="490" spans="1:22" ht="17">
      <c r="B490" s="11" t="s">
        <v>2942</v>
      </c>
      <c r="C490" s="23" t="s">
        <v>678</v>
      </c>
      <c r="D490" s="13" t="s">
        <v>745</v>
      </c>
      <c r="E490" s="24">
        <v>600000</v>
      </c>
      <c r="F490" s="25">
        <f>Table2[[#This Row],[Price]]/Table2[[#This Row],[Tot Ht Area]]</f>
        <v>137.80431786862655</v>
      </c>
      <c r="G490" s="16">
        <v>4354</v>
      </c>
      <c r="H490" s="16">
        <v>4642</v>
      </c>
      <c r="I490" s="17" t="s">
        <v>2943</v>
      </c>
      <c r="J490" s="18" t="s">
        <v>1057</v>
      </c>
      <c r="K490" s="19" t="s">
        <v>801</v>
      </c>
      <c r="L490" s="19" t="s">
        <v>2866</v>
      </c>
      <c r="M490" s="19" t="s">
        <v>2944</v>
      </c>
      <c r="N490" s="20" t="s">
        <v>1598</v>
      </c>
      <c r="O490" s="20" t="s">
        <v>27</v>
      </c>
      <c r="P490" s="21" t="s">
        <v>2945</v>
      </c>
      <c r="Q490" s="20"/>
      <c r="R490" s="20" t="s">
        <v>2946</v>
      </c>
      <c r="S490" s="20"/>
      <c r="T490" s="20"/>
      <c r="U490" s="20"/>
      <c r="V490" s="20"/>
    </row>
    <row r="491" spans="1:22" ht="17">
      <c r="B491" s="11" t="s">
        <v>2947</v>
      </c>
      <c r="C491" s="23" t="s">
        <v>678</v>
      </c>
      <c r="D491" s="13" t="s">
        <v>223</v>
      </c>
      <c r="E491" s="24">
        <v>3500000</v>
      </c>
      <c r="F491" s="25">
        <f>Table2[[#This Row],[Price]]/Table2[[#This Row],[Tot Ht Area]]</f>
        <v>266.97177726926009</v>
      </c>
      <c r="G491" s="16">
        <v>13110</v>
      </c>
      <c r="H491" s="16">
        <v>14986</v>
      </c>
      <c r="I491" s="17" t="s">
        <v>2948</v>
      </c>
      <c r="J491" s="18" t="s">
        <v>83</v>
      </c>
      <c r="K491" s="19" t="s">
        <v>680</v>
      </c>
      <c r="L491" s="19" t="s">
        <v>681</v>
      </c>
      <c r="M491" s="19" t="s">
        <v>2949</v>
      </c>
      <c r="N491" s="20" t="s">
        <v>1598</v>
      </c>
      <c r="O491" s="20" t="s">
        <v>27</v>
      </c>
      <c r="P491" s="21" t="s">
        <v>2950</v>
      </c>
      <c r="Q491" s="20"/>
      <c r="R491" s="20" t="s">
        <v>2951</v>
      </c>
      <c r="S491" s="20"/>
      <c r="T491" s="20"/>
      <c r="U491" s="20"/>
      <c r="V491" s="20"/>
    </row>
    <row r="492" spans="1:22" ht="17">
      <c r="B492" s="11" t="s">
        <v>2952</v>
      </c>
      <c r="C492" s="23" t="s">
        <v>678</v>
      </c>
      <c r="D492" s="13" t="s">
        <v>571</v>
      </c>
      <c r="E492" s="24">
        <v>850000</v>
      </c>
      <c r="F492" s="25">
        <f>Table2[[#This Row],[Price]]/Table2[[#This Row],[Tot Ht Area]]</f>
        <v>85.324232081911262</v>
      </c>
      <c r="G492" s="16">
        <v>9962</v>
      </c>
      <c r="H492" s="16">
        <v>10306</v>
      </c>
      <c r="I492" s="17" t="s">
        <v>2948</v>
      </c>
      <c r="J492" s="18" t="s">
        <v>83</v>
      </c>
      <c r="K492" s="19" t="s">
        <v>680</v>
      </c>
      <c r="L492" s="19" t="s">
        <v>689</v>
      </c>
      <c r="M492" s="19" t="s">
        <v>2953</v>
      </c>
      <c r="N492" s="20" t="s">
        <v>1598</v>
      </c>
      <c r="O492" s="20" t="s">
        <v>27</v>
      </c>
      <c r="P492" s="21" t="s">
        <v>2954</v>
      </c>
      <c r="Q492" s="20" t="s">
        <v>2955</v>
      </c>
      <c r="R492" s="20" t="s">
        <v>2956</v>
      </c>
      <c r="S492" s="20"/>
      <c r="T492" s="20"/>
      <c r="U492" s="20"/>
      <c r="V492" s="20"/>
    </row>
    <row r="493" spans="1:22" ht="17">
      <c r="B493" s="11" t="s">
        <v>2957</v>
      </c>
      <c r="C493" s="23" t="s">
        <v>678</v>
      </c>
      <c r="D493" s="13" t="s">
        <v>1418</v>
      </c>
      <c r="E493" s="24">
        <v>575000</v>
      </c>
      <c r="F493" s="25">
        <f>Table2[[#This Row],[Price]]/Table2[[#This Row],[Tot Ht Area]]</f>
        <v>137.69157088122606</v>
      </c>
      <c r="G493" s="16">
        <v>4176</v>
      </c>
      <c r="H493" s="16">
        <v>4872</v>
      </c>
      <c r="I493" s="17" t="s">
        <v>2958</v>
      </c>
      <c r="J493" s="18" t="s">
        <v>23</v>
      </c>
      <c r="K493" s="19" t="s">
        <v>680</v>
      </c>
      <c r="L493" s="19" t="s">
        <v>704</v>
      </c>
      <c r="M493" s="19" t="s">
        <v>2959</v>
      </c>
      <c r="N493" s="20" t="s">
        <v>1598</v>
      </c>
      <c r="O493" s="20" t="s">
        <v>27</v>
      </c>
      <c r="P493" s="21" t="s">
        <v>2960</v>
      </c>
      <c r="Q493" s="20"/>
      <c r="R493" s="20" t="s">
        <v>2961</v>
      </c>
      <c r="S493" s="20"/>
      <c r="T493" s="20"/>
      <c r="U493" s="20"/>
      <c r="V493" s="20"/>
    </row>
    <row r="494" spans="1:22" ht="34">
      <c r="B494" s="11" t="s">
        <v>2962</v>
      </c>
      <c r="C494" s="23" t="s">
        <v>678</v>
      </c>
      <c r="D494" s="13" t="s">
        <v>81</v>
      </c>
      <c r="E494" s="24">
        <v>8885100</v>
      </c>
      <c r="F494" s="25">
        <f>Table2[[#This Row],[Price]]/Table2[[#This Row],[Tot Ht Area]]</f>
        <v>580.57370622059591</v>
      </c>
      <c r="G494" s="16">
        <v>15304</v>
      </c>
      <c r="H494" s="16">
        <v>15354</v>
      </c>
      <c r="I494" s="17" t="s">
        <v>2963</v>
      </c>
      <c r="J494" s="18" t="s">
        <v>2230</v>
      </c>
      <c r="K494" s="19" t="s">
        <v>680</v>
      </c>
      <c r="L494" s="19" t="s">
        <v>696</v>
      </c>
      <c r="M494" s="19" t="s">
        <v>2964</v>
      </c>
      <c r="N494" s="20" t="s">
        <v>1598</v>
      </c>
      <c r="O494" s="20" t="s">
        <v>27</v>
      </c>
      <c r="P494" s="21" t="s">
        <v>2965</v>
      </c>
      <c r="Q494" s="20"/>
      <c r="R494" s="20" t="s">
        <v>2966</v>
      </c>
      <c r="S494" s="20"/>
      <c r="T494" s="20"/>
      <c r="U494" s="20"/>
      <c r="V494" s="20"/>
    </row>
    <row r="495" spans="1:22" ht="34">
      <c r="B495" s="11" t="s">
        <v>2967</v>
      </c>
      <c r="C495" s="23" t="s">
        <v>678</v>
      </c>
      <c r="D495" s="13" t="s">
        <v>55</v>
      </c>
      <c r="E495" s="24">
        <v>100</v>
      </c>
      <c r="F495" s="25">
        <f>Table2[[#This Row],[Price]]/Table2[[#This Row],[Tot Ht Area]]</f>
        <v>5.1023011378131533E-3</v>
      </c>
      <c r="G495" s="16">
        <v>19599</v>
      </c>
      <c r="H495" s="16">
        <v>26491</v>
      </c>
      <c r="I495" s="17" t="s">
        <v>2968</v>
      </c>
      <c r="J495" s="18" t="s">
        <v>217</v>
      </c>
      <c r="K495" s="19" t="s">
        <v>680</v>
      </c>
      <c r="L495" s="19" t="s">
        <v>2866</v>
      </c>
      <c r="M495" s="19" t="s">
        <v>2969</v>
      </c>
      <c r="N495" s="20" t="s">
        <v>1598</v>
      </c>
      <c r="O495" s="20" t="s">
        <v>27</v>
      </c>
      <c r="P495" s="21" t="s">
        <v>2970</v>
      </c>
      <c r="Q495" s="20"/>
      <c r="R495" s="20" t="s">
        <v>2971</v>
      </c>
      <c r="S495" s="20"/>
      <c r="T495" s="20" t="s">
        <v>6318</v>
      </c>
      <c r="U495" s="20"/>
      <c r="V495" s="20"/>
    </row>
    <row r="496" spans="1:22" ht="34">
      <c r="B496" s="11" t="s">
        <v>2972</v>
      </c>
      <c r="C496" s="23" t="s">
        <v>678</v>
      </c>
      <c r="D496" s="13" t="s">
        <v>108</v>
      </c>
      <c r="E496" s="24">
        <v>100</v>
      </c>
      <c r="F496" s="25">
        <f>Table2[[#This Row],[Price]]/Table2[[#This Row],[Tot Ht Area]]</f>
        <v>3.3333333333333333E-2</v>
      </c>
      <c r="G496" s="16">
        <v>3000</v>
      </c>
      <c r="H496" s="16">
        <v>3027</v>
      </c>
      <c r="I496" s="17" t="s">
        <v>2973</v>
      </c>
      <c r="J496" s="18" t="s">
        <v>800</v>
      </c>
      <c r="K496" s="19" t="s">
        <v>801</v>
      </c>
      <c r="L496" s="19" t="s">
        <v>2866</v>
      </c>
      <c r="M496" s="19" t="s">
        <v>2974</v>
      </c>
      <c r="N496" s="20" t="s">
        <v>1598</v>
      </c>
      <c r="O496" s="20" t="s">
        <v>1812</v>
      </c>
      <c r="P496" s="21" t="s">
        <v>2975</v>
      </c>
      <c r="Q496" s="20" t="s">
        <v>2976</v>
      </c>
      <c r="R496" s="20" t="s">
        <v>2977</v>
      </c>
      <c r="S496" s="20"/>
      <c r="T496" s="20" t="s">
        <v>6318</v>
      </c>
      <c r="U496" s="20"/>
      <c r="V496" s="20"/>
    </row>
    <row r="497" spans="2:22" ht="34">
      <c r="B497" s="11" t="s">
        <v>2978</v>
      </c>
      <c r="C497" s="23" t="s">
        <v>678</v>
      </c>
      <c r="D497" s="13" t="s">
        <v>1490</v>
      </c>
      <c r="E497" s="24"/>
      <c r="F497" s="25">
        <f>Table2[[#This Row],[Price]]/Table2[[#This Row],[Tot Ht Area]]</f>
        <v>0</v>
      </c>
      <c r="G497" s="16">
        <v>1590</v>
      </c>
      <c r="H497" s="16">
        <v>3156</v>
      </c>
      <c r="I497" s="17" t="s">
        <v>2979</v>
      </c>
      <c r="J497" s="18" t="s">
        <v>309</v>
      </c>
      <c r="K497" s="19" t="s">
        <v>801</v>
      </c>
      <c r="L497" s="19" t="s">
        <v>2866</v>
      </c>
      <c r="M497" s="19" t="s">
        <v>2980</v>
      </c>
      <c r="N497" s="20" t="s">
        <v>1598</v>
      </c>
      <c r="O497" s="20" t="s">
        <v>27</v>
      </c>
      <c r="P497" s="21" t="s">
        <v>2981</v>
      </c>
      <c r="Q497" s="20" t="s">
        <v>2982</v>
      </c>
      <c r="R497" s="20" t="s">
        <v>2983</v>
      </c>
      <c r="S497" s="20"/>
      <c r="T497" s="20"/>
      <c r="U497" s="20"/>
      <c r="V497" s="20"/>
    </row>
    <row r="498" spans="2:22" ht="34">
      <c r="B498" s="11" t="s">
        <v>2984</v>
      </c>
      <c r="C498" s="23" t="s">
        <v>678</v>
      </c>
      <c r="D498" s="13" t="s">
        <v>64</v>
      </c>
      <c r="E498" s="24">
        <v>100</v>
      </c>
      <c r="F498" s="25">
        <f>Table2[[#This Row],[Price]]/Table2[[#This Row],[Tot Ht Area]]</f>
        <v>1.001001001001001E-2</v>
      </c>
      <c r="G498" s="16">
        <v>9990</v>
      </c>
      <c r="H498" s="16">
        <v>10305</v>
      </c>
      <c r="I498" s="17" t="s">
        <v>2985</v>
      </c>
      <c r="J498" s="18" t="s">
        <v>241</v>
      </c>
      <c r="K498" s="19" t="s">
        <v>680</v>
      </c>
      <c r="L498" s="19" t="s">
        <v>2986</v>
      </c>
      <c r="M498" s="19" t="s">
        <v>2987</v>
      </c>
      <c r="N498" s="20" t="s">
        <v>1598</v>
      </c>
      <c r="O498" s="20" t="s">
        <v>27</v>
      </c>
      <c r="P498" s="21" t="s">
        <v>2988</v>
      </c>
      <c r="Q498" s="20" t="s">
        <v>2989</v>
      </c>
      <c r="R498" s="20" t="s">
        <v>2990</v>
      </c>
      <c r="S498" s="20"/>
      <c r="T498" s="20" t="s">
        <v>6318</v>
      </c>
      <c r="U498" s="20"/>
      <c r="V498" s="20"/>
    </row>
    <row r="499" spans="2:22" ht="34">
      <c r="B499" s="11" t="s">
        <v>2991</v>
      </c>
      <c r="C499" s="23" t="s">
        <v>678</v>
      </c>
      <c r="D499" s="13" t="s">
        <v>1860</v>
      </c>
      <c r="E499" s="24">
        <v>205000</v>
      </c>
      <c r="F499" s="25">
        <f>Table2[[#This Row],[Price]]/Table2[[#This Row],[Tot Ht Area]]</f>
        <v>80.486847271299567</v>
      </c>
      <c r="G499" s="16">
        <v>2547</v>
      </c>
      <c r="H499" s="16">
        <v>3062</v>
      </c>
      <c r="I499" s="17" t="s">
        <v>2992</v>
      </c>
      <c r="J499" s="18" t="s">
        <v>151</v>
      </c>
      <c r="K499" s="19" t="s">
        <v>801</v>
      </c>
      <c r="L499" s="19" t="s">
        <v>704</v>
      </c>
      <c r="M499" s="19" t="s">
        <v>2993</v>
      </c>
      <c r="N499" s="20" t="s">
        <v>1598</v>
      </c>
      <c r="O499" s="20" t="s">
        <v>27</v>
      </c>
      <c r="P499" s="21" t="s">
        <v>2994</v>
      </c>
      <c r="Q499" s="20"/>
      <c r="R499" s="20" t="s">
        <v>2995</v>
      </c>
      <c r="S499" s="20"/>
      <c r="T499" s="20"/>
      <c r="U499" s="20"/>
      <c r="V499" s="20"/>
    </row>
    <row r="500" spans="2:22" ht="17">
      <c r="B500" s="11" t="s">
        <v>2996</v>
      </c>
      <c r="C500" s="23" t="s">
        <v>678</v>
      </c>
      <c r="D500" s="13" t="s">
        <v>474</v>
      </c>
      <c r="E500" s="24">
        <v>100</v>
      </c>
      <c r="F500" s="25">
        <f>Table2[[#This Row],[Price]]/Table2[[#This Row],[Tot Ht Area]]</f>
        <v>2.1973192704900023E-2</v>
      </c>
      <c r="G500" s="16">
        <v>4551</v>
      </c>
      <c r="H500" s="16">
        <v>4620</v>
      </c>
      <c r="I500" s="17" t="s">
        <v>2997</v>
      </c>
      <c r="J500" s="18" t="s">
        <v>430</v>
      </c>
      <c r="K500" s="19" t="s">
        <v>680</v>
      </c>
      <c r="L500" s="19" t="s">
        <v>2998</v>
      </c>
      <c r="M500" s="19" t="s">
        <v>2999</v>
      </c>
      <c r="N500" s="20" t="s">
        <v>1598</v>
      </c>
      <c r="O500" s="20" t="s">
        <v>27</v>
      </c>
      <c r="P500" s="21" t="s">
        <v>3000</v>
      </c>
      <c r="Q500" s="20"/>
      <c r="R500" s="20" t="s">
        <v>3001</v>
      </c>
      <c r="S500" s="20"/>
      <c r="T500" s="20" t="s">
        <v>6318</v>
      </c>
      <c r="U500" s="20"/>
      <c r="V500" s="20"/>
    </row>
    <row r="501" spans="2:22" ht="34">
      <c r="B501" s="11" t="s">
        <v>3002</v>
      </c>
      <c r="C501" s="23" t="s">
        <v>678</v>
      </c>
      <c r="D501" s="13" t="s">
        <v>428</v>
      </c>
      <c r="E501" s="24">
        <v>6220000</v>
      </c>
      <c r="F501" s="25">
        <f>Table2[[#This Row],[Price]]/Table2[[#This Row],[Tot Ht Area]]</f>
        <v>830.77334045679174</v>
      </c>
      <c r="G501" s="16">
        <v>7487</v>
      </c>
      <c r="H501" s="16">
        <v>7583</v>
      </c>
      <c r="I501" s="17" t="s">
        <v>3003</v>
      </c>
      <c r="J501" s="18" t="s">
        <v>209</v>
      </c>
      <c r="K501" s="19" t="s">
        <v>680</v>
      </c>
      <c r="L501" s="19" t="s">
        <v>704</v>
      </c>
      <c r="M501" s="19" t="s">
        <v>3004</v>
      </c>
      <c r="N501" s="20" t="s">
        <v>1598</v>
      </c>
      <c r="O501" s="20" t="s">
        <v>27</v>
      </c>
      <c r="P501" s="21" t="s">
        <v>3005</v>
      </c>
      <c r="Q501" s="20"/>
      <c r="R501" s="20" t="s">
        <v>3006</v>
      </c>
      <c r="S501" s="20"/>
      <c r="T501" s="20"/>
      <c r="U501" s="20"/>
      <c r="V501" s="20"/>
    </row>
    <row r="502" spans="2:22" ht="68">
      <c r="B502" s="11" t="s">
        <v>3007</v>
      </c>
      <c r="C502" s="23" t="s">
        <v>678</v>
      </c>
      <c r="D502" s="13" t="s">
        <v>398</v>
      </c>
      <c r="E502" s="24">
        <v>100</v>
      </c>
      <c r="F502" s="25">
        <f>Table2[[#This Row],[Price]]/Table2[[#This Row],[Tot Ht Area]]</f>
        <v>2.7480076944215445E-2</v>
      </c>
      <c r="G502" s="16">
        <v>3639</v>
      </c>
      <c r="H502" s="16">
        <v>3663</v>
      </c>
      <c r="I502" s="17" t="s">
        <v>3008</v>
      </c>
      <c r="J502" s="18" t="s">
        <v>135</v>
      </c>
      <c r="K502" s="19" t="s">
        <v>680</v>
      </c>
      <c r="L502" s="19" t="s">
        <v>704</v>
      </c>
      <c r="M502" s="19" t="s">
        <v>3009</v>
      </c>
      <c r="N502" s="20" t="s">
        <v>1598</v>
      </c>
      <c r="O502" s="20" t="s">
        <v>27</v>
      </c>
      <c r="P502" s="21" t="s">
        <v>3010</v>
      </c>
      <c r="Q502" s="20"/>
      <c r="R502" s="20" t="s">
        <v>3011</v>
      </c>
      <c r="S502" s="20"/>
      <c r="T502" s="20" t="s">
        <v>6318</v>
      </c>
      <c r="U502" s="20"/>
      <c r="V502" s="20"/>
    </row>
    <row r="503" spans="2:22" ht="17">
      <c r="B503" s="11" t="s">
        <v>3012</v>
      </c>
      <c r="C503" s="23" t="s">
        <v>678</v>
      </c>
      <c r="D503" s="13" t="s">
        <v>307</v>
      </c>
      <c r="E503" s="24">
        <v>2500000</v>
      </c>
      <c r="F503" s="25">
        <f>Table2[[#This Row],[Price]]/Table2[[#This Row],[Tot Ht Area]]</f>
        <v>221.43489813994685</v>
      </c>
      <c r="G503" s="16">
        <v>11290</v>
      </c>
      <c r="H503" s="16">
        <v>12900</v>
      </c>
      <c r="I503" s="17" t="s">
        <v>3013</v>
      </c>
      <c r="J503" s="18" t="s">
        <v>1057</v>
      </c>
      <c r="K503" s="19" t="s">
        <v>1603</v>
      </c>
      <c r="L503" s="19" t="s">
        <v>711</v>
      </c>
      <c r="M503" s="19" t="s">
        <v>3014</v>
      </c>
      <c r="N503" s="20" t="s">
        <v>1598</v>
      </c>
      <c r="O503" s="20" t="s">
        <v>27</v>
      </c>
      <c r="P503" s="21" t="s">
        <v>3015</v>
      </c>
      <c r="Q503" s="20"/>
      <c r="R503" s="20" t="s">
        <v>3016</v>
      </c>
      <c r="S503" s="20"/>
      <c r="T503" s="20"/>
      <c r="U503" s="20"/>
      <c r="V503" s="20"/>
    </row>
    <row r="504" spans="2:22" ht="34">
      <c r="B504" s="11" t="s">
        <v>3017</v>
      </c>
      <c r="C504" s="23" t="s">
        <v>678</v>
      </c>
      <c r="D504" s="13" t="s">
        <v>571</v>
      </c>
      <c r="E504" s="24">
        <v>1400000</v>
      </c>
      <c r="F504" s="25">
        <f>Table2[[#This Row],[Price]]/Table2[[#This Row],[Tot Ht Area]]</f>
        <v>206.21593754603035</v>
      </c>
      <c r="G504" s="16">
        <v>6789</v>
      </c>
      <c r="H504" s="16">
        <v>7533</v>
      </c>
      <c r="I504" s="17" t="s">
        <v>3018</v>
      </c>
      <c r="J504" s="18" t="s">
        <v>1138</v>
      </c>
      <c r="K504" s="19" t="s">
        <v>680</v>
      </c>
      <c r="L504" s="19" t="s">
        <v>3019</v>
      </c>
      <c r="M504" s="19" t="s">
        <v>3020</v>
      </c>
      <c r="N504" s="20" t="s">
        <v>1598</v>
      </c>
      <c r="O504" s="20" t="s">
        <v>27</v>
      </c>
      <c r="P504" s="21" t="s">
        <v>3021</v>
      </c>
      <c r="Q504" s="20"/>
      <c r="R504" s="20" t="s">
        <v>3022</v>
      </c>
      <c r="S504" s="20"/>
      <c r="T504" s="20"/>
      <c r="U504" s="20"/>
      <c r="V504" s="20"/>
    </row>
    <row r="505" spans="2:22" ht="17">
      <c r="B505" s="11" t="s">
        <v>3023</v>
      </c>
      <c r="C505" s="23" t="s">
        <v>678</v>
      </c>
      <c r="D505" s="13" t="s">
        <v>1908</v>
      </c>
      <c r="E505" s="24">
        <v>8410200</v>
      </c>
      <c r="F505" s="25">
        <f>Table2[[#This Row],[Price]]/Table2[[#This Row],[Tot Ht Area]]</f>
        <v>558.59458023379386</v>
      </c>
      <c r="G505" s="16">
        <v>15056</v>
      </c>
      <c r="H505" s="16">
        <v>15964</v>
      </c>
      <c r="I505" s="17" t="s">
        <v>3024</v>
      </c>
      <c r="J505" s="18" t="s">
        <v>66</v>
      </c>
      <c r="K505" s="19" t="s">
        <v>801</v>
      </c>
      <c r="L505" s="19" t="s">
        <v>739</v>
      </c>
      <c r="M505" s="19" t="s">
        <v>3025</v>
      </c>
      <c r="N505" s="20" t="s">
        <v>1598</v>
      </c>
      <c r="O505" s="20" t="s">
        <v>27</v>
      </c>
      <c r="P505" s="21" t="s">
        <v>3026</v>
      </c>
      <c r="Q505" s="20"/>
      <c r="R505" s="20" t="s">
        <v>3027</v>
      </c>
      <c r="S505" s="20"/>
      <c r="T505" s="20"/>
      <c r="U505" s="20"/>
      <c r="V505" s="20"/>
    </row>
    <row r="506" spans="2:22" ht="17">
      <c r="B506" s="11" t="s">
        <v>3028</v>
      </c>
      <c r="C506" s="23" t="s">
        <v>678</v>
      </c>
      <c r="D506" s="13" t="s">
        <v>702</v>
      </c>
      <c r="E506" s="24">
        <v>750000</v>
      </c>
      <c r="F506" s="25">
        <f>Table2[[#This Row],[Price]]/Table2[[#This Row],[Tot Ht Area]]</f>
        <v>276.95716395864105</v>
      </c>
      <c r="G506" s="16">
        <v>2708</v>
      </c>
      <c r="H506" s="16">
        <v>2874</v>
      </c>
      <c r="I506" s="17" t="s">
        <v>3029</v>
      </c>
      <c r="J506" s="18" t="s">
        <v>548</v>
      </c>
      <c r="K506" s="19" t="s">
        <v>680</v>
      </c>
      <c r="L506" s="19" t="s">
        <v>3030</v>
      </c>
      <c r="M506" s="19" t="s">
        <v>3031</v>
      </c>
      <c r="N506" s="20" t="s">
        <v>1598</v>
      </c>
      <c r="O506" s="20" t="s">
        <v>27</v>
      </c>
      <c r="P506" s="21" t="s">
        <v>3032</v>
      </c>
      <c r="Q506" s="20"/>
      <c r="R506" s="20" t="s">
        <v>3033</v>
      </c>
      <c r="S506" s="20"/>
      <c r="T506" s="20"/>
      <c r="U506" s="20"/>
      <c r="V506" s="20"/>
    </row>
    <row r="507" spans="2:22" ht="68">
      <c r="B507" s="11" t="s">
        <v>3034</v>
      </c>
      <c r="C507" s="23" t="s">
        <v>678</v>
      </c>
      <c r="D507" s="13" t="s">
        <v>158</v>
      </c>
      <c r="E507" s="24">
        <v>100</v>
      </c>
      <c r="F507" s="25">
        <f>Table2[[#This Row],[Price]]/Table2[[#This Row],[Tot Ht Area]]</f>
        <v>5.5401662049861494E-2</v>
      </c>
      <c r="G507" s="16">
        <v>1805</v>
      </c>
      <c r="H507" s="16">
        <v>2153</v>
      </c>
      <c r="I507" s="17" t="s">
        <v>3035</v>
      </c>
      <c r="J507" s="18" t="s">
        <v>599</v>
      </c>
      <c r="K507" s="19" t="s">
        <v>680</v>
      </c>
      <c r="L507" s="19" t="s">
        <v>732</v>
      </c>
      <c r="M507" s="19" t="s">
        <v>3036</v>
      </c>
      <c r="N507" s="20" t="s">
        <v>1598</v>
      </c>
      <c r="O507" s="20" t="s">
        <v>1812</v>
      </c>
      <c r="P507" s="21" t="s">
        <v>1967</v>
      </c>
      <c r="Q507" s="20" t="s">
        <v>3037</v>
      </c>
      <c r="R507" s="20" t="s">
        <v>3038</v>
      </c>
      <c r="S507" s="20"/>
      <c r="T507" s="20" t="s">
        <v>6318</v>
      </c>
      <c r="U507" s="20"/>
      <c r="V507" s="20"/>
    </row>
    <row r="508" spans="2:22" ht="34">
      <c r="B508" s="11" t="s">
        <v>3039</v>
      </c>
      <c r="C508" s="23" t="s">
        <v>678</v>
      </c>
      <c r="D508" s="13" t="s">
        <v>141</v>
      </c>
      <c r="E508" s="24">
        <v>100</v>
      </c>
      <c r="F508" s="25">
        <f>Table2[[#This Row],[Price]]/Table2[[#This Row],[Tot Ht Area]]</f>
        <v>5.4824561403508769E-2</v>
      </c>
      <c r="G508" s="16">
        <v>1824</v>
      </c>
      <c r="H508" s="16">
        <v>2164</v>
      </c>
      <c r="I508" s="17" t="s">
        <v>3040</v>
      </c>
      <c r="J508" s="18" t="s">
        <v>731</v>
      </c>
      <c r="K508" s="19" t="s">
        <v>680</v>
      </c>
      <c r="L508" s="19"/>
      <c r="M508" s="19" t="s">
        <v>3041</v>
      </c>
      <c r="N508" s="20" t="s">
        <v>1598</v>
      </c>
      <c r="O508" s="20" t="s">
        <v>27</v>
      </c>
      <c r="P508" s="21" t="s">
        <v>3042</v>
      </c>
      <c r="Q508" s="20"/>
      <c r="R508" s="20" t="s">
        <v>3043</v>
      </c>
      <c r="S508" s="20"/>
      <c r="T508" s="20" t="s">
        <v>6318</v>
      </c>
      <c r="U508" s="20"/>
      <c r="V508" s="20"/>
    </row>
    <row r="509" spans="2:22" ht="34">
      <c r="B509" s="11" t="s">
        <v>3044</v>
      </c>
      <c r="C509" s="23" t="s">
        <v>678</v>
      </c>
      <c r="D509" s="13" t="s">
        <v>1860</v>
      </c>
      <c r="E509" s="24">
        <v>650000</v>
      </c>
      <c r="F509" s="25">
        <f>Table2[[#This Row],[Price]]/Table2[[#This Row],[Tot Ht Area]]</f>
        <v>323.3830845771144</v>
      </c>
      <c r="G509" s="16">
        <v>2010</v>
      </c>
      <c r="H509" s="16">
        <v>2328</v>
      </c>
      <c r="I509" s="17" t="s">
        <v>3045</v>
      </c>
      <c r="J509" s="18" t="s">
        <v>309</v>
      </c>
      <c r="K509" s="19" t="s">
        <v>680</v>
      </c>
      <c r="L509" s="19" t="s">
        <v>2998</v>
      </c>
      <c r="M509" s="19" t="s">
        <v>3046</v>
      </c>
      <c r="N509" s="20" t="s">
        <v>1598</v>
      </c>
      <c r="O509" s="20" t="s">
        <v>27</v>
      </c>
      <c r="P509" s="21" t="s">
        <v>3047</v>
      </c>
      <c r="Q509" s="20"/>
      <c r="R509" s="20" t="s">
        <v>3048</v>
      </c>
      <c r="S509" s="20"/>
      <c r="T509" s="20"/>
      <c r="U509" s="20"/>
      <c r="V509" s="20"/>
    </row>
    <row r="510" spans="2:22" ht="17">
      <c r="B510" s="11" t="s">
        <v>3049</v>
      </c>
      <c r="C510" s="23" t="s">
        <v>678</v>
      </c>
      <c r="D510" s="13" t="s">
        <v>554</v>
      </c>
      <c r="E510" s="24">
        <v>1995000</v>
      </c>
      <c r="F510" s="25">
        <f>Table2[[#This Row],[Price]]/Table2[[#This Row],[Tot Ht Area]]</f>
        <v>161.43388897879916</v>
      </c>
      <c r="G510" s="16">
        <v>12358</v>
      </c>
      <c r="H510" s="16">
        <v>13188</v>
      </c>
      <c r="I510" s="17" t="s">
        <v>3050</v>
      </c>
      <c r="J510" s="18" t="s">
        <v>716</v>
      </c>
      <c r="K510" s="19" t="s">
        <v>1603</v>
      </c>
      <c r="L510" s="19" t="s">
        <v>704</v>
      </c>
      <c r="M510" s="19" t="s">
        <v>3051</v>
      </c>
      <c r="N510" s="20" t="s">
        <v>1598</v>
      </c>
      <c r="O510" s="20" t="s">
        <v>27</v>
      </c>
      <c r="P510" s="21" t="s">
        <v>3052</v>
      </c>
      <c r="Q510" s="20"/>
      <c r="R510" s="20" t="s">
        <v>3053</v>
      </c>
      <c r="S510" s="20"/>
      <c r="T510" s="20"/>
      <c r="U510" s="20"/>
      <c r="V510" s="20"/>
    </row>
    <row r="511" spans="2:22" ht="34">
      <c r="B511" s="11" t="s">
        <v>3054</v>
      </c>
      <c r="C511" s="23" t="s">
        <v>678</v>
      </c>
      <c r="D511" s="13" t="s">
        <v>177</v>
      </c>
      <c r="E511" s="24">
        <v>910000</v>
      </c>
      <c r="F511" s="25">
        <f>Table2[[#This Row],[Price]]/Table2[[#This Row],[Tot Ht Area]]</f>
        <v>119.45392491467577</v>
      </c>
      <c r="G511" s="16">
        <v>7618</v>
      </c>
      <c r="H511" s="16">
        <v>7654</v>
      </c>
      <c r="I511" s="17" t="s">
        <v>3055</v>
      </c>
      <c r="J511" s="18" t="s">
        <v>1057</v>
      </c>
      <c r="K511" s="19" t="s">
        <v>1603</v>
      </c>
      <c r="L511" s="19" t="s">
        <v>704</v>
      </c>
      <c r="M511" s="19" t="s">
        <v>3056</v>
      </c>
      <c r="N511" s="20" t="s">
        <v>1598</v>
      </c>
      <c r="O511" s="20" t="s">
        <v>27</v>
      </c>
      <c r="P511" s="21" t="s">
        <v>3057</v>
      </c>
      <c r="Q511" s="20"/>
      <c r="R511" s="20" t="s">
        <v>3058</v>
      </c>
      <c r="S511" s="20"/>
      <c r="T511" s="20"/>
      <c r="U511" s="20"/>
      <c r="V511" s="20"/>
    </row>
    <row r="512" spans="2:22" ht="17">
      <c r="B512" s="11" t="s">
        <v>3059</v>
      </c>
      <c r="C512" s="23" t="s">
        <v>678</v>
      </c>
      <c r="D512" s="13" t="s">
        <v>792</v>
      </c>
      <c r="E512" s="24">
        <v>100</v>
      </c>
      <c r="F512" s="25">
        <f>Table2[[#This Row],[Price]]/Table2[[#This Row],[Tot Ht Area]]</f>
        <v>2.4594195769798328E-2</v>
      </c>
      <c r="G512" s="16">
        <v>4066</v>
      </c>
      <c r="H512" s="16">
        <v>4366</v>
      </c>
      <c r="I512" s="17" t="s">
        <v>3060</v>
      </c>
      <c r="J512" s="18" t="s">
        <v>652</v>
      </c>
      <c r="K512" s="19" t="s">
        <v>680</v>
      </c>
      <c r="L512" s="19" t="s">
        <v>2998</v>
      </c>
      <c r="M512" s="19" t="s">
        <v>3061</v>
      </c>
      <c r="N512" s="20" t="s">
        <v>1598</v>
      </c>
      <c r="O512" s="20" t="s">
        <v>27</v>
      </c>
      <c r="P512" s="21" t="s">
        <v>3062</v>
      </c>
      <c r="Q512" s="20"/>
      <c r="R512" s="20" t="s">
        <v>3063</v>
      </c>
      <c r="S512" s="20"/>
      <c r="T512" s="20" t="s">
        <v>6318</v>
      </c>
      <c r="U512" s="20"/>
      <c r="V512" s="20"/>
    </row>
    <row r="513" spans="2:22" ht="34">
      <c r="B513" s="11" t="s">
        <v>3064</v>
      </c>
      <c r="C513" s="23" t="s">
        <v>678</v>
      </c>
      <c r="D513" s="13" t="s">
        <v>1641</v>
      </c>
      <c r="E513" s="24">
        <v>465000</v>
      </c>
      <c r="F513" s="25">
        <f>Table2[[#This Row],[Price]]/Table2[[#This Row],[Tot Ht Area]]</f>
        <v>210.31207598371776</v>
      </c>
      <c r="G513" s="16">
        <v>2211</v>
      </c>
      <c r="H513" s="16">
        <v>2643</v>
      </c>
      <c r="I513" s="17" t="s">
        <v>3065</v>
      </c>
      <c r="J513" s="18" t="s">
        <v>2791</v>
      </c>
      <c r="K513" s="19" t="s">
        <v>1603</v>
      </c>
      <c r="L513" s="19" t="s">
        <v>732</v>
      </c>
      <c r="M513" s="19" t="s">
        <v>3066</v>
      </c>
      <c r="N513" s="20" t="s">
        <v>1598</v>
      </c>
      <c r="O513" s="20" t="s">
        <v>1812</v>
      </c>
      <c r="P513" s="21" t="s">
        <v>3067</v>
      </c>
      <c r="Q513" s="20" t="s">
        <v>3068</v>
      </c>
      <c r="R513" s="20" t="s">
        <v>3069</v>
      </c>
      <c r="S513" s="20"/>
      <c r="T513" s="20"/>
      <c r="U513" s="20"/>
      <c r="V513" s="20"/>
    </row>
    <row r="514" spans="2:22" ht="34">
      <c r="B514" s="11" t="s">
        <v>3070</v>
      </c>
      <c r="C514" s="23" t="s">
        <v>678</v>
      </c>
      <c r="D514" s="13" t="s">
        <v>372</v>
      </c>
      <c r="E514" s="24">
        <v>100</v>
      </c>
      <c r="F514" s="25">
        <f>Table2[[#This Row],[Price]]/Table2[[#This Row],[Tot Ht Area]]</f>
        <v>3.7202380952380952E-2</v>
      </c>
      <c r="G514" s="16">
        <v>2688</v>
      </c>
      <c r="H514" s="16">
        <v>2806</v>
      </c>
      <c r="I514" s="17" t="s">
        <v>3071</v>
      </c>
      <c r="J514" s="18" t="s">
        <v>3072</v>
      </c>
      <c r="K514" s="19" t="s">
        <v>680</v>
      </c>
      <c r="L514" s="19" t="s">
        <v>724</v>
      </c>
      <c r="M514" s="19" t="s">
        <v>3073</v>
      </c>
      <c r="N514" s="20" t="s">
        <v>1598</v>
      </c>
      <c r="O514" s="20" t="s">
        <v>1812</v>
      </c>
      <c r="P514" s="21" t="s">
        <v>3074</v>
      </c>
      <c r="Q514" s="20" t="s">
        <v>3075</v>
      </c>
      <c r="R514" s="26" t="s">
        <v>3076</v>
      </c>
      <c r="S514" s="20"/>
      <c r="T514" s="20" t="s">
        <v>6318</v>
      </c>
      <c r="U514" s="20"/>
      <c r="V514" s="20"/>
    </row>
    <row r="515" spans="2:22" ht="34">
      <c r="B515" s="11" t="s">
        <v>3077</v>
      </c>
      <c r="C515" s="23" t="s">
        <v>678</v>
      </c>
      <c r="D515" s="13" t="s">
        <v>571</v>
      </c>
      <c r="E515" s="24">
        <v>100</v>
      </c>
      <c r="F515" s="25">
        <f>Table2[[#This Row],[Price]]/Table2[[#This Row],[Tot Ht Area]]</f>
        <v>5.0050050050050053E-2</v>
      </c>
      <c r="G515" s="16">
        <v>1998</v>
      </c>
      <c r="H515" s="16">
        <v>2100</v>
      </c>
      <c r="I515" s="17" t="s">
        <v>3078</v>
      </c>
      <c r="J515" s="18" t="s">
        <v>1170</v>
      </c>
      <c r="K515" s="19" t="s">
        <v>680</v>
      </c>
      <c r="L515" s="19" t="s">
        <v>3079</v>
      </c>
      <c r="M515" s="19" t="s">
        <v>3080</v>
      </c>
      <c r="N515" s="20" t="s">
        <v>1598</v>
      </c>
      <c r="O515" s="20" t="s">
        <v>27</v>
      </c>
      <c r="P515" s="21" t="s">
        <v>3081</v>
      </c>
      <c r="Q515" s="20" t="s">
        <v>3082</v>
      </c>
      <c r="R515" s="26" t="s">
        <v>3083</v>
      </c>
      <c r="S515" s="20"/>
      <c r="T515" s="20" t="s">
        <v>6318</v>
      </c>
      <c r="U515" s="20"/>
      <c r="V515" s="20"/>
    </row>
    <row r="516" spans="2:22" ht="34">
      <c r="B516" s="11" t="s">
        <v>3084</v>
      </c>
      <c r="C516" s="23" t="s">
        <v>678</v>
      </c>
      <c r="D516" s="13" t="s">
        <v>45</v>
      </c>
      <c r="E516" s="24">
        <v>100</v>
      </c>
      <c r="F516" s="25">
        <f>Table2[[#This Row],[Price]]/Table2[[#This Row],[Tot Ht Area]]</f>
        <v>2.865329512893983E-2</v>
      </c>
      <c r="G516" s="16">
        <v>3490</v>
      </c>
      <c r="H516" s="16">
        <v>3886</v>
      </c>
      <c r="I516" s="17" t="s">
        <v>3085</v>
      </c>
      <c r="J516" s="18" t="s">
        <v>3086</v>
      </c>
      <c r="K516" s="19" t="s">
        <v>1603</v>
      </c>
      <c r="L516" s="19" t="s">
        <v>704</v>
      </c>
      <c r="M516" s="19" t="s">
        <v>3087</v>
      </c>
      <c r="N516" s="20" t="s">
        <v>1598</v>
      </c>
      <c r="O516" s="20" t="s">
        <v>1812</v>
      </c>
      <c r="P516" s="21" t="s">
        <v>3088</v>
      </c>
      <c r="Q516" s="20" t="s">
        <v>3089</v>
      </c>
      <c r="R516" s="20" t="s">
        <v>3090</v>
      </c>
      <c r="S516" s="20"/>
      <c r="T516" s="20" t="s">
        <v>6318</v>
      </c>
      <c r="U516" s="20"/>
      <c r="V516" s="20"/>
    </row>
    <row r="517" spans="2:22" ht="17">
      <c r="B517" s="11" t="s">
        <v>3091</v>
      </c>
      <c r="C517" s="23" t="s">
        <v>678</v>
      </c>
      <c r="D517" s="13" t="s">
        <v>474</v>
      </c>
      <c r="E517" s="24">
        <v>445000</v>
      </c>
      <c r="F517" s="25">
        <f>Table2[[#This Row],[Price]]/Table2[[#This Row],[Tot Ht Area]]</f>
        <v>185.41666666666666</v>
      </c>
      <c r="G517" s="16">
        <v>2400</v>
      </c>
      <c r="H517" s="16">
        <v>2700</v>
      </c>
      <c r="I517" s="17" t="s">
        <v>3092</v>
      </c>
      <c r="J517" s="18" t="s">
        <v>422</v>
      </c>
      <c r="K517" s="19" t="s">
        <v>680</v>
      </c>
      <c r="L517" s="19" t="s">
        <v>704</v>
      </c>
      <c r="M517" s="19" t="s">
        <v>3093</v>
      </c>
      <c r="N517" s="20" t="s">
        <v>1598</v>
      </c>
      <c r="O517" s="20" t="s">
        <v>27</v>
      </c>
      <c r="P517" s="21" t="s">
        <v>3094</v>
      </c>
      <c r="Q517" s="20"/>
      <c r="R517" s="20" t="s">
        <v>3095</v>
      </c>
      <c r="S517" s="20"/>
      <c r="T517" s="20"/>
      <c r="U517" s="20"/>
      <c r="V517" s="20"/>
    </row>
    <row r="518" spans="2:22" ht="34">
      <c r="B518" s="11" t="s">
        <v>3096</v>
      </c>
      <c r="C518" s="23" t="s">
        <v>678</v>
      </c>
      <c r="D518" s="13" t="s">
        <v>571</v>
      </c>
      <c r="E518" s="24">
        <v>450000</v>
      </c>
      <c r="F518" s="25">
        <f>Table2[[#This Row],[Price]]/Table2[[#This Row],[Tot Ht Area]]</f>
        <v>250</v>
      </c>
      <c r="G518" s="16">
        <v>1800</v>
      </c>
      <c r="H518" s="16">
        <v>2392</v>
      </c>
      <c r="I518" s="17" t="s">
        <v>3097</v>
      </c>
      <c r="J518" s="18" t="s">
        <v>548</v>
      </c>
      <c r="K518" s="19" t="s">
        <v>680</v>
      </c>
      <c r="L518" s="19" t="s">
        <v>724</v>
      </c>
      <c r="M518" s="19" t="s">
        <v>3098</v>
      </c>
      <c r="N518" s="20" t="s">
        <v>1598</v>
      </c>
      <c r="O518" s="20" t="s">
        <v>27</v>
      </c>
      <c r="P518" s="21" t="s">
        <v>3099</v>
      </c>
      <c r="Q518" s="20"/>
      <c r="R518" s="20" t="s">
        <v>3100</v>
      </c>
      <c r="S518" s="20"/>
      <c r="T518" s="20"/>
      <c r="U518" s="20"/>
      <c r="V518" s="20"/>
    </row>
    <row r="519" spans="2:22" ht="34">
      <c r="B519" s="11" t="s">
        <v>3101</v>
      </c>
      <c r="C519" s="23" t="s">
        <v>678</v>
      </c>
      <c r="D519" s="13" t="s">
        <v>1255</v>
      </c>
      <c r="E519" s="24">
        <v>720000</v>
      </c>
      <c r="F519" s="25">
        <f>Table2[[#This Row],[Price]]/Table2[[#This Row],[Tot Ht Area]]</f>
        <v>261.24818577648767</v>
      </c>
      <c r="G519" s="16">
        <v>2756</v>
      </c>
      <c r="H519" s="16">
        <v>3784</v>
      </c>
      <c r="I519" s="17" t="s">
        <v>3102</v>
      </c>
      <c r="J519" s="18" t="s">
        <v>316</v>
      </c>
      <c r="K519" s="19" t="s">
        <v>1603</v>
      </c>
      <c r="L519" s="19" t="s">
        <v>732</v>
      </c>
      <c r="M519" s="19" t="s">
        <v>3103</v>
      </c>
      <c r="N519" s="20" t="s">
        <v>1598</v>
      </c>
      <c r="O519" s="20" t="s">
        <v>27</v>
      </c>
      <c r="P519" s="21" t="s">
        <v>3104</v>
      </c>
      <c r="Q519" s="20"/>
      <c r="R519" s="20" t="s">
        <v>3105</v>
      </c>
      <c r="S519" s="20"/>
      <c r="T519" s="20"/>
      <c r="U519" s="20"/>
      <c r="V519" s="20"/>
    </row>
    <row r="520" spans="2:22" ht="34">
      <c r="B520" s="11" t="s">
        <v>3106</v>
      </c>
      <c r="C520" s="23" t="s">
        <v>678</v>
      </c>
      <c r="D520" s="13" t="s">
        <v>1490</v>
      </c>
      <c r="E520" s="24">
        <v>505000</v>
      </c>
      <c r="F520" s="25">
        <f>Table2[[#This Row],[Price]]/Table2[[#This Row],[Tot Ht Area]]</f>
        <v>185.38913362701908</v>
      </c>
      <c r="G520" s="16">
        <v>2724</v>
      </c>
      <c r="H520" s="16">
        <v>3381</v>
      </c>
      <c r="I520" s="17" t="s">
        <v>3107</v>
      </c>
      <c r="J520" s="18" t="s">
        <v>83</v>
      </c>
      <c r="K520" s="19" t="s">
        <v>1603</v>
      </c>
      <c r="L520" s="19" t="s">
        <v>732</v>
      </c>
      <c r="M520" s="19" t="s">
        <v>3108</v>
      </c>
      <c r="N520" s="20" t="s">
        <v>1598</v>
      </c>
      <c r="O520" s="20" t="s">
        <v>27</v>
      </c>
      <c r="P520" s="21" t="s">
        <v>3109</v>
      </c>
      <c r="Q520" s="20"/>
      <c r="R520" s="20" t="s">
        <v>3110</v>
      </c>
      <c r="S520" s="20"/>
      <c r="T520" s="20"/>
      <c r="U520" s="20"/>
      <c r="V520" s="20"/>
    </row>
    <row r="521" spans="2:22" ht="34">
      <c r="B521" s="11" t="s">
        <v>3111</v>
      </c>
      <c r="C521" s="23" t="s">
        <v>678</v>
      </c>
      <c r="D521" s="13" t="s">
        <v>792</v>
      </c>
      <c r="E521" s="24">
        <v>560000</v>
      </c>
      <c r="F521" s="25">
        <f>Table2[[#This Row],[Price]]/Table2[[#This Row],[Tot Ht Area]]</f>
        <v>223.91043582566974</v>
      </c>
      <c r="G521" s="16">
        <v>2501</v>
      </c>
      <c r="H521" s="16">
        <v>2531</v>
      </c>
      <c r="I521" s="17" t="s">
        <v>3112</v>
      </c>
      <c r="J521" s="18" t="s">
        <v>3113</v>
      </c>
      <c r="K521" s="19" t="s">
        <v>680</v>
      </c>
      <c r="L521" s="19" t="s">
        <v>724</v>
      </c>
      <c r="M521" s="19" t="s">
        <v>3114</v>
      </c>
      <c r="N521" s="20" t="s">
        <v>1598</v>
      </c>
      <c r="O521" s="20" t="s">
        <v>27</v>
      </c>
      <c r="P521" s="21" t="s">
        <v>3115</v>
      </c>
      <c r="Q521" s="20"/>
      <c r="R521" s="20" t="s">
        <v>3116</v>
      </c>
      <c r="S521" s="20"/>
      <c r="T521" s="20"/>
      <c r="U521" s="20"/>
      <c r="V521" s="20"/>
    </row>
    <row r="522" spans="2:22" ht="34">
      <c r="B522" s="11" t="s">
        <v>3117</v>
      </c>
      <c r="C522" s="23" t="s">
        <v>678</v>
      </c>
      <c r="D522" s="13" t="s">
        <v>591</v>
      </c>
      <c r="E522" s="24">
        <v>835000</v>
      </c>
      <c r="F522" s="25">
        <f>Table2[[#This Row],[Price]]/Table2[[#This Row],[Tot Ht Area]]</f>
        <v>162.6095423563778</v>
      </c>
      <c r="G522" s="16">
        <v>5135</v>
      </c>
      <c r="H522" s="16">
        <v>5972</v>
      </c>
      <c r="I522" s="17" t="s">
        <v>3118</v>
      </c>
      <c r="J522" s="18" t="s">
        <v>278</v>
      </c>
      <c r="K522" s="19" t="s">
        <v>680</v>
      </c>
      <c r="L522" s="19" t="s">
        <v>724</v>
      </c>
      <c r="M522" s="19" t="s">
        <v>3119</v>
      </c>
      <c r="N522" s="20" t="s">
        <v>1598</v>
      </c>
      <c r="O522" s="20" t="s">
        <v>27</v>
      </c>
      <c r="P522" s="21" t="s">
        <v>3120</v>
      </c>
      <c r="Q522" s="20"/>
      <c r="R522" s="20" t="s">
        <v>3121</v>
      </c>
      <c r="S522" s="20"/>
      <c r="T522" s="20"/>
      <c r="U522" s="20"/>
      <c r="V522" s="20"/>
    </row>
    <row r="523" spans="2:22" ht="17">
      <c r="B523" s="11" t="s">
        <v>3122</v>
      </c>
      <c r="C523" s="23" t="s">
        <v>678</v>
      </c>
      <c r="D523" s="13" t="s">
        <v>896</v>
      </c>
      <c r="E523" s="24">
        <v>605000</v>
      </c>
      <c r="F523" s="25">
        <f>Table2[[#This Row],[Price]]/Table2[[#This Row],[Tot Ht Area]]</f>
        <v>160.69057104913679</v>
      </c>
      <c r="G523" s="16">
        <v>3765</v>
      </c>
      <c r="H523" s="16">
        <v>3830</v>
      </c>
      <c r="I523" s="17" t="s">
        <v>3123</v>
      </c>
      <c r="J523" s="18" t="s">
        <v>491</v>
      </c>
      <c r="K523" s="19" t="s">
        <v>1603</v>
      </c>
      <c r="L523" s="19" t="s">
        <v>2998</v>
      </c>
      <c r="M523" s="19" t="s">
        <v>3124</v>
      </c>
      <c r="N523" s="20" t="s">
        <v>1598</v>
      </c>
      <c r="O523" s="20" t="s">
        <v>27</v>
      </c>
      <c r="P523" s="21" t="s">
        <v>3125</v>
      </c>
      <c r="Q523" s="20" t="s">
        <v>3126</v>
      </c>
      <c r="R523" s="20" t="s">
        <v>3127</v>
      </c>
      <c r="S523" s="20"/>
      <c r="T523" s="20"/>
      <c r="U523" s="20"/>
      <c r="V523" s="20"/>
    </row>
    <row r="524" spans="2:22" ht="17">
      <c r="B524" s="11" t="s">
        <v>3128</v>
      </c>
      <c r="C524" s="23" t="s">
        <v>678</v>
      </c>
      <c r="D524" s="13" t="s">
        <v>124</v>
      </c>
      <c r="E524" s="24">
        <v>557000</v>
      </c>
      <c r="F524" s="25">
        <f>Table2[[#This Row],[Price]]/Table2[[#This Row],[Tot Ht Area]]</f>
        <v>262.8598395469561</v>
      </c>
      <c r="G524" s="16">
        <v>2119</v>
      </c>
      <c r="H524" s="16">
        <v>2350</v>
      </c>
      <c r="I524" s="17" t="s">
        <v>3129</v>
      </c>
      <c r="J524" s="18" t="s">
        <v>483</v>
      </c>
      <c r="K524" s="19" t="s">
        <v>680</v>
      </c>
      <c r="L524" s="19" t="s">
        <v>724</v>
      </c>
      <c r="M524" s="19" t="s">
        <v>3130</v>
      </c>
      <c r="N524" s="20" t="s">
        <v>1598</v>
      </c>
      <c r="O524" s="20" t="s">
        <v>27</v>
      </c>
      <c r="P524" s="21" t="s">
        <v>3131</v>
      </c>
      <c r="Q524" s="20"/>
      <c r="R524" s="20" t="s">
        <v>3132</v>
      </c>
      <c r="S524" s="20"/>
      <c r="T524" s="20"/>
      <c r="U524" s="20"/>
      <c r="V524" s="20"/>
    </row>
    <row r="525" spans="2:22" ht="17">
      <c r="B525" s="11" t="s">
        <v>3133</v>
      </c>
      <c r="C525" s="23" t="s">
        <v>678</v>
      </c>
      <c r="D525" s="13" t="s">
        <v>779</v>
      </c>
      <c r="E525" s="24">
        <v>580000</v>
      </c>
      <c r="F525" s="25">
        <f>Table2[[#This Row],[Price]]/Table2[[#This Row],[Tot Ht Area]]</f>
        <v>242.57632789627772</v>
      </c>
      <c r="G525" s="16">
        <v>2391</v>
      </c>
      <c r="H525" s="16">
        <v>3229</v>
      </c>
      <c r="I525" s="17" t="s">
        <v>3134</v>
      </c>
      <c r="J525" s="18" t="s">
        <v>1788</v>
      </c>
      <c r="K525" s="19" t="s">
        <v>801</v>
      </c>
      <c r="L525" s="19" t="s">
        <v>2998</v>
      </c>
      <c r="M525" s="19" t="s">
        <v>3135</v>
      </c>
      <c r="N525" s="20" t="s">
        <v>1598</v>
      </c>
      <c r="O525" s="20" t="s">
        <v>27</v>
      </c>
      <c r="P525" s="21" t="s">
        <v>1951</v>
      </c>
      <c r="Q525" s="20" t="s">
        <v>3136</v>
      </c>
      <c r="R525" s="20" t="s">
        <v>3137</v>
      </c>
      <c r="S525" s="20"/>
      <c r="T525" s="20"/>
      <c r="U525" s="20"/>
      <c r="V525" s="20"/>
    </row>
    <row r="526" spans="2:22" ht="34">
      <c r="B526" s="11" t="s">
        <v>3138</v>
      </c>
      <c r="C526" s="23" t="s">
        <v>678</v>
      </c>
      <c r="D526" s="13" t="s">
        <v>792</v>
      </c>
      <c r="E526" s="24"/>
      <c r="F526" s="25">
        <f>Table2[[#This Row],[Price]]/Table2[[#This Row],[Tot Ht Area]]</f>
        <v>0</v>
      </c>
      <c r="G526" s="16">
        <v>2742</v>
      </c>
      <c r="H526" s="16">
        <v>2992</v>
      </c>
      <c r="I526" s="17" t="s">
        <v>3139</v>
      </c>
      <c r="J526" s="18" t="s">
        <v>491</v>
      </c>
      <c r="K526" s="19" t="s">
        <v>680</v>
      </c>
      <c r="L526" s="19" t="s">
        <v>2998</v>
      </c>
      <c r="M526" s="19" t="s">
        <v>3140</v>
      </c>
      <c r="N526" s="20" t="s">
        <v>1598</v>
      </c>
      <c r="O526" s="20" t="s">
        <v>27</v>
      </c>
      <c r="P526" s="21" t="s">
        <v>3141</v>
      </c>
      <c r="Q526" s="20"/>
      <c r="R526" s="20" t="s">
        <v>3142</v>
      </c>
      <c r="S526" s="20"/>
      <c r="T526" s="20"/>
      <c r="U526" s="20"/>
      <c r="V526" s="20"/>
    </row>
    <row r="527" spans="2:22" ht="34">
      <c r="B527" s="11" t="s">
        <v>3143</v>
      </c>
      <c r="C527" s="23" t="s">
        <v>678</v>
      </c>
      <c r="D527" s="13" t="s">
        <v>170</v>
      </c>
      <c r="E527" s="24">
        <v>430000</v>
      </c>
      <c r="F527" s="25">
        <f>Table2[[#This Row],[Price]]/Table2[[#This Row],[Tot Ht Area]]</f>
        <v>172.55216693418942</v>
      </c>
      <c r="G527" s="16">
        <v>2492</v>
      </c>
      <c r="H527" s="16">
        <v>3212</v>
      </c>
      <c r="I527" s="17" t="s">
        <v>3144</v>
      </c>
      <c r="J527" s="18" t="s">
        <v>2791</v>
      </c>
      <c r="K527" s="19" t="s">
        <v>1603</v>
      </c>
      <c r="L527" s="19" t="s">
        <v>2998</v>
      </c>
      <c r="M527" s="19" t="s">
        <v>3145</v>
      </c>
      <c r="N527" s="20" t="s">
        <v>1598</v>
      </c>
      <c r="O527" s="20" t="s">
        <v>27</v>
      </c>
      <c r="P527" s="21" t="s">
        <v>3146</v>
      </c>
      <c r="Q527" s="20"/>
      <c r="R527" s="20" t="s">
        <v>3147</v>
      </c>
      <c r="S527" s="20"/>
      <c r="T527" s="20"/>
      <c r="U527" s="20"/>
      <c r="V527" s="20"/>
    </row>
    <row r="528" spans="2:22" ht="34">
      <c r="B528" s="11" t="s">
        <v>3148</v>
      </c>
      <c r="C528" s="23" t="s">
        <v>678</v>
      </c>
      <c r="D528" s="13" t="s">
        <v>1255</v>
      </c>
      <c r="E528" s="24">
        <v>1501000</v>
      </c>
      <c r="F528" s="25">
        <f>Table2[[#This Row],[Price]]/Table2[[#This Row],[Tot Ht Area]]</f>
        <v>278.2721542454579</v>
      </c>
      <c r="G528" s="16">
        <v>5394</v>
      </c>
      <c r="H528" s="16">
        <v>5394</v>
      </c>
      <c r="I528" s="17" t="s">
        <v>3149</v>
      </c>
      <c r="J528" s="18" t="s">
        <v>92</v>
      </c>
      <c r="K528" s="19" t="s">
        <v>680</v>
      </c>
      <c r="L528" s="19" t="s">
        <v>2998</v>
      </c>
      <c r="M528" s="19" t="s">
        <v>3150</v>
      </c>
      <c r="N528" s="20" t="s">
        <v>1598</v>
      </c>
      <c r="O528" s="20" t="s">
        <v>27</v>
      </c>
      <c r="P528" s="21" t="s">
        <v>3151</v>
      </c>
      <c r="Q528" s="20"/>
      <c r="R528" s="20" t="s">
        <v>3152</v>
      </c>
      <c r="S528" s="20"/>
      <c r="T528" s="20"/>
      <c r="U528" s="20"/>
      <c r="V528" s="20"/>
    </row>
    <row r="529" spans="2:22" ht="17">
      <c r="B529" s="11" t="s">
        <v>3153</v>
      </c>
      <c r="C529" s="23" t="s">
        <v>678</v>
      </c>
      <c r="D529" s="13" t="s">
        <v>686</v>
      </c>
      <c r="E529" s="24">
        <v>100</v>
      </c>
      <c r="F529" s="25">
        <f>Table2[[#This Row],[Price]]/Table2[[#This Row],[Tot Ht Area]]</f>
        <v>9.9000099000098995E-3</v>
      </c>
      <c r="G529" s="16">
        <v>10101</v>
      </c>
      <c r="H529" s="16">
        <v>11991</v>
      </c>
      <c r="I529" s="17" t="s">
        <v>3154</v>
      </c>
      <c r="J529" s="18" t="s">
        <v>75</v>
      </c>
      <c r="K529" s="19" t="s">
        <v>1603</v>
      </c>
      <c r="L529" s="19" t="s">
        <v>704</v>
      </c>
      <c r="M529" s="19" t="s">
        <v>3155</v>
      </c>
      <c r="N529" s="20" t="s">
        <v>1598</v>
      </c>
      <c r="O529" s="20" t="s">
        <v>27</v>
      </c>
      <c r="P529" s="21" t="s">
        <v>3156</v>
      </c>
      <c r="Q529" s="20"/>
      <c r="R529" s="20" t="s">
        <v>3157</v>
      </c>
      <c r="S529" s="20"/>
      <c r="T529" s="20" t="s">
        <v>6318</v>
      </c>
      <c r="U529" s="20"/>
      <c r="V529" s="20"/>
    </row>
    <row r="530" spans="2:22" ht="17">
      <c r="B530" s="11" t="s">
        <v>3158</v>
      </c>
      <c r="C530" s="23" t="s">
        <v>678</v>
      </c>
      <c r="D530" s="13" t="s">
        <v>133</v>
      </c>
      <c r="E530" s="24">
        <v>100</v>
      </c>
      <c r="F530" s="25">
        <f>Table2[[#This Row],[Price]]/Table2[[#This Row],[Tot Ht Area]]</f>
        <v>4.8262548262548263E-2</v>
      </c>
      <c r="G530" s="16">
        <v>2072</v>
      </c>
      <c r="H530" s="16">
        <v>2486</v>
      </c>
      <c r="I530" s="17" t="s">
        <v>3159</v>
      </c>
      <c r="J530" s="18" t="s">
        <v>491</v>
      </c>
      <c r="K530" s="19" t="s">
        <v>801</v>
      </c>
      <c r="L530" s="19" t="s">
        <v>704</v>
      </c>
      <c r="M530" s="19" t="s">
        <v>3160</v>
      </c>
      <c r="N530" s="20" t="s">
        <v>1598</v>
      </c>
      <c r="O530" s="20" t="s">
        <v>27</v>
      </c>
      <c r="P530" s="21" t="s">
        <v>3161</v>
      </c>
      <c r="Q530" s="20"/>
      <c r="R530" s="20" t="s">
        <v>3162</v>
      </c>
      <c r="S530" s="20"/>
      <c r="T530" s="20" t="s">
        <v>6318</v>
      </c>
      <c r="U530" s="20"/>
      <c r="V530" s="20"/>
    </row>
    <row r="531" spans="2:22" ht="34">
      <c r="B531" s="11" t="s">
        <v>3163</v>
      </c>
      <c r="C531" s="23" t="s">
        <v>678</v>
      </c>
      <c r="D531" s="13" t="s">
        <v>64</v>
      </c>
      <c r="E531" s="24">
        <v>437000</v>
      </c>
      <c r="F531" s="25">
        <f>Table2[[#This Row],[Price]]/Table2[[#This Row],[Tot Ht Area]]</f>
        <v>199.54337899543378</v>
      </c>
      <c r="G531" s="16">
        <v>2190</v>
      </c>
      <c r="H531" s="16">
        <v>2522</v>
      </c>
      <c r="I531" s="17" t="s">
        <v>3164</v>
      </c>
      <c r="J531" s="18" t="s">
        <v>2588</v>
      </c>
      <c r="K531" s="19" t="s">
        <v>801</v>
      </c>
      <c r="L531" s="19" t="s">
        <v>704</v>
      </c>
      <c r="M531" s="19" t="s">
        <v>3165</v>
      </c>
      <c r="N531" s="20" t="s">
        <v>1598</v>
      </c>
      <c r="O531" s="20" t="s">
        <v>27</v>
      </c>
      <c r="P531" s="21" t="s">
        <v>3166</v>
      </c>
      <c r="Q531" s="20"/>
      <c r="R531" s="20" t="s">
        <v>3167</v>
      </c>
      <c r="S531" s="20"/>
      <c r="T531" s="20"/>
      <c r="U531" s="20"/>
      <c r="V531" s="20"/>
    </row>
    <row r="532" spans="2:22" ht="34">
      <c r="B532" s="11" t="s">
        <v>3168</v>
      </c>
      <c r="C532" s="23" t="s">
        <v>678</v>
      </c>
      <c r="D532" s="13" t="s">
        <v>108</v>
      </c>
      <c r="E532" s="24">
        <v>100</v>
      </c>
      <c r="F532" s="25">
        <f>Table2[[#This Row],[Price]]/Table2[[#This Row],[Tot Ht Area]]</f>
        <v>1.621271076523995E-2</v>
      </c>
      <c r="G532" s="16">
        <v>6168</v>
      </c>
      <c r="H532" s="16">
        <v>6770</v>
      </c>
      <c r="I532" s="17" t="s">
        <v>3169</v>
      </c>
      <c r="J532" s="18" t="s">
        <v>92</v>
      </c>
      <c r="K532" s="19" t="s">
        <v>1603</v>
      </c>
      <c r="L532" s="19" t="s">
        <v>704</v>
      </c>
      <c r="M532" s="19" t="s">
        <v>3170</v>
      </c>
      <c r="N532" s="20" t="s">
        <v>1598</v>
      </c>
      <c r="O532" s="20" t="s">
        <v>27</v>
      </c>
      <c r="P532" s="21" t="s">
        <v>3171</v>
      </c>
      <c r="Q532" s="20"/>
      <c r="R532" s="20" t="s">
        <v>3172</v>
      </c>
      <c r="S532" s="20"/>
      <c r="T532" s="20" t="s">
        <v>6318</v>
      </c>
      <c r="U532" s="20"/>
      <c r="V532" s="20"/>
    </row>
    <row r="533" spans="2:22" ht="17">
      <c r="B533" s="11" t="s">
        <v>3173</v>
      </c>
      <c r="C533" s="23" t="s">
        <v>678</v>
      </c>
      <c r="D533" s="13" t="s">
        <v>372</v>
      </c>
      <c r="E533" s="24">
        <v>100</v>
      </c>
      <c r="F533" s="25">
        <f>Table2[[#This Row],[Price]]/Table2[[#This Row],[Tot Ht Area]]</f>
        <v>2.4900398406374501E-2</v>
      </c>
      <c r="G533" s="16">
        <v>4016</v>
      </c>
      <c r="H533" s="16">
        <v>4192</v>
      </c>
      <c r="I533" s="17" t="s">
        <v>3174</v>
      </c>
      <c r="J533" s="18" t="s">
        <v>646</v>
      </c>
      <c r="K533" s="19" t="s">
        <v>801</v>
      </c>
      <c r="L533" s="19" t="s">
        <v>696</v>
      </c>
      <c r="M533" s="19" t="s">
        <v>3175</v>
      </c>
      <c r="N533" s="20" t="s">
        <v>1598</v>
      </c>
      <c r="O533" s="20" t="s">
        <v>1812</v>
      </c>
      <c r="P533" s="21" t="s">
        <v>3176</v>
      </c>
      <c r="Q533" s="20" t="s">
        <v>3177</v>
      </c>
      <c r="R533" s="20" t="s">
        <v>3178</v>
      </c>
      <c r="S533" s="20"/>
      <c r="T533" s="20" t="s">
        <v>6318</v>
      </c>
      <c r="U533" s="20"/>
      <c r="V533" s="20"/>
    </row>
    <row r="534" spans="2:22" ht="34">
      <c r="B534" s="11" t="s">
        <v>3179</v>
      </c>
      <c r="C534" s="23" t="s">
        <v>678</v>
      </c>
      <c r="D534" s="13" t="s">
        <v>185</v>
      </c>
      <c r="E534" s="24">
        <v>665000</v>
      </c>
      <c r="F534" s="25">
        <f>Table2[[#This Row],[Price]]/Table2[[#This Row],[Tot Ht Area]]</f>
        <v>229.31034482758622</v>
      </c>
      <c r="G534" s="16">
        <v>2900</v>
      </c>
      <c r="H534" s="16">
        <v>3038</v>
      </c>
      <c r="I534" s="17" t="s">
        <v>2020</v>
      </c>
      <c r="J534" s="18" t="s">
        <v>548</v>
      </c>
      <c r="K534" s="19" t="s">
        <v>680</v>
      </c>
      <c r="L534" s="19" t="s">
        <v>696</v>
      </c>
      <c r="M534" s="19" t="s">
        <v>3180</v>
      </c>
      <c r="N534" s="20" t="s">
        <v>1598</v>
      </c>
      <c r="O534" s="20" t="s">
        <v>27</v>
      </c>
      <c r="P534" s="21" t="s">
        <v>3181</v>
      </c>
      <c r="Q534" s="20" t="s">
        <v>3182</v>
      </c>
      <c r="R534" s="20" t="s">
        <v>3183</v>
      </c>
      <c r="S534" s="20"/>
      <c r="T534" s="20"/>
      <c r="U534" s="20"/>
      <c r="V534" s="20"/>
    </row>
    <row r="535" spans="2:22" ht="17">
      <c r="B535" s="11" t="s">
        <v>3184</v>
      </c>
      <c r="C535" s="23" t="s">
        <v>678</v>
      </c>
      <c r="D535" s="13" t="s">
        <v>428</v>
      </c>
      <c r="E535" s="24">
        <v>3150000</v>
      </c>
      <c r="F535" s="25">
        <f>Table2[[#This Row],[Price]]/Table2[[#This Row],[Tot Ht Area]]</f>
        <v>300</v>
      </c>
      <c r="G535" s="16">
        <v>10500</v>
      </c>
      <c r="H535" s="16">
        <v>10860</v>
      </c>
      <c r="I535" s="17" t="s">
        <v>3185</v>
      </c>
      <c r="J535" s="18" t="s">
        <v>2150</v>
      </c>
      <c r="K535" s="19" t="s">
        <v>680</v>
      </c>
      <c r="L535" s="19" t="s">
        <v>704</v>
      </c>
      <c r="M535" s="19" t="s">
        <v>3186</v>
      </c>
      <c r="N535" s="20" t="s">
        <v>1598</v>
      </c>
      <c r="O535" s="20" t="s">
        <v>27</v>
      </c>
      <c r="P535" s="21" t="s">
        <v>3187</v>
      </c>
      <c r="Q535" s="20"/>
      <c r="R535" s="20" t="s">
        <v>3188</v>
      </c>
      <c r="S535" s="20"/>
      <c r="T535" s="20"/>
      <c r="U535" s="20"/>
      <c r="V535" s="20"/>
    </row>
    <row r="536" spans="2:22" ht="17">
      <c r="B536" s="11" t="s">
        <v>3189</v>
      </c>
      <c r="C536" s="23" t="s">
        <v>678</v>
      </c>
      <c r="D536" s="13" t="s">
        <v>34</v>
      </c>
      <c r="E536" s="24">
        <v>575000</v>
      </c>
      <c r="F536" s="25">
        <f>Table2[[#This Row],[Price]]/Table2[[#This Row],[Tot Ht Area]]</f>
        <v>240.88814411395057</v>
      </c>
      <c r="G536" s="16">
        <v>2387</v>
      </c>
      <c r="H536" s="16">
        <v>2387</v>
      </c>
      <c r="I536" s="17" t="s">
        <v>3190</v>
      </c>
      <c r="J536" s="18" t="s">
        <v>225</v>
      </c>
      <c r="K536" s="19" t="s">
        <v>801</v>
      </c>
      <c r="L536" s="19" t="s">
        <v>704</v>
      </c>
      <c r="M536" s="19" t="s">
        <v>3191</v>
      </c>
      <c r="N536" s="20" t="s">
        <v>1598</v>
      </c>
      <c r="O536" s="20" t="s">
        <v>27</v>
      </c>
      <c r="P536" s="21" t="s">
        <v>2676</v>
      </c>
      <c r="Q536" s="20" t="s">
        <v>3192</v>
      </c>
      <c r="R536" s="20" t="s">
        <v>3193</v>
      </c>
      <c r="S536" s="20"/>
      <c r="T536" s="20"/>
      <c r="U536" s="20"/>
      <c r="V536" s="20"/>
    </row>
    <row r="537" spans="2:22" ht="17">
      <c r="B537" s="11" t="s">
        <v>3194</v>
      </c>
      <c r="C537" s="23" t="s">
        <v>678</v>
      </c>
      <c r="D537" s="13" t="s">
        <v>398</v>
      </c>
      <c r="E537" s="24">
        <v>100</v>
      </c>
      <c r="F537" s="25">
        <f>Table2[[#This Row],[Price]]/Table2[[#This Row],[Tot Ht Area]]</f>
        <v>3.6764705882352942E-2</v>
      </c>
      <c r="G537" s="16">
        <v>2720</v>
      </c>
      <c r="H537" s="16">
        <v>2992</v>
      </c>
      <c r="I537" s="17" t="s">
        <v>3195</v>
      </c>
      <c r="J537" s="18" t="s">
        <v>491</v>
      </c>
      <c r="K537" s="19" t="s">
        <v>680</v>
      </c>
      <c r="L537" s="19" t="s">
        <v>704</v>
      </c>
      <c r="M537" s="19" t="s">
        <v>3196</v>
      </c>
      <c r="N537" s="20" t="s">
        <v>1598</v>
      </c>
      <c r="O537" s="20" t="s">
        <v>27</v>
      </c>
      <c r="P537" s="21" t="s">
        <v>3197</v>
      </c>
      <c r="Q537" s="20" t="s">
        <v>3198</v>
      </c>
      <c r="R537" s="20" t="s">
        <v>3199</v>
      </c>
      <c r="S537" s="20"/>
      <c r="T537" s="20" t="s">
        <v>6318</v>
      </c>
      <c r="U537" s="20"/>
      <c r="V537" s="20"/>
    </row>
    <row r="538" spans="2:22" ht="17">
      <c r="B538" s="11" t="s">
        <v>3200</v>
      </c>
      <c r="C538" s="23" t="s">
        <v>678</v>
      </c>
      <c r="D538" s="13" t="s">
        <v>215</v>
      </c>
      <c r="E538" s="24">
        <v>100</v>
      </c>
      <c r="F538" s="25">
        <f>Table2[[#This Row],[Price]]/Table2[[#This Row],[Tot Ht Area]]</f>
        <v>3.2583903551645491E-2</v>
      </c>
      <c r="G538" s="16">
        <v>3069</v>
      </c>
      <c r="H538" s="16">
        <v>3149</v>
      </c>
      <c r="I538" s="17" t="s">
        <v>3201</v>
      </c>
      <c r="J538" s="18" t="s">
        <v>2588</v>
      </c>
      <c r="K538" s="19" t="s">
        <v>680</v>
      </c>
      <c r="L538" s="19" t="s">
        <v>724</v>
      </c>
      <c r="M538" s="19" t="s">
        <v>3202</v>
      </c>
      <c r="N538" s="20" t="s">
        <v>1598</v>
      </c>
      <c r="O538" s="20" t="s">
        <v>27</v>
      </c>
      <c r="P538" s="21" t="s">
        <v>3203</v>
      </c>
      <c r="Q538" s="20"/>
      <c r="R538" s="20" t="s">
        <v>3204</v>
      </c>
      <c r="S538" s="20"/>
      <c r="T538" s="20" t="s">
        <v>6318</v>
      </c>
      <c r="U538" s="20"/>
      <c r="V538" s="20"/>
    </row>
    <row r="539" spans="2:22" ht="51">
      <c r="B539" s="11" t="s">
        <v>3205</v>
      </c>
      <c r="C539" s="23" t="s">
        <v>678</v>
      </c>
      <c r="D539" s="13" t="s">
        <v>579</v>
      </c>
      <c r="E539" s="24">
        <v>100</v>
      </c>
      <c r="F539" s="25">
        <f>Table2[[#This Row],[Price]]/Table2[[#This Row],[Tot Ht Area]]</f>
        <v>2.1034917963819941E-2</v>
      </c>
      <c r="G539" s="16">
        <v>4754</v>
      </c>
      <c r="H539" s="16">
        <v>5661</v>
      </c>
      <c r="I539" s="17" t="s">
        <v>3206</v>
      </c>
      <c r="J539" s="18" t="s">
        <v>2133</v>
      </c>
      <c r="K539" s="19" t="s">
        <v>680</v>
      </c>
      <c r="L539" s="19" t="s">
        <v>3079</v>
      </c>
      <c r="M539" s="19" t="s">
        <v>3207</v>
      </c>
      <c r="N539" s="20" t="s">
        <v>1598</v>
      </c>
      <c r="O539" s="20" t="s">
        <v>27</v>
      </c>
      <c r="P539" s="21" t="s">
        <v>3208</v>
      </c>
      <c r="Q539" s="20"/>
      <c r="R539" s="20" t="s">
        <v>3209</v>
      </c>
      <c r="S539" s="20"/>
      <c r="T539" s="20" t="s">
        <v>6318</v>
      </c>
      <c r="U539" s="20"/>
      <c r="V539" s="20"/>
    </row>
    <row r="540" spans="2:22" ht="17">
      <c r="B540" s="11" t="s">
        <v>3210</v>
      </c>
      <c r="C540" s="23" t="s">
        <v>678</v>
      </c>
      <c r="D540" s="13" t="s">
        <v>1399</v>
      </c>
      <c r="E540" s="24">
        <v>1400000</v>
      </c>
      <c r="F540" s="25">
        <f>Table2[[#This Row],[Price]]/Table2[[#This Row],[Tot Ht Area]]</f>
        <v>104.97900419916017</v>
      </c>
      <c r="G540" s="16">
        <v>13336</v>
      </c>
      <c r="H540" s="16">
        <v>13528</v>
      </c>
      <c r="I540" s="17" t="s">
        <v>3211</v>
      </c>
      <c r="J540" s="18" t="s">
        <v>2133</v>
      </c>
      <c r="K540" s="19" t="s">
        <v>1603</v>
      </c>
      <c r="L540" s="19" t="s">
        <v>3079</v>
      </c>
      <c r="M540" s="19" t="s">
        <v>3212</v>
      </c>
      <c r="N540" s="20" t="s">
        <v>1598</v>
      </c>
      <c r="O540" s="20" t="s">
        <v>27</v>
      </c>
      <c r="P540" s="21" t="s">
        <v>3213</v>
      </c>
      <c r="Q540" s="20"/>
      <c r="R540" s="20" t="s">
        <v>3214</v>
      </c>
      <c r="S540" s="20"/>
      <c r="T540" s="20"/>
      <c r="U540" s="20"/>
      <c r="V540" s="20"/>
    </row>
    <row r="541" spans="2:22" ht="34">
      <c r="B541" s="11" t="s">
        <v>3215</v>
      </c>
      <c r="C541" s="23" t="s">
        <v>678</v>
      </c>
      <c r="D541" s="13" t="s">
        <v>285</v>
      </c>
      <c r="E541" s="24">
        <v>100</v>
      </c>
      <c r="F541" s="25">
        <f>Table2[[#This Row],[Price]]/Table2[[#This Row],[Tot Ht Area]]</f>
        <v>5.3361792956243333E-2</v>
      </c>
      <c r="G541" s="16">
        <v>1874</v>
      </c>
      <c r="H541" s="16">
        <v>2416</v>
      </c>
      <c r="I541" s="17" t="s">
        <v>3216</v>
      </c>
      <c r="J541" s="18" t="s">
        <v>3217</v>
      </c>
      <c r="K541" s="19" t="s">
        <v>680</v>
      </c>
      <c r="L541" s="19" t="s">
        <v>3079</v>
      </c>
      <c r="M541" s="19" t="s">
        <v>3218</v>
      </c>
      <c r="N541" s="20" t="s">
        <v>1598</v>
      </c>
      <c r="O541" s="20" t="s">
        <v>27</v>
      </c>
      <c r="P541" s="21" t="s">
        <v>3219</v>
      </c>
      <c r="Q541" s="20"/>
      <c r="R541" s="20" t="s">
        <v>3220</v>
      </c>
      <c r="S541" s="20"/>
      <c r="T541" s="20" t="s">
        <v>6318</v>
      </c>
      <c r="U541" s="20"/>
      <c r="V541" s="20"/>
    </row>
    <row r="542" spans="2:22" ht="17">
      <c r="B542" s="11" t="s">
        <v>3221</v>
      </c>
      <c r="C542" s="23" t="s">
        <v>678</v>
      </c>
      <c r="D542" s="13" t="s">
        <v>2642</v>
      </c>
      <c r="E542" s="24">
        <v>478900</v>
      </c>
      <c r="F542" s="25">
        <f>Table2[[#This Row],[Price]]/Table2[[#This Row],[Tot Ht Area]]</f>
        <v>134.97745208568207</v>
      </c>
      <c r="G542" s="16">
        <v>3548</v>
      </c>
      <c r="H542" s="16">
        <v>3731</v>
      </c>
      <c r="I542" s="17" t="s">
        <v>3222</v>
      </c>
      <c r="J542" s="18" t="s">
        <v>1163</v>
      </c>
      <c r="K542" s="19" t="s">
        <v>801</v>
      </c>
      <c r="L542" s="19" t="s">
        <v>704</v>
      </c>
      <c r="M542" s="19" t="s">
        <v>3223</v>
      </c>
      <c r="N542" s="20" t="s">
        <v>1598</v>
      </c>
      <c r="O542" s="20" t="s">
        <v>27</v>
      </c>
      <c r="P542" s="21" t="s">
        <v>3224</v>
      </c>
      <c r="Q542" s="20" t="s">
        <v>3225</v>
      </c>
      <c r="R542" s="20" t="s">
        <v>3226</v>
      </c>
      <c r="S542" s="20"/>
      <c r="T542" s="20"/>
      <c r="U542" s="20"/>
      <c r="V542" s="20"/>
    </row>
    <row r="543" spans="2:22" ht="34">
      <c r="B543" s="11" t="s">
        <v>3227</v>
      </c>
      <c r="C543" s="23" t="s">
        <v>678</v>
      </c>
      <c r="D543" s="13" t="s">
        <v>722</v>
      </c>
      <c r="E543" s="24">
        <v>3825000</v>
      </c>
      <c r="F543" s="25">
        <f>Table2[[#This Row],[Price]]/Table2[[#This Row],[Tot Ht Area]]</f>
        <v>261.05651105651106</v>
      </c>
      <c r="G543" s="16">
        <v>14652</v>
      </c>
      <c r="H543" s="16">
        <v>15279</v>
      </c>
      <c r="I543" s="17" t="s">
        <v>3228</v>
      </c>
      <c r="J543" s="18" t="s">
        <v>415</v>
      </c>
      <c r="K543" s="19" t="s">
        <v>680</v>
      </c>
      <c r="L543" s="19" t="s">
        <v>704</v>
      </c>
      <c r="M543" s="19" t="s">
        <v>3229</v>
      </c>
      <c r="N543" s="20" t="s">
        <v>1598</v>
      </c>
      <c r="O543" s="20" t="s">
        <v>27</v>
      </c>
      <c r="P543" s="21" t="s">
        <v>3230</v>
      </c>
      <c r="Q543" s="20"/>
      <c r="R543" s="20" t="s">
        <v>3231</v>
      </c>
      <c r="S543" s="20"/>
      <c r="T543" s="20"/>
      <c r="U543" s="20"/>
      <c r="V543" s="20"/>
    </row>
    <row r="544" spans="2:22" ht="17">
      <c r="B544" s="11" t="s">
        <v>3232</v>
      </c>
      <c r="C544" s="23" t="s">
        <v>678</v>
      </c>
      <c r="D544" s="13" t="s">
        <v>779</v>
      </c>
      <c r="E544" s="24">
        <v>100</v>
      </c>
      <c r="F544" s="25">
        <f>Table2[[#This Row],[Price]]/Table2[[#This Row],[Tot Ht Area]]</f>
        <v>2.7472527472527472E-2</v>
      </c>
      <c r="G544" s="16">
        <v>3640</v>
      </c>
      <c r="H544" s="16">
        <v>3640</v>
      </c>
      <c r="I544" s="17" t="s">
        <v>3233</v>
      </c>
      <c r="J544" s="18" t="s">
        <v>468</v>
      </c>
      <c r="K544" s="19" t="s">
        <v>680</v>
      </c>
      <c r="L544" s="19" t="s">
        <v>739</v>
      </c>
      <c r="M544" s="19" t="s">
        <v>3234</v>
      </c>
      <c r="N544" s="20" t="s">
        <v>1598</v>
      </c>
      <c r="O544" s="20" t="s">
        <v>27</v>
      </c>
      <c r="P544" s="21" t="s">
        <v>3235</v>
      </c>
      <c r="Q544" s="20" t="s">
        <v>3236</v>
      </c>
      <c r="R544" s="20" t="s">
        <v>3237</v>
      </c>
      <c r="S544" s="20"/>
      <c r="T544" s="20" t="s">
        <v>6318</v>
      </c>
      <c r="U544" s="20"/>
      <c r="V544" s="20"/>
    </row>
    <row r="545" spans="2:22" ht="17">
      <c r="B545" s="11" t="s">
        <v>3238</v>
      </c>
      <c r="C545" s="23" t="s">
        <v>678</v>
      </c>
      <c r="D545" s="13" t="s">
        <v>293</v>
      </c>
      <c r="E545" s="24">
        <v>1113000</v>
      </c>
      <c r="F545" s="25">
        <f>Table2[[#This Row],[Price]]/Table2[[#This Row],[Tot Ht Area]]</f>
        <v>366.600790513834</v>
      </c>
      <c r="G545" s="16">
        <v>3036</v>
      </c>
      <c r="H545" s="16">
        <v>4454</v>
      </c>
      <c r="I545" s="17" t="s">
        <v>3239</v>
      </c>
      <c r="J545" s="18" t="s">
        <v>57</v>
      </c>
      <c r="K545" s="19" t="s">
        <v>680</v>
      </c>
      <c r="L545" s="19" t="s">
        <v>2986</v>
      </c>
      <c r="M545" s="19" t="s">
        <v>3240</v>
      </c>
      <c r="N545" s="20" t="s">
        <v>1598</v>
      </c>
      <c r="O545" s="20" t="s">
        <v>27</v>
      </c>
      <c r="P545" s="21" t="s">
        <v>3241</v>
      </c>
      <c r="Q545" s="20"/>
      <c r="R545" s="20" t="s">
        <v>3242</v>
      </c>
      <c r="S545" s="20"/>
      <c r="T545" s="20"/>
      <c r="U545" s="20"/>
      <c r="V545" s="20"/>
    </row>
    <row r="546" spans="2:22" ht="17">
      <c r="B546" s="11" t="s">
        <v>3243</v>
      </c>
      <c r="C546" s="23" t="s">
        <v>678</v>
      </c>
      <c r="D546" s="13" t="s">
        <v>709</v>
      </c>
      <c r="E546" s="24">
        <v>748800</v>
      </c>
      <c r="F546" s="25">
        <f>Table2[[#This Row],[Price]]/Table2[[#This Row],[Tot Ht Area]]</f>
        <v>32.471812662619257</v>
      </c>
      <c r="G546" s="16">
        <v>23060</v>
      </c>
      <c r="H546" s="16">
        <v>27544</v>
      </c>
      <c r="I546" s="17" t="s">
        <v>1996</v>
      </c>
      <c r="J546" s="18" t="s">
        <v>316</v>
      </c>
      <c r="K546" s="19" t="s">
        <v>1603</v>
      </c>
      <c r="L546" s="19" t="s">
        <v>681</v>
      </c>
      <c r="M546" s="19" t="s">
        <v>3244</v>
      </c>
      <c r="N546" s="20" t="s">
        <v>1598</v>
      </c>
      <c r="O546" s="20" t="s">
        <v>27</v>
      </c>
      <c r="P546" s="21" t="s">
        <v>3245</v>
      </c>
      <c r="Q546" s="20"/>
      <c r="R546" s="20" t="s">
        <v>3246</v>
      </c>
      <c r="S546" s="20"/>
      <c r="T546" s="20"/>
      <c r="U546" s="20"/>
      <c r="V546" s="20"/>
    </row>
    <row r="547" spans="2:22" ht="17">
      <c r="B547" s="11" t="s">
        <v>3247</v>
      </c>
      <c r="C547" s="23" t="s">
        <v>678</v>
      </c>
      <c r="D547" s="13" t="s">
        <v>64</v>
      </c>
      <c r="E547" s="24">
        <v>1768900</v>
      </c>
      <c r="F547" s="25">
        <f>Table2[[#This Row],[Price]]/Table2[[#This Row],[Tot Ht Area]]</f>
        <v>339.65053763440858</v>
      </c>
      <c r="G547" s="16">
        <v>5208</v>
      </c>
      <c r="H547" s="16">
        <v>7267</v>
      </c>
      <c r="I547" s="17" t="s">
        <v>3248</v>
      </c>
      <c r="J547" s="18" t="s">
        <v>566</v>
      </c>
      <c r="K547" s="19" t="s">
        <v>680</v>
      </c>
      <c r="L547" s="19" t="s">
        <v>704</v>
      </c>
      <c r="M547" s="19" t="s">
        <v>3249</v>
      </c>
      <c r="N547" s="20" t="s">
        <v>1598</v>
      </c>
      <c r="O547" s="20" t="s">
        <v>27</v>
      </c>
      <c r="P547" s="21" t="s">
        <v>3250</v>
      </c>
      <c r="Q547" s="20" t="s">
        <v>3251</v>
      </c>
      <c r="R547" s="20" t="s">
        <v>3252</v>
      </c>
      <c r="S547" s="20"/>
      <c r="T547" s="20"/>
      <c r="U547" s="20"/>
      <c r="V547" s="20"/>
    </row>
    <row r="548" spans="2:22" ht="34">
      <c r="B548" s="11" t="s">
        <v>3253</v>
      </c>
      <c r="C548" s="23" t="s">
        <v>678</v>
      </c>
      <c r="D548" s="13" t="s">
        <v>2642</v>
      </c>
      <c r="E548" s="24"/>
      <c r="F548" s="25">
        <f>Table2[[#This Row],[Price]]/Table2[[#This Row],[Tot Ht Area]]</f>
        <v>0</v>
      </c>
      <c r="G548" s="16">
        <v>2289</v>
      </c>
      <c r="H548" s="16">
        <v>3794</v>
      </c>
      <c r="I548" s="17" t="s">
        <v>3254</v>
      </c>
      <c r="J548" s="18" t="s">
        <v>3255</v>
      </c>
      <c r="K548" s="19" t="s">
        <v>680</v>
      </c>
      <c r="L548" s="19" t="s">
        <v>2998</v>
      </c>
      <c r="M548" s="19" t="s">
        <v>3256</v>
      </c>
      <c r="N548" s="20" t="s">
        <v>1598</v>
      </c>
      <c r="O548" s="20" t="s">
        <v>1812</v>
      </c>
      <c r="P548" s="21" t="s">
        <v>3257</v>
      </c>
      <c r="Q548" s="26" t="s">
        <v>3258</v>
      </c>
      <c r="R548" s="20" t="s">
        <v>3259</v>
      </c>
      <c r="S548" s="20"/>
      <c r="T548" s="20"/>
      <c r="U548" s="20"/>
      <c r="V548" s="20"/>
    </row>
    <row r="549" spans="2:22" ht="17">
      <c r="B549" s="11" t="s">
        <v>3260</v>
      </c>
      <c r="C549" s="23" t="s">
        <v>678</v>
      </c>
      <c r="D549" s="13" t="s">
        <v>124</v>
      </c>
      <c r="E549" s="24">
        <v>800000</v>
      </c>
      <c r="F549" s="25">
        <f>Table2[[#This Row],[Price]]/Table2[[#This Row],[Tot Ht Area]]</f>
        <v>175.82417582417582</v>
      </c>
      <c r="G549" s="16">
        <v>4550</v>
      </c>
      <c r="H549" s="16">
        <v>4970</v>
      </c>
      <c r="I549" s="17" t="s">
        <v>3261</v>
      </c>
      <c r="J549" s="18" t="s">
        <v>83</v>
      </c>
      <c r="K549" s="19" t="s">
        <v>1603</v>
      </c>
      <c r="L549" s="19" t="s">
        <v>2998</v>
      </c>
      <c r="M549" s="19" t="s">
        <v>3262</v>
      </c>
      <c r="N549" s="20" t="s">
        <v>1598</v>
      </c>
      <c r="O549" s="20" t="s">
        <v>27</v>
      </c>
      <c r="P549" s="21" t="s">
        <v>3263</v>
      </c>
      <c r="Q549" s="20"/>
      <c r="R549" s="20" t="s">
        <v>3264</v>
      </c>
      <c r="S549" s="20"/>
      <c r="T549" s="20"/>
      <c r="U549" s="20"/>
      <c r="V549" s="20"/>
    </row>
    <row r="550" spans="2:22" ht="34">
      <c r="B550" s="11" t="s">
        <v>3265</v>
      </c>
      <c r="C550" s="23" t="s">
        <v>678</v>
      </c>
      <c r="D550" s="13" t="s">
        <v>571</v>
      </c>
      <c r="E550" s="24">
        <v>650000</v>
      </c>
      <c r="F550" s="25">
        <f>Table2[[#This Row],[Price]]/Table2[[#This Row],[Tot Ht Area]]</f>
        <v>168.65594187856772</v>
      </c>
      <c r="G550" s="16">
        <v>3854</v>
      </c>
      <c r="H550" s="16">
        <v>4147</v>
      </c>
      <c r="I550" s="17" t="s">
        <v>1596</v>
      </c>
      <c r="J550" s="18" t="s">
        <v>1163</v>
      </c>
      <c r="K550" s="19" t="s">
        <v>801</v>
      </c>
      <c r="L550" s="19" t="s">
        <v>2998</v>
      </c>
      <c r="M550" s="19" t="s">
        <v>3266</v>
      </c>
      <c r="N550" s="20" t="s">
        <v>1598</v>
      </c>
      <c r="O550" s="20" t="s">
        <v>27</v>
      </c>
      <c r="P550" s="21" t="s">
        <v>3267</v>
      </c>
      <c r="Q550" s="20"/>
      <c r="R550" s="20" t="s">
        <v>3268</v>
      </c>
      <c r="S550" s="20"/>
      <c r="T550" s="20"/>
      <c r="U550" s="20"/>
      <c r="V550" s="20"/>
    </row>
    <row r="551" spans="2:22" ht="34">
      <c r="B551" s="11" t="s">
        <v>3269</v>
      </c>
      <c r="C551" s="23" t="s">
        <v>678</v>
      </c>
      <c r="D551" s="13" t="s">
        <v>428</v>
      </c>
      <c r="E551" s="24">
        <v>2575000</v>
      </c>
      <c r="F551" s="25">
        <f>Table2[[#This Row],[Price]]/Table2[[#This Row],[Tot Ht Area]]</f>
        <v>125.43842556508184</v>
      </c>
      <c r="G551" s="16">
        <v>20528</v>
      </c>
      <c r="H551" s="16">
        <v>21000</v>
      </c>
      <c r="I551" s="17" t="s">
        <v>3270</v>
      </c>
      <c r="J551" s="18" t="s">
        <v>100</v>
      </c>
      <c r="K551" s="19" t="s">
        <v>1603</v>
      </c>
      <c r="L551" s="19" t="s">
        <v>704</v>
      </c>
      <c r="M551" s="19" t="s">
        <v>3271</v>
      </c>
      <c r="N551" s="20" t="s">
        <v>1598</v>
      </c>
      <c r="O551" s="20" t="s">
        <v>27</v>
      </c>
      <c r="P551" s="21" t="s">
        <v>3272</v>
      </c>
      <c r="Q551" s="20" t="s">
        <v>3273</v>
      </c>
      <c r="R551" s="20" t="s">
        <v>3274</v>
      </c>
      <c r="S551" s="20"/>
      <c r="T551" s="20"/>
      <c r="U551" s="20"/>
      <c r="V551" s="20"/>
    </row>
    <row r="552" spans="2:22" ht="51">
      <c r="B552" s="11" t="s">
        <v>3275</v>
      </c>
      <c r="C552" s="23" t="s">
        <v>678</v>
      </c>
      <c r="D552" s="13" t="s">
        <v>779</v>
      </c>
      <c r="E552" s="24">
        <v>100</v>
      </c>
      <c r="F552" s="25">
        <f>Table2[[#This Row],[Price]]/Table2[[#This Row],[Tot Ht Area]]</f>
        <v>2.3408239700374533E-2</v>
      </c>
      <c r="G552" s="16">
        <v>4272</v>
      </c>
      <c r="H552" s="16">
        <v>4352</v>
      </c>
      <c r="I552" s="17" t="s">
        <v>3276</v>
      </c>
      <c r="J552" s="18" t="s">
        <v>233</v>
      </c>
      <c r="K552" s="19" t="s">
        <v>680</v>
      </c>
      <c r="L552" s="19"/>
      <c r="M552" s="19" t="s">
        <v>3277</v>
      </c>
      <c r="N552" s="20" t="s">
        <v>1598</v>
      </c>
      <c r="O552" s="20" t="s">
        <v>27</v>
      </c>
      <c r="P552" s="21" t="s">
        <v>2926</v>
      </c>
      <c r="Q552" s="20" t="s">
        <v>3278</v>
      </c>
      <c r="R552" s="20" t="s">
        <v>3279</v>
      </c>
      <c r="S552" s="20"/>
      <c r="T552" s="20" t="s">
        <v>6318</v>
      </c>
      <c r="U552" s="20"/>
      <c r="V552" s="20"/>
    </row>
    <row r="553" spans="2:22" ht="17">
      <c r="B553" s="11" t="s">
        <v>3280</v>
      </c>
      <c r="C553" s="23" t="s">
        <v>678</v>
      </c>
      <c r="D553" s="13" t="s">
        <v>428</v>
      </c>
      <c r="E553" s="24">
        <v>2400000</v>
      </c>
      <c r="F553" s="25">
        <f>Table2[[#This Row],[Price]]/Table2[[#This Row],[Tot Ht Area]]</f>
        <v>299.02815848492401</v>
      </c>
      <c r="G553" s="16">
        <v>8026</v>
      </c>
      <c r="H553" s="16">
        <v>8383</v>
      </c>
      <c r="I553" s="17" t="s">
        <v>3281</v>
      </c>
      <c r="J553" s="18" t="s">
        <v>688</v>
      </c>
      <c r="K553" s="19" t="s">
        <v>680</v>
      </c>
      <c r="L553" s="19"/>
      <c r="M553" s="19" t="s">
        <v>3282</v>
      </c>
      <c r="N553" s="20" t="s">
        <v>1598</v>
      </c>
      <c r="O553" s="20" t="s">
        <v>1812</v>
      </c>
      <c r="P553" s="21" t="s">
        <v>3283</v>
      </c>
      <c r="Q553" s="26" t="s">
        <v>3284</v>
      </c>
      <c r="R553" s="26" t="s">
        <v>3285</v>
      </c>
      <c r="S553" s="20"/>
      <c r="T553" s="20"/>
      <c r="U553" s="20"/>
      <c r="V553" s="20"/>
    </row>
    <row r="554" spans="2:22" ht="17">
      <c r="B554" s="11" t="s">
        <v>3286</v>
      </c>
      <c r="C554" s="23" t="s">
        <v>678</v>
      </c>
      <c r="D554" s="13" t="s">
        <v>133</v>
      </c>
      <c r="E554" s="24"/>
      <c r="F554" s="25">
        <f>Table2[[#This Row],[Price]]/Table2[[#This Row],[Tot Ht Area]]</f>
        <v>0</v>
      </c>
      <c r="G554" s="16">
        <v>9360</v>
      </c>
      <c r="H554" s="16">
        <v>9735</v>
      </c>
      <c r="I554" s="17" t="s">
        <v>3287</v>
      </c>
      <c r="J554" s="18" t="s">
        <v>358</v>
      </c>
      <c r="K554" s="19" t="s">
        <v>680</v>
      </c>
      <c r="L554" s="19" t="s">
        <v>689</v>
      </c>
      <c r="M554" s="19" t="s">
        <v>3288</v>
      </c>
      <c r="N554" s="20" t="s">
        <v>1598</v>
      </c>
      <c r="O554" s="20" t="s">
        <v>27</v>
      </c>
      <c r="P554" s="21" t="s">
        <v>3289</v>
      </c>
      <c r="Q554" s="20"/>
      <c r="R554" s="20" t="s">
        <v>3290</v>
      </c>
      <c r="S554" s="20"/>
      <c r="T554" s="20"/>
      <c r="U554" s="20"/>
      <c r="V554" s="20"/>
    </row>
    <row r="555" spans="2:22" ht="34">
      <c r="B555" s="11" t="s">
        <v>3291</v>
      </c>
      <c r="C555" s="23" t="s">
        <v>678</v>
      </c>
      <c r="D555" s="13" t="s">
        <v>579</v>
      </c>
      <c r="E555" s="24">
        <v>800000</v>
      </c>
      <c r="F555" s="25">
        <f>Table2[[#This Row],[Price]]/Table2[[#This Row],[Tot Ht Area]]</f>
        <v>212.7659574468085</v>
      </c>
      <c r="G555" s="16">
        <v>3760</v>
      </c>
      <c r="H555" s="16">
        <v>3952</v>
      </c>
      <c r="I555" s="17" t="s">
        <v>3292</v>
      </c>
      <c r="J555" s="18" t="s">
        <v>47</v>
      </c>
      <c r="K555" s="19" t="s">
        <v>680</v>
      </c>
      <c r="L555" s="19"/>
      <c r="M555" s="19" t="s">
        <v>3293</v>
      </c>
      <c r="N555" s="20" t="s">
        <v>1598</v>
      </c>
      <c r="O555" s="20" t="s">
        <v>27</v>
      </c>
      <c r="P555" s="21" t="s">
        <v>3294</v>
      </c>
      <c r="Q555" s="20"/>
      <c r="R555" s="20" t="s">
        <v>3295</v>
      </c>
      <c r="S555" s="20"/>
      <c r="T555" s="20"/>
      <c r="U555" s="20"/>
      <c r="V555" s="20"/>
    </row>
    <row r="556" spans="2:22" ht="17">
      <c r="B556" s="11" t="s">
        <v>3296</v>
      </c>
      <c r="C556" s="23" t="s">
        <v>678</v>
      </c>
      <c r="D556" s="13" t="s">
        <v>336</v>
      </c>
      <c r="E556" s="24">
        <v>1450000</v>
      </c>
      <c r="F556" s="25">
        <f>Table2[[#This Row],[Price]]/Table2[[#This Row],[Tot Ht Area]]</f>
        <v>275.82271257371121</v>
      </c>
      <c r="G556" s="16">
        <v>5257</v>
      </c>
      <c r="H556" s="16">
        <v>5576</v>
      </c>
      <c r="I556" s="17" t="s">
        <v>3297</v>
      </c>
      <c r="J556" s="18" t="s">
        <v>66</v>
      </c>
      <c r="K556" s="19" t="s">
        <v>680</v>
      </c>
      <c r="L556" s="19" t="s">
        <v>704</v>
      </c>
      <c r="M556" s="19" t="s">
        <v>3298</v>
      </c>
      <c r="N556" s="20" t="s">
        <v>1598</v>
      </c>
      <c r="O556" s="20" t="s">
        <v>27</v>
      </c>
      <c r="P556" s="21" t="s">
        <v>3299</v>
      </c>
      <c r="Q556" s="26" t="s">
        <v>3300</v>
      </c>
      <c r="R556" s="20" t="s">
        <v>3301</v>
      </c>
      <c r="S556" s="20"/>
      <c r="T556" s="20"/>
      <c r="U556" s="20"/>
      <c r="V556" s="20"/>
    </row>
    <row r="557" spans="2:22" ht="51">
      <c r="B557" s="11" t="s">
        <v>3302</v>
      </c>
      <c r="C557" s="23" t="s">
        <v>678</v>
      </c>
      <c r="D557" s="13" t="s">
        <v>722</v>
      </c>
      <c r="E557" s="24">
        <v>100</v>
      </c>
      <c r="F557" s="25">
        <f>Table2[[#This Row],[Price]]/Table2[[#This Row],[Tot Ht Area]]</f>
        <v>9.0867787369377558E-3</v>
      </c>
      <c r="G557" s="16">
        <v>11005</v>
      </c>
      <c r="H557" s="16">
        <v>13334</v>
      </c>
      <c r="I557" s="17" t="s">
        <v>3303</v>
      </c>
      <c r="J557" s="18" t="s">
        <v>225</v>
      </c>
      <c r="K557" s="19" t="s">
        <v>801</v>
      </c>
      <c r="L557" s="19" t="s">
        <v>2866</v>
      </c>
      <c r="M557" s="19" t="s">
        <v>3304</v>
      </c>
      <c r="N557" s="20" t="s">
        <v>1598</v>
      </c>
      <c r="O557" s="20" t="s">
        <v>27</v>
      </c>
      <c r="P557" s="21" t="s">
        <v>3305</v>
      </c>
      <c r="Q557" s="20"/>
      <c r="R557" s="20" t="s">
        <v>3306</v>
      </c>
      <c r="S557" s="20"/>
      <c r="T557" s="20" t="s">
        <v>6318</v>
      </c>
      <c r="U557" s="20"/>
      <c r="V557" s="20"/>
    </row>
    <row r="558" spans="2:22" ht="34">
      <c r="B558" s="11" t="s">
        <v>3307</v>
      </c>
      <c r="C558" s="23" t="s">
        <v>678</v>
      </c>
      <c r="D558" s="13" t="s">
        <v>314</v>
      </c>
      <c r="E558" s="24">
        <v>725000</v>
      </c>
      <c r="F558" s="25">
        <f>Table2[[#This Row],[Price]]/Table2[[#This Row],[Tot Ht Area]]</f>
        <v>283.203125</v>
      </c>
      <c r="G558" s="16">
        <v>2560</v>
      </c>
      <c r="H558" s="16">
        <v>2835</v>
      </c>
      <c r="I558" s="17" t="s">
        <v>3308</v>
      </c>
      <c r="J558" s="18" t="s">
        <v>187</v>
      </c>
      <c r="K558" s="19" t="s">
        <v>680</v>
      </c>
      <c r="L558" s="19" t="s">
        <v>2931</v>
      </c>
      <c r="M558" s="19" t="s">
        <v>3309</v>
      </c>
      <c r="N558" s="20" t="s">
        <v>1598</v>
      </c>
      <c r="O558" s="20" t="s">
        <v>27</v>
      </c>
      <c r="P558" s="21" t="s">
        <v>3310</v>
      </c>
      <c r="Q558" s="20"/>
      <c r="R558" s="20" t="s">
        <v>3311</v>
      </c>
      <c r="S558" s="20"/>
      <c r="T558" s="20"/>
      <c r="U558" s="20"/>
      <c r="V558" s="20"/>
    </row>
    <row r="559" spans="2:22" ht="34">
      <c r="B559" s="11" t="s">
        <v>3312</v>
      </c>
      <c r="C559" s="23" t="s">
        <v>678</v>
      </c>
      <c r="D559" s="13" t="s">
        <v>253</v>
      </c>
      <c r="E559" s="24">
        <v>1450000</v>
      </c>
      <c r="F559" s="25">
        <f>Table2[[#This Row],[Price]]/Table2[[#This Row],[Tot Ht Area]]</f>
        <v>193.33333333333334</v>
      </c>
      <c r="G559" s="16">
        <v>7500</v>
      </c>
      <c r="H559" s="16">
        <v>7880</v>
      </c>
      <c r="I559" s="17" t="s">
        <v>3313</v>
      </c>
      <c r="J559" s="18" t="s">
        <v>716</v>
      </c>
      <c r="K559" s="19" t="s">
        <v>801</v>
      </c>
      <c r="L559" s="19" t="s">
        <v>711</v>
      </c>
      <c r="M559" s="19" t="s">
        <v>3314</v>
      </c>
      <c r="N559" s="20" t="s">
        <v>1598</v>
      </c>
      <c r="O559" s="20" t="s">
        <v>27</v>
      </c>
      <c r="P559" s="21" t="s">
        <v>3315</v>
      </c>
      <c r="Q559" s="20"/>
      <c r="R559" s="26" t="s">
        <v>3316</v>
      </c>
      <c r="S559" s="20"/>
      <c r="T559" s="20"/>
      <c r="U559" s="20"/>
      <c r="V559" s="20"/>
    </row>
    <row r="560" spans="2:22" ht="17">
      <c r="B560" s="11" t="s">
        <v>3317</v>
      </c>
      <c r="C560" s="23" t="s">
        <v>678</v>
      </c>
      <c r="D560" s="13" t="s">
        <v>141</v>
      </c>
      <c r="E560" s="24">
        <v>800000</v>
      </c>
      <c r="F560" s="25">
        <f>Table2[[#This Row],[Price]]/Table2[[#This Row],[Tot Ht Area]]</f>
        <v>209.36927505888511</v>
      </c>
      <c r="G560" s="16">
        <v>3821</v>
      </c>
      <c r="H560" s="16">
        <v>3853</v>
      </c>
      <c r="I560" s="17" t="s">
        <v>3318</v>
      </c>
      <c r="J560" s="18" t="s">
        <v>2218</v>
      </c>
      <c r="K560" s="19" t="s">
        <v>801</v>
      </c>
      <c r="L560" s="19" t="s">
        <v>711</v>
      </c>
      <c r="M560" s="19" t="s">
        <v>3319</v>
      </c>
      <c r="N560" s="20" t="s">
        <v>1598</v>
      </c>
      <c r="O560" s="20" t="s">
        <v>27</v>
      </c>
      <c r="P560" s="21" t="s">
        <v>3320</v>
      </c>
      <c r="Q560" s="20"/>
      <c r="R560" s="20" t="s">
        <v>3321</v>
      </c>
      <c r="S560" s="20"/>
      <c r="T560" s="20"/>
      <c r="U560" s="20"/>
      <c r="V560" s="20"/>
    </row>
    <row r="561" spans="2:22" ht="17">
      <c r="B561" s="11" t="s">
        <v>3322</v>
      </c>
      <c r="C561" s="23" t="s">
        <v>678</v>
      </c>
      <c r="D561" s="13" t="s">
        <v>34</v>
      </c>
      <c r="E561" s="24">
        <v>1400000</v>
      </c>
      <c r="F561" s="25">
        <f>Table2[[#This Row],[Price]]/Table2[[#This Row],[Tot Ht Area]]</f>
        <v>546.875</v>
      </c>
      <c r="G561" s="16">
        <v>2560</v>
      </c>
      <c r="H561" s="16">
        <v>2692</v>
      </c>
      <c r="I561" s="17" t="s">
        <v>3323</v>
      </c>
      <c r="J561" s="18" t="s">
        <v>75</v>
      </c>
      <c r="K561" s="19" t="s">
        <v>801</v>
      </c>
      <c r="L561" s="19" t="s">
        <v>711</v>
      </c>
      <c r="M561" s="19" t="s">
        <v>3324</v>
      </c>
      <c r="N561" s="20" t="s">
        <v>1598</v>
      </c>
      <c r="O561" s="20" t="s">
        <v>27</v>
      </c>
      <c r="P561" s="21" t="s">
        <v>3325</v>
      </c>
      <c r="Q561" s="20"/>
      <c r="R561" s="20" t="s">
        <v>3326</v>
      </c>
      <c r="S561" s="20"/>
      <c r="T561" s="20"/>
      <c r="U561" s="20"/>
      <c r="V561" s="20"/>
    </row>
    <row r="562" spans="2:22" ht="17">
      <c r="B562" s="11" t="s">
        <v>3327</v>
      </c>
      <c r="C562" s="23" t="s">
        <v>678</v>
      </c>
      <c r="D562" s="13" t="s">
        <v>571</v>
      </c>
      <c r="E562" s="24">
        <v>500000</v>
      </c>
      <c r="F562" s="25">
        <f>Table2[[#This Row],[Price]]/Table2[[#This Row],[Tot Ht Area]]</f>
        <v>204.08163265306123</v>
      </c>
      <c r="G562" s="16">
        <v>2450</v>
      </c>
      <c r="H562" s="16">
        <v>2685</v>
      </c>
      <c r="I562" s="17" t="s">
        <v>3328</v>
      </c>
      <c r="J562" s="18" t="s">
        <v>2797</v>
      </c>
      <c r="K562" s="19" t="s">
        <v>801</v>
      </c>
      <c r="L562" s="19" t="s">
        <v>3329</v>
      </c>
      <c r="M562" s="19" t="s">
        <v>3330</v>
      </c>
      <c r="N562" s="20" t="s">
        <v>1598</v>
      </c>
      <c r="O562" s="20" t="s">
        <v>27</v>
      </c>
      <c r="P562" s="21" t="s">
        <v>3331</v>
      </c>
      <c r="Q562" s="20"/>
      <c r="R562" s="20" t="s">
        <v>3332</v>
      </c>
      <c r="S562" s="20"/>
      <c r="T562" s="20"/>
      <c r="U562" s="20"/>
      <c r="V562" s="20"/>
    </row>
    <row r="563" spans="2:22" ht="17">
      <c r="B563" s="11" t="s">
        <v>3333</v>
      </c>
      <c r="C563" s="23" t="s">
        <v>678</v>
      </c>
      <c r="D563" s="13" t="s">
        <v>356</v>
      </c>
      <c r="E563" s="24">
        <v>100</v>
      </c>
      <c r="F563" s="25">
        <f>Table2[[#This Row],[Price]]/Table2[[#This Row],[Tot Ht Area]]</f>
        <v>1.1410314924691922E-2</v>
      </c>
      <c r="G563" s="16">
        <v>8764</v>
      </c>
      <c r="H563" s="16">
        <v>8876</v>
      </c>
      <c r="I563" s="17" t="s">
        <v>3334</v>
      </c>
      <c r="J563" s="18" t="s">
        <v>3335</v>
      </c>
      <c r="K563" s="19" t="s">
        <v>1603</v>
      </c>
      <c r="L563" s="19" t="s">
        <v>3329</v>
      </c>
      <c r="M563" s="19" t="s">
        <v>3336</v>
      </c>
      <c r="N563" s="20" t="s">
        <v>1598</v>
      </c>
      <c r="O563" s="20" t="s">
        <v>27</v>
      </c>
      <c r="P563" s="21" t="s">
        <v>3337</v>
      </c>
      <c r="Q563" s="20"/>
      <c r="R563" s="20" t="s">
        <v>3338</v>
      </c>
      <c r="S563" s="20"/>
      <c r="T563" s="20" t="s">
        <v>6318</v>
      </c>
      <c r="U563" s="20"/>
      <c r="V563" s="20"/>
    </row>
    <row r="564" spans="2:22" ht="17">
      <c r="B564" s="11" t="s">
        <v>3339</v>
      </c>
      <c r="C564" s="23" t="s">
        <v>678</v>
      </c>
      <c r="D564" s="13" t="s">
        <v>407</v>
      </c>
      <c r="E564" s="24">
        <v>1600000</v>
      </c>
      <c r="F564" s="25">
        <f>Table2[[#This Row],[Price]]/Table2[[#This Row],[Tot Ht Area]]</f>
        <v>346.32034632034635</v>
      </c>
      <c r="G564" s="16">
        <v>4620</v>
      </c>
      <c r="H564" s="16">
        <v>4804</v>
      </c>
      <c r="I564" s="17" t="s">
        <v>3340</v>
      </c>
      <c r="J564" s="18" t="s">
        <v>187</v>
      </c>
      <c r="K564" s="19" t="s">
        <v>680</v>
      </c>
      <c r="L564" s="19" t="s">
        <v>3341</v>
      </c>
      <c r="M564" s="19" t="s">
        <v>3342</v>
      </c>
      <c r="N564" s="20" t="s">
        <v>1598</v>
      </c>
      <c r="O564" s="20" t="s">
        <v>27</v>
      </c>
      <c r="P564" s="21" t="s">
        <v>3343</v>
      </c>
      <c r="Q564" s="20"/>
      <c r="R564" s="20" t="s">
        <v>3344</v>
      </c>
      <c r="S564" s="20"/>
      <c r="T564" s="20"/>
      <c r="U564" s="20"/>
      <c r="V564" s="20"/>
    </row>
    <row r="565" spans="2:22" ht="34">
      <c r="B565" s="11" t="s">
        <v>3345</v>
      </c>
      <c r="C565" s="23" t="s">
        <v>678</v>
      </c>
      <c r="D565" s="13" t="s">
        <v>792</v>
      </c>
      <c r="E565" s="24">
        <v>540000</v>
      </c>
      <c r="F565" s="25">
        <f>Table2[[#This Row],[Price]]/Table2[[#This Row],[Tot Ht Area]]</f>
        <v>230.17902813299233</v>
      </c>
      <c r="G565" s="16">
        <v>2346</v>
      </c>
      <c r="H565" s="16">
        <v>2427</v>
      </c>
      <c r="I565" s="17" t="s">
        <v>3346</v>
      </c>
      <c r="J565" s="18" t="s">
        <v>542</v>
      </c>
      <c r="K565" s="19" t="s">
        <v>680</v>
      </c>
      <c r="L565" s="19" t="s">
        <v>3329</v>
      </c>
      <c r="M565" s="19" t="s">
        <v>3347</v>
      </c>
      <c r="N565" s="20" t="s">
        <v>1598</v>
      </c>
      <c r="O565" s="20" t="s">
        <v>1812</v>
      </c>
      <c r="P565" s="21" t="s">
        <v>3348</v>
      </c>
      <c r="Q565" s="20" t="s">
        <v>3349</v>
      </c>
      <c r="R565" s="20" t="s">
        <v>3350</v>
      </c>
      <c r="S565" s="20"/>
      <c r="T565" s="20"/>
      <c r="U565" s="20"/>
      <c r="V565" s="20"/>
    </row>
    <row r="566" spans="2:22" ht="17">
      <c r="B566" s="11" t="s">
        <v>3351</v>
      </c>
      <c r="C566" s="23" t="s">
        <v>678</v>
      </c>
      <c r="D566" s="13" t="s">
        <v>1860</v>
      </c>
      <c r="E566" s="24">
        <v>610000</v>
      </c>
      <c r="F566" s="25">
        <f>Table2[[#This Row],[Price]]/Table2[[#This Row],[Tot Ht Area]]</f>
        <v>191.58291457286433</v>
      </c>
      <c r="G566" s="16">
        <v>3184</v>
      </c>
      <c r="H566" s="16">
        <v>3184</v>
      </c>
      <c r="I566" s="17" t="s">
        <v>3352</v>
      </c>
      <c r="J566" s="18" t="s">
        <v>3217</v>
      </c>
      <c r="K566" s="19" t="s">
        <v>1603</v>
      </c>
      <c r="L566" s="19" t="s">
        <v>3329</v>
      </c>
      <c r="M566" s="19" t="s">
        <v>3353</v>
      </c>
      <c r="N566" s="20" t="s">
        <v>1598</v>
      </c>
      <c r="O566" s="20" t="s">
        <v>27</v>
      </c>
      <c r="P566" s="21" t="s">
        <v>3354</v>
      </c>
      <c r="Q566" s="20"/>
      <c r="R566" s="20" t="s">
        <v>3355</v>
      </c>
      <c r="S566" s="20"/>
      <c r="T566" s="20"/>
      <c r="U566" s="20"/>
      <c r="V566" s="20"/>
    </row>
    <row r="567" spans="2:22" ht="17">
      <c r="B567" s="11" t="s">
        <v>3356</v>
      </c>
      <c r="C567" s="23" t="s">
        <v>678</v>
      </c>
      <c r="D567" s="13" t="s">
        <v>591</v>
      </c>
      <c r="E567" s="24">
        <v>522500</v>
      </c>
      <c r="F567" s="25">
        <f>Table2[[#This Row],[Price]]/Table2[[#This Row],[Tot Ht Area]]</f>
        <v>518.35317460317458</v>
      </c>
      <c r="G567" s="16">
        <v>1008</v>
      </c>
      <c r="H567" s="16">
        <v>2279</v>
      </c>
      <c r="I567" s="17" t="s">
        <v>3357</v>
      </c>
      <c r="J567" s="18" t="s">
        <v>1163</v>
      </c>
      <c r="K567" s="19" t="s">
        <v>801</v>
      </c>
      <c r="L567" s="19" t="s">
        <v>3341</v>
      </c>
      <c r="M567" s="19" t="s">
        <v>3358</v>
      </c>
      <c r="N567" s="20" t="s">
        <v>1598</v>
      </c>
      <c r="O567" s="20" t="s">
        <v>27</v>
      </c>
      <c r="P567" s="21" t="s">
        <v>3359</v>
      </c>
      <c r="Q567" s="20" t="s">
        <v>3360</v>
      </c>
      <c r="R567" s="20" t="s">
        <v>3361</v>
      </c>
      <c r="S567" s="20"/>
      <c r="T567" s="20"/>
      <c r="U567" s="20"/>
      <c r="V567" s="20"/>
    </row>
    <row r="568" spans="2:22" ht="51">
      <c r="B568" s="11" t="s">
        <v>3362</v>
      </c>
      <c r="C568" s="23" t="s">
        <v>678</v>
      </c>
      <c r="D568" s="13" t="s">
        <v>2642</v>
      </c>
      <c r="E568" s="24">
        <v>1115000</v>
      </c>
      <c r="F568" s="25">
        <f>Table2[[#This Row],[Price]]/Table2[[#This Row],[Tot Ht Area]]</f>
        <v>206.4814814814815</v>
      </c>
      <c r="G568" s="16">
        <v>5400</v>
      </c>
      <c r="H568" s="16">
        <v>5400</v>
      </c>
      <c r="I568" s="17" t="s">
        <v>3363</v>
      </c>
      <c r="J568" s="18" t="s">
        <v>760</v>
      </c>
      <c r="K568" s="19" t="s">
        <v>680</v>
      </c>
      <c r="L568" s="19" t="s">
        <v>3341</v>
      </c>
      <c r="M568" s="19" t="s">
        <v>3364</v>
      </c>
      <c r="N568" s="20" t="s">
        <v>1598</v>
      </c>
      <c r="O568" s="20" t="s">
        <v>27</v>
      </c>
      <c r="P568" s="21" t="s">
        <v>3365</v>
      </c>
      <c r="Q568" s="20"/>
      <c r="R568" s="20" t="s">
        <v>3366</v>
      </c>
      <c r="S568" s="20"/>
      <c r="T568" s="20"/>
      <c r="U568" s="20"/>
      <c r="V568" s="20"/>
    </row>
    <row r="569" spans="2:22" ht="34">
      <c r="B569" s="11" t="s">
        <v>3367</v>
      </c>
      <c r="C569" s="23" t="s">
        <v>678</v>
      </c>
      <c r="D569" s="13" t="s">
        <v>450</v>
      </c>
      <c r="E569" s="24">
        <v>1675000</v>
      </c>
      <c r="F569" s="25">
        <f>Table2[[#This Row],[Price]]/Table2[[#This Row],[Tot Ht Area]]</f>
        <v>332.8696343402226</v>
      </c>
      <c r="G569" s="16">
        <v>5032</v>
      </c>
      <c r="H569" s="16">
        <v>5158</v>
      </c>
      <c r="I569" s="17" t="s">
        <v>3368</v>
      </c>
      <c r="J569" s="18" t="s">
        <v>385</v>
      </c>
      <c r="K569" s="19" t="s">
        <v>680</v>
      </c>
      <c r="L569" s="19" t="s">
        <v>3369</v>
      </c>
      <c r="M569" s="19" t="s">
        <v>3370</v>
      </c>
      <c r="N569" s="20" t="s">
        <v>1598</v>
      </c>
      <c r="O569" s="20" t="s">
        <v>27</v>
      </c>
      <c r="P569" s="21" t="s">
        <v>3371</v>
      </c>
      <c r="Q569" s="20"/>
      <c r="R569" s="20" t="s">
        <v>3372</v>
      </c>
      <c r="S569" s="20"/>
      <c r="T569" s="20"/>
      <c r="U569" s="20"/>
      <c r="V569" s="20"/>
    </row>
    <row r="570" spans="2:22" ht="17">
      <c r="B570" s="11" t="s">
        <v>3373</v>
      </c>
      <c r="C570" s="23" t="s">
        <v>678</v>
      </c>
      <c r="D570" s="13" t="s">
        <v>207</v>
      </c>
      <c r="E570" s="24"/>
      <c r="F570" s="25">
        <f>Table2[[#This Row],[Price]]/Table2[[#This Row],[Tot Ht Area]]</f>
        <v>0</v>
      </c>
      <c r="G570" s="16">
        <v>4435</v>
      </c>
      <c r="H570" s="16">
        <v>4579</v>
      </c>
      <c r="I570" s="17" t="s">
        <v>3374</v>
      </c>
      <c r="J570" s="18" t="s">
        <v>201</v>
      </c>
      <c r="K570" s="19" t="s">
        <v>1603</v>
      </c>
      <c r="L570" s="19" t="s">
        <v>3369</v>
      </c>
      <c r="M570" s="19" t="s">
        <v>3375</v>
      </c>
      <c r="N570" s="20" t="s">
        <v>1598</v>
      </c>
      <c r="O570" s="20" t="s">
        <v>1812</v>
      </c>
      <c r="P570" s="21" t="s">
        <v>3376</v>
      </c>
      <c r="Q570" s="20" t="s">
        <v>3377</v>
      </c>
      <c r="R570" s="20" t="s">
        <v>3378</v>
      </c>
      <c r="S570" s="20"/>
      <c r="T570" s="20"/>
      <c r="U570" s="20"/>
      <c r="V570" s="20"/>
    </row>
    <row r="571" spans="2:22" ht="17">
      <c r="B571" s="11" t="s">
        <v>3379</v>
      </c>
      <c r="C571" s="23" t="s">
        <v>678</v>
      </c>
      <c r="D571" s="13" t="s">
        <v>64</v>
      </c>
      <c r="E571" s="24">
        <v>1000000</v>
      </c>
      <c r="F571" s="25">
        <f>Table2[[#This Row],[Price]]/Table2[[#This Row],[Tot Ht Area]]</f>
        <v>171.82130584192439</v>
      </c>
      <c r="G571" s="16">
        <v>5820</v>
      </c>
      <c r="H571" s="16">
        <v>6480</v>
      </c>
      <c r="I571" s="17" t="s">
        <v>3374</v>
      </c>
      <c r="J571" s="18" t="s">
        <v>716</v>
      </c>
      <c r="K571" s="19" t="s">
        <v>801</v>
      </c>
      <c r="L571" s="19" t="s">
        <v>3341</v>
      </c>
      <c r="M571" s="19" t="s">
        <v>3380</v>
      </c>
      <c r="N571" s="20" t="s">
        <v>1598</v>
      </c>
      <c r="O571" s="20" t="s">
        <v>1812</v>
      </c>
      <c r="P571" s="21" t="s">
        <v>3376</v>
      </c>
      <c r="Q571" s="20" t="s">
        <v>3381</v>
      </c>
      <c r="R571" s="20" t="s">
        <v>3382</v>
      </c>
      <c r="S571" s="20"/>
      <c r="T571" s="20"/>
      <c r="U571" s="20"/>
      <c r="V571" s="20"/>
    </row>
    <row r="572" spans="2:22" ht="17">
      <c r="B572" s="11" t="s">
        <v>3383</v>
      </c>
      <c r="C572" s="23" t="s">
        <v>678</v>
      </c>
      <c r="D572" s="13" t="s">
        <v>90</v>
      </c>
      <c r="E572" s="24"/>
      <c r="F572" s="25">
        <f>Table2[[#This Row],[Price]]/Table2[[#This Row],[Tot Ht Area]]</f>
        <v>0</v>
      </c>
      <c r="G572" s="16">
        <v>8627</v>
      </c>
      <c r="H572" s="16">
        <v>13585</v>
      </c>
      <c r="I572" s="17" t="s">
        <v>3384</v>
      </c>
      <c r="J572" s="18" t="s">
        <v>23</v>
      </c>
      <c r="K572" s="19" t="s">
        <v>680</v>
      </c>
      <c r="L572" s="19" t="s">
        <v>3341</v>
      </c>
      <c r="M572" s="19" t="s">
        <v>3385</v>
      </c>
      <c r="N572" s="20" t="s">
        <v>1598</v>
      </c>
      <c r="O572" s="20" t="s">
        <v>1812</v>
      </c>
      <c r="P572" s="21" t="s">
        <v>3386</v>
      </c>
      <c r="Q572" s="20" t="s">
        <v>3387</v>
      </c>
      <c r="R572" s="20" t="s">
        <v>3388</v>
      </c>
      <c r="S572" s="20"/>
      <c r="T572" s="20"/>
      <c r="U572" s="20"/>
      <c r="V572" s="20"/>
    </row>
    <row r="573" spans="2:22" ht="17">
      <c r="B573" s="11" t="s">
        <v>3389</v>
      </c>
      <c r="C573" s="23" t="s">
        <v>678</v>
      </c>
      <c r="D573" s="13" t="s">
        <v>428</v>
      </c>
      <c r="E573" s="24">
        <v>850000</v>
      </c>
      <c r="F573" s="25">
        <f>Table2[[#This Row],[Price]]/Table2[[#This Row],[Tot Ht Area]]</f>
        <v>222.74633123689728</v>
      </c>
      <c r="G573" s="16">
        <v>3816</v>
      </c>
      <c r="H573" s="16">
        <v>3920</v>
      </c>
      <c r="I573" s="17" t="s">
        <v>3390</v>
      </c>
      <c r="J573" s="18" t="s">
        <v>316</v>
      </c>
      <c r="K573" s="19" t="s">
        <v>801</v>
      </c>
      <c r="L573" s="19" t="s">
        <v>3341</v>
      </c>
      <c r="M573" s="19" t="s">
        <v>3391</v>
      </c>
      <c r="N573" s="20" t="s">
        <v>1598</v>
      </c>
      <c r="O573" s="20" t="s">
        <v>27</v>
      </c>
      <c r="P573" s="21" t="s">
        <v>3392</v>
      </c>
      <c r="Q573" s="20"/>
      <c r="R573" s="20" t="s">
        <v>3393</v>
      </c>
      <c r="S573" s="20"/>
      <c r="T573" s="20"/>
      <c r="U573" s="20"/>
      <c r="V573" s="20"/>
    </row>
    <row r="574" spans="2:22" ht="17">
      <c r="B574" s="11" t="s">
        <v>3394</v>
      </c>
      <c r="C574" s="23" t="s">
        <v>678</v>
      </c>
      <c r="D574" s="13" t="s">
        <v>995</v>
      </c>
      <c r="E574" s="24">
        <v>1100000</v>
      </c>
      <c r="F574" s="25">
        <f>Table2[[#This Row],[Price]]/Table2[[#This Row],[Tot Ht Area]]</f>
        <v>289.4736842105263</v>
      </c>
      <c r="G574" s="16">
        <v>3800</v>
      </c>
      <c r="H574" s="16">
        <v>3980</v>
      </c>
      <c r="I574" s="17" t="s">
        <v>3395</v>
      </c>
      <c r="J574" s="18" t="s">
        <v>415</v>
      </c>
      <c r="K574" s="19" t="s">
        <v>801</v>
      </c>
      <c r="L574" s="19" t="s">
        <v>3341</v>
      </c>
      <c r="M574" s="19" t="s">
        <v>3396</v>
      </c>
      <c r="N574" s="20" t="s">
        <v>1598</v>
      </c>
      <c r="O574" s="20" t="s">
        <v>27</v>
      </c>
      <c r="P574" s="21" t="s">
        <v>3397</v>
      </c>
      <c r="Q574" s="20"/>
      <c r="R574" s="20" t="s">
        <v>3398</v>
      </c>
      <c r="S574" s="20"/>
      <c r="T574" s="20"/>
      <c r="U574" s="20"/>
      <c r="V574" s="20"/>
    </row>
    <row r="575" spans="2:22" ht="17">
      <c r="B575" s="11" t="s">
        <v>3399</v>
      </c>
      <c r="C575" s="23" t="s">
        <v>678</v>
      </c>
      <c r="D575" s="13" t="s">
        <v>745</v>
      </c>
      <c r="E575" s="24"/>
      <c r="F575" s="25">
        <f>Table2[[#This Row],[Price]]/Table2[[#This Row],[Tot Ht Area]]</f>
        <v>0</v>
      </c>
      <c r="G575" s="16">
        <v>4914</v>
      </c>
      <c r="H575" s="16">
        <v>5408</v>
      </c>
      <c r="I575" s="17" t="s">
        <v>3400</v>
      </c>
      <c r="J575" s="18" t="s">
        <v>767</v>
      </c>
      <c r="K575" s="19" t="s">
        <v>801</v>
      </c>
      <c r="L575" s="19" t="s">
        <v>3341</v>
      </c>
      <c r="M575" s="19" t="s">
        <v>3401</v>
      </c>
      <c r="N575" s="20" t="s">
        <v>1598</v>
      </c>
      <c r="O575" s="20" t="s">
        <v>27</v>
      </c>
      <c r="P575" s="21" t="s">
        <v>3402</v>
      </c>
      <c r="Q575" s="20"/>
      <c r="R575" s="20" t="s">
        <v>3403</v>
      </c>
      <c r="S575" s="20"/>
      <c r="T575" s="20"/>
      <c r="U575" s="20"/>
      <c r="V575" s="20"/>
    </row>
    <row r="576" spans="2:22" ht="34">
      <c r="B576" s="11" t="s">
        <v>3404</v>
      </c>
      <c r="C576" s="23" t="s">
        <v>678</v>
      </c>
      <c r="D576" s="13" t="s">
        <v>185</v>
      </c>
      <c r="E576" s="24">
        <v>2724600</v>
      </c>
      <c r="F576" s="25">
        <f>Table2[[#This Row],[Price]]/Table2[[#This Row],[Tot Ht Area]]</f>
        <v>639.57746478873241</v>
      </c>
      <c r="G576" s="16">
        <v>4260</v>
      </c>
      <c r="H576" s="16">
        <v>4356</v>
      </c>
      <c r="I576" s="17" t="s">
        <v>3405</v>
      </c>
      <c r="J576" s="18" t="s">
        <v>2230</v>
      </c>
      <c r="K576" s="19" t="s">
        <v>680</v>
      </c>
      <c r="L576" s="19"/>
      <c r="M576" s="19" t="s">
        <v>3406</v>
      </c>
      <c r="N576" s="20" t="s">
        <v>1598</v>
      </c>
      <c r="O576" s="20" t="s">
        <v>27</v>
      </c>
      <c r="P576" s="21" t="s">
        <v>3407</v>
      </c>
      <c r="Q576" s="20"/>
      <c r="R576" s="20" t="s">
        <v>3408</v>
      </c>
      <c r="S576" s="20"/>
      <c r="T576" s="20"/>
      <c r="U576" s="20"/>
      <c r="V576" s="20"/>
    </row>
    <row r="577" spans="2:22" ht="17">
      <c r="B577" s="11" t="s">
        <v>3409</v>
      </c>
      <c r="C577" s="23" t="s">
        <v>678</v>
      </c>
      <c r="D577" s="13" t="s">
        <v>474</v>
      </c>
      <c r="E577" s="24">
        <v>7750000</v>
      </c>
      <c r="F577" s="25">
        <f>Table2[[#This Row],[Price]]/Table2[[#This Row],[Tot Ht Area]]</f>
        <v>328.43158028562954</v>
      </c>
      <c r="G577" s="16">
        <v>23597</v>
      </c>
      <c r="H577" s="16">
        <v>24647</v>
      </c>
      <c r="I577" s="17" t="s">
        <v>3410</v>
      </c>
      <c r="J577" s="18" t="s">
        <v>100</v>
      </c>
      <c r="K577" s="19" t="s">
        <v>1603</v>
      </c>
      <c r="L577" s="19" t="s">
        <v>855</v>
      </c>
      <c r="M577" s="19" t="s">
        <v>3411</v>
      </c>
      <c r="N577" s="20" t="s">
        <v>1598</v>
      </c>
      <c r="O577" s="20" t="s">
        <v>27</v>
      </c>
      <c r="P577" s="21" t="s">
        <v>3412</v>
      </c>
      <c r="Q577" s="20"/>
      <c r="R577" s="20" t="s">
        <v>3413</v>
      </c>
      <c r="S577" s="20"/>
      <c r="T577" s="20"/>
      <c r="U577" s="20"/>
      <c r="V577" s="20"/>
    </row>
    <row r="578" spans="2:22" ht="17">
      <c r="B578" s="11" t="s">
        <v>3414</v>
      </c>
      <c r="C578" s="23" t="s">
        <v>678</v>
      </c>
      <c r="D578" s="13" t="s">
        <v>896</v>
      </c>
      <c r="E578" s="24">
        <v>3685000</v>
      </c>
      <c r="F578" s="25">
        <f>Table2[[#This Row],[Price]]/Table2[[#This Row],[Tot Ht Area]]</f>
        <v>259.47049711308267</v>
      </c>
      <c r="G578" s="16">
        <v>14202</v>
      </c>
      <c r="H578" s="16">
        <v>15477</v>
      </c>
      <c r="I578" s="17" t="s">
        <v>3415</v>
      </c>
      <c r="J578" s="18" t="s">
        <v>688</v>
      </c>
      <c r="K578" s="19" t="s">
        <v>680</v>
      </c>
      <c r="L578" s="19" t="s">
        <v>855</v>
      </c>
      <c r="M578" s="19" t="s">
        <v>3416</v>
      </c>
      <c r="N578" s="20" t="s">
        <v>1598</v>
      </c>
      <c r="O578" s="20" t="s">
        <v>27</v>
      </c>
      <c r="P578" s="21" t="s">
        <v>3417</v>
      </c>
      <c r="Q578" s="20"/>
      <c r="R578" s="20" t="s">
        <v>3418</v>
      </c>
      <c r="S578" s="20"/>
      <c r="T578" s="20"/>
      <c r="U578" s="20"/>
      <c r="V578" s="20"/>
    </row>
    <row r="579" spans="2:22" ht="17">
      <c r="B579" s="11" t="s">
        <v>3419</v>
      </c>
      <c r="C579" s="23" t="s">
        <v>678</v>
      </c>
      <c r="D579" s="13" t="s">
        <v>64</v>
      </c>
      <c r="E579" s="24">
        <v>1675000</v>
      </c>
      <c r="F579" s="25">
        <f>Table2[[#This Row],[Price]]/Table2[[#This Row],[Tot Ht Area]]</f>
        <v>447.98074351430864</v>
      </c>
      <c r="G579" s="16">
        <v>3739</v>
      </c>
      <c r="H579" s="16">
        <v>3962</v>
      </c>
      <c r="I579" s="17" t="s">
        <v>1187</v>
      </c>
      <c r="J579" s="18" t="s">
        <v>415</v>
      </c>
      <c r="K579" s="19" t="s">
        <v>680</v>
      </c>
      <c r="L579" s="19" t="s">
        <v>3420</v>
      </c>
      <c r="M579" s="19" t="s">
        <v>3421</v>
      </c>
      <c r="N579" s="20" t="s">
        <v>1598</v>
      </c>
      <c r="O579" s="20" t="s">
        <v>27</v>
      </c>
      <c r="P579" s="21" t="s">
        <v>3422</v>
      </c>
      <c r="Q579" s="20"/>
      <c r="R579" s="20" t="s">
        <v>3423</v>
      </c>
      <c r="S579" s="20"/>
      <c r="T579" s="20"/>
      <c r="U579" s="20"/>
      <c r="V579" s="20"/>
    </row>
    <row r="580" spans="2:22" ht="17">
      <c r="B580" s="11" t="s">
        <v>3424</v>
      </c>
      <c r="C580" s="23" t="s">
        <v>678</v>
      </c>
      <c r="D580" s="13" t="s">
        <v>90</v>
      </c>
      <c r="E580" s="24">
        <v>1700000</v>
      </c>
      <c r="F580" s="25">
        <f>Table2[[#This Row],[Price]]/Table2[[#This Row],[Tot Ht Area]]</f>
        <v>162.44624940277114</v>
      </c>
      <c r="G580" s="16">
        <v>10465</v>
      </c>
      <c r="H580" s="16">
        <v>10645</v>
      </c>
      <c r="I580" s="17" t="s">
        <v>3425</v>
      </c>
      <c r="J580" s="18" t="s">
        <v>225</v>
      </c>
      <c r="K580" s="19" t="s">
        <v>801</v>
      </c>
      <c r="L580" s="19" t="s">
        <v>3426</v>
      </c>
      <c r="M580" s="19" t="s">
        <v>3427</v>
      </c>
      <c r="N580" s="20" t="s">
        <v>1598</v>
      </c>
      <c r="O580" s="20" t="s">
        <v>27</v>
      </c>
      <c r="P580" s="21" t="s">
        <v>3428</v>
      </c>
      <c r="Q580" s="20"/>
      <c r="R580" s="20" t="s">
        <v>3429</v>
      </c>
      <c r="S580" s="20"/>
      <c r="T580" s="20"/>
      <c r="U580" s="20"/>
      <c r="V580" s="20"/>
    </row>
    <row r="581" spans="2:22" ht="17">
      <c r="B581" s="11" t="s">
        <v>3430</v>
      </c>
      <c r="C581" s="23" t="s">
        <v>678</v>
      </c>
      <c r="D581" s="13" t="s">
        <v>1399</v>
      </c>
      <c r="E581" s="24">
        <v>100</v>
      </c>
      <c r="F581" s="25">
        <f>Table2[[#This Row],[Price]]/Table2[[#This Row],[Tot Ht Area]]</f>
        <v>4.1666666666666664E-2</v>
      </c>
      <c r="G581" s="16">
        <v>2400</v>
      </c>
      <c r="H581" s="16">
        <v>3240</v>
      </c>
      <c r="I581" s="17" t="s">
        <v>3431</v>
      </c>
      <c r="J581" s="18" t="s">
        <v>1231</v>
      </c>
      <c r="K581" s="19" t="s">
        <v>801</v>
      </c>
      <c r="L581" s="19" t="s">
        <v>2866</v>
      </c>
      <c r="M581" s="19" t="s">
        <v>3432</v>
      </c>
      <c r="N581" s="20" t="s">
        <v>1598</v>
      </c>
      <c r="O581" s="20" t="s">
        <v>27</v>
      </c>
      <c r="P581" s="21" t="s">
        <v>3433</v>
      </c>
      <c r="Q581" s="20"/>
      <c r="R581" s="20" t="s">
        <v>3434</v>
      </c>
      <c r="S581" s="20"/>
      <c r="T581" s="20" t="s">
        <v>6318</v>
      </c>
      <c r="U581" s="20"/>
      <c r="V581" s="20"/>
    </row>
    <row r="582" spans="2:22" ht="34">
      <c r="B582" s="11" t="s">
        <v>3435</v>
      </c>
      <c r="C582" s="23" t="s">
        <v>678</v>
      </c>
      <c r="D582" s="13" t="s">
        <v>779</v>
      </c>
      <c r="E582" s="24">
        <v>6900000</v>
      </c>
      <c r="F582" s="25">
        <f>Table2[[#This Row],[Price]]/Table2[[#This Row],[Tot Ht Area]]</f>
        <v>1159.4689968072594</v>
      </c>
      <c r="G582" s="16">
        <v>5951</v>
      </c>
      <c r="H582" s="16">
        <v>7321</v>
      </c>
      <c r="I582" s="17" t="s">
        <v>3436</v>
      </c>
      <c r="J582" s="18" t="s">
        <v>92</v>
      </c>
      <c r="K582" s="19" t="s">
        <v>680</v>
      </c>
      <c r="L582" s="19" t="s">
        <v>681</v>
      </c>
      <c r="M582" s="19" t="s">
        <v>3437</v>
      </c>
      <c r="N582" s="20" t="s">
        <v>1598</v>
      </c>
      <c r="O582" s="20" t="s">
        <v>27</v>
      </c>
      <c r="P582" s="21" t="s">
        <v>3438</v>
      </c>
      <c r="Q582" s="20"/>
      <c r="R582" s="20" t="s">
        <v>3439</v>
      </c>
      <c r="S582" s="20"/>
      <c r="T582" s="20"/>
      <c r="U582" s="20"/>
      <c r="V582" s="20"/>
    </row>
    <row r="583" spans="2:22" ht="17">
      <c r="B583" s="11" t="s">
        <v>3440</v>
      </c>
      <c r="C583" s="23" t="s">
        <v>678</v>
      </c>
      <c r="D583" s="13" t="s">
        <v>293</v>
      </c>
      <c r="E583" s="24">
        <v>975000</v>
      </c>
      <c r="F583" s="25">
        <f>Table2[[#This Row],[Price]]/Table2[[#This Row],[Tot Ht Area]]</f>
        <v>295.45454545454544</v>
      </c>
      <c r="G583" s="16">
        <v>3300</v>
      </c>
      <c r="H583" s="16">
        <v>3390</v>
      </c>
      <c r="I583" s="17" t="s">
        <v>3441</v>
      </c>
      <c r="J583" s="18" t="s">
        <v>2150</v>
      </c>
      <c r="K583" s="19" t="s">
        <v>801</v>
      </c>
      <c r="L583" s="19" t="s">
        <v>3442</v>
      </c>
      <c r="M583" s="19" t="s">
        <v>3443</v>
      </c>
      <c r="N583" s="20" t="s">
        <v>1598</v>
      </c>
      <c r="O583" s="20" t="s">
        <v>27</v>
      </c>
      <c r="P583" s="21" t="s">
        <v>3444</v>
      </c>
      <c r="Q583" s="20"/>
      <c r="R583" s="20" t="s">
        <v>3445</v>
      </c>
      <c r="S583" s="20"/>
      <c r="T583" s="20"/>
      <c r="U583" s="20"/>
      <c r="V583" s="20"/>
    </row>
    <row r="584" spans="2:22" ht="34">
      <c r="B584" s="29" t="s">
        <v>3446</v>
      </c>
      <c r="C584" s="12" t="s">
        <v>20</v>
      </c>
      <c r="D584" s="30" t="s">
        <v>1641</v>
      </c>
      <c r="E584" s="31">
        <v>825000</v>
      </c>
      <c r="F584" s="32" t="e">
        <f>Table2[[#This Row],[Price]]/Table2[[#This Row],[Tot Ht Area]]</f>
        <v>#DIV/0!</v>
      </c>
      <c r="G584" s="33"/>
      <c r="H584" s="33">
        <v>2345</v>
      </c>
      <c r="I584" s="34" t="s">
        <v>3447</v>
      </c>
      <c r="J584" s="35">
        <v>1982</v>
      </c>
      <c r="K584" s="30" t="s">
        <v>24</v>
      </c>
      <c r="L584" s="30"/>
      <c r="M584" s="30" t="s">
        <v>3448</v>
      </c>
      <c r="N584" s="20" t="s">
        <v>1598</v>
      </c>
      <c r="O584" s="20" t="s">
        <v>27</v>
      </c>
      <c r="P584" s="21" t="s">
        <v>3449</v>
      </c>
      <c r="Q584" s="20"/>
      <c r="R584" s="20" t="s">
        <v>3450</v>
      </c>
      <c r="S584" s="20"/>
      <c r="T584" s="20"/>
      <c r="U584" s="20"/>
      <c r="V584" s="20"/>
    </row>
    <row r="585" spans="2:22" ht="34">
      <c r="B585" s="29" t="s">
        <v>3451</v>
      </c>
      <c r="C585" s="12" t="s">
        <v>20</v>
      </c>
      <c r="D585" s="30" t="s">
        <v>658</v>
      </c>
      <c r="E585" s="31">
        <v>2298800</v>
      </c>
      <c r="F585" s="32">
        <f>Table2[[#This Row],[Price]]/Table2[[#This Row],[Tot Ht Area]]</f>
        <v>609.27643784786642</v>
      </c>
      <c r="G585" s="33">
        <v>3773</v>
      </c>
      <c r="H585" s="33">
        <v>3773</v>
      </c>
      <c r="I585" s="34" t="s">
        <v>3452</v>
      </c>
      <c r="J585" s="35">
        <v>1960</v>
      </c>
      <c r="K585" s="30" t="s">
        <v>1465</v>
      </c>
      <c r="L585" s="30"/>
      <c r="M585" s="30" t="s">
        <v>3453</v>
      </c>
      <c r="N585" s="20" t="s">
        <v>1598</v>
      </c>
      <c r="O585" s="20" t="s">
        <v>27</v>
      </c>
      <c r="P585" s="21" t="s">
        <v>3454</v>
      </c>
      <c r="Q585" s="20"/>
      <c r="R585" s="20" t="s">
        <v>3455</v>
      </c>
      <c r="S585" s="20"/>
      <c r="T585" s="20"/>
      <c r="U585" s="20"/>
      <c r="V585" s="20"/>
    </row>
    <row r="586" spans="2:22" ht="17">
      <c r="B586" s="29" t="s">
        <v>3456</v>
      </c>
      <c r="C586" s="12" t="s">
        <v>20</v>
      </c>
      <c r="D586" s="30" t="s">
        <v>686</v>
      </c>
      <c r="E586" s="31">
        <v>100</v>
      </c>
      <c r="F586" s="32" t="e">
        <f>Table2[[#This Row],[Price]]/Table2[[#This Row],[Tot Ht Area]]</f>
        <v>#DIV/0!</v>
      </c>
      <c r="G586" s="33"/>
      <c r="H586" s="33">
        <v>5284</v>
      </c>
      <c r="I586" s="34" t="s">
        <v>3457</v>
      </c>
      <c r="J586" s="35">
        <v>1946</v>
      </c>
      <c r="K586" s="30" t="s">
        <v>1320</v>
      </c>
      <c r="L586" s="30"/>
      <c r="M586" s="30" t="s">
        <v>3458</v>
      </c>
      <c r="N586" s="20" t="s">
        <v>1598</v>
      </c>
      <c r="O586" s="20" t="s">
        <v>27</v>
      </c>
      <c r="P586" s="21" t="s">
        <v>3459</v>
      </c>
      <c r="Q586" s="20"/>
      <c r="R586" s="20" t="s">
        <v>3460</v>
      </c>
      <c r="S586" s="20"/>
      <c r="T586" s="20" t="s">
        <v>6318</v>
      </c>
      <c r="U586" s="20"/>
      <c r="V586" s="20"/>
    </row>
    <row r="587" spans="2:22" ht="32">
      <c r="B587" s="29"/>
      <c r="C587" s="12" t="s">
        <v>20</v>
      </c>
      <c r="D587" s="30" t="s">
        <v>925</v>
      </c>
      <c r="E587" s="31">
        <v>1000000</v>
      </c>
      <c r="F587" s="32" t="e">
        <f>Table2[[#This Row],[Price]]/Table2[[#This Row],[Tot Ht Area]]</f>
        <v>#DIV/0!</v>
      </c>
      <c r="G587" s="33"/>
      <c r="H587" s="33">
        <v>4864</v>
      </c>
      <c r="I587" s="34" t="s">
        <v>3461</v>
      </c>
      <c r="J587" s="35">
        <v>1923</v>
      </c>
      <c r="K587" s="30" t="s">
        <v>172</v>
      </c>
      <c r="L587" s="30"/>
      <c r="M587" s="30" t="s">
        <v>3462</v>
      </c>
      <c r="N587" s="20" t="s">
        <v>1598</v>
      </c>
      <c r="O587" s="20" t="s">
        <v>27</v>
      </c>
      <c r="P587" s="21" t="s">
        <v>3463</v>
      </c>
      <c r="Q587" s="20"/>
      <c r="R587" s="20" t="s">
        <v>3464</v>
      </c>
      <c r="S587" s="20"/>
      <c r="T587" s="20"/>
      <c r="U587" s="20"/>
      <c r="V587" s="20"/>
    </row>
    <row r="588" spans="2:22" ht="32">
      <c r="B588" s="29"/>
      <c r="C588" s="12" t="s">
        <v>20</v>
      </c>
      <c r="D588" s="30" t="s">
        <v>925</v>
      </c>
      <c r="E588" s="31">
        <v>1000000</v>
      </c>
      <c r="F588" s="32" t="e">
        <f>Table2[[#This Row],[Price]]/Table2[[#This Row],[Tot Ht Area]]</f>
        <v>#DIV/0!</v>
      </c>
      <c r="G588" s="33"/>
      <c r="H588" s="33">
        <v>3985</v>
      </c>
      <c r="I588" s="34" t="s">
        <v>3461</v>
      </c>
      <c r="J588" s="35">
        <v>1923</v>
      </c>
      <c r="K588" s="30" t="s">
        <v>172</v>
      </c>
      <c r="L588" s="30"/>
      <c r="M588" s="30" t="s">
        <v>3465</v>
      </c>
      <c r="N588" s="20" t="s">
        <v>1598</v>
      </c>
      <c r="O588" s="20" t="s">
        <v>27</v>
      </c>
      <c r="P588" s="21" t="s">
        <v>3463</v>
      </c>
      <c r="Q588" s="20"/>
      <c r="R588" s="20" t="s">
        <v>3464</v>
      </c>
      <c r="S588" s="20"/>
      <c r="T588" s="20"/>
      <c r="U588" s="20"/>
      <c r="V588" s="20"/>
    </row>
    <row r="589" spans="2:22" ht="32">
      <c r="B589" s="29"/>
      <c r="C589" s="12" t="s">
        <v>20</v>
      </c>
      <c r="D589" s="30" t="s">
        <v>925</v>
      </c>
      <c r="E589" s="31">
        <v>1000000</v>
      </c>
      <c r="F589" s="32" t="e">
        <f>Table2[[#This Row],[Price]]/Table2[[#This Row],[Tot Ht Area]]</f>
        <v>#DIV/0!</v>
      </c>
      <c r="G589" s="33"/>
      <c r="H589" s="33">
        <v>4186</v>
      </c>
      <c r="I589" s="34" t="s">
        <v>3461</v>
      </c>
      <c r="J589" s="35">
        <v>1923</v>
      </c>
      <c r="K589" s="30" t="s">
        <v>172</v>
      </c>
      <c r="L589" s="30"/>
      <c r="M589" s="30" t="s">
        <v>3466</v>
      </c>
      <c r="N589" s="20" t="s">
        <v>1598</v>
      </c>
      <c r="O589" s="20" t="s">
        <v>27</v>
      </c>
      <c r="P589" s="21" t="s">
        <v>3463</v>
      </c>
      <c r="Q589" s="20"/>
      <c r="R589" s="20" t="s">
        <v>3464</v>
      </c>
      <c r="S589" s="20"/>
      <c r="T589" s="20"/>
      <c r="U589" s="20"/>
      <c r="V589" s="20"/>
    </row>
    <row r="590" spans="2:22" ht="32">
      <c r="B590" s="29" t="s">
        <v>3467</v>
      </c>
      <c r="C590" s="12" t="s">
        <v>20</v>
      </c>
      <c r="D590" s="30" t="s">
        <v>925</v>
      </c>
      <c r="E590" s="31">
        <v>1000000</v>
      </c>
      <c r="F590" s="32" t="e">
        <f>Table2[[#This Row],[Price]]/Table2[[#This Row],[Tot Ht Area]]</f>
        <v>#DIV/0!</v>
      </c>
      <c r="G590" s="33"/>
      <c r="H590" s="33">
        <v>4186</v>
      </c>
      <c r="I590" s="34" t="s">
        <v>3461</v>
      </c>
      <c r="J590" s="35">
        <v>1923</v>
      </c>
      <c r="K590" s="30" t="s">
        <v>172</v>
      </c>
      <c r="L590" s="30"/>
      <c r="M590" s="30" t="s">
        <v>3468</v>
      </c>
      <c r="N590" s="20" t="s">
        <v>1598</v>
      </c>
      <c r="O590" s="20" t="s">
        <v>27</v>
      </c>
      <c r="P590" s="21" t="s">
        <v>3469</v>
      </c>
      <c r="Q590" s="20"/>
      <c r="R590" s="20" t="s">
        <v>3470</v>
      </c>
      <c r="S590" s="20"/>
      <c r="T590" s="20"/>
      <c r="U590" s="20"/>
      <c r="V590" s="20"/>
    </row>
    <row r="591" spans="2:22" ht="32">
      <c r="B591" s="29"/>
      <c r="C591" s="12" t="s">
        <v>20</v>
      </c>
      <c r="D591" s="30" t="s">
        <v>925</v>
      </c>
      <c r="E591" s="31">
        <v>1000000</v>
      </c>
      <c r="F591" s="32" t="e">
        <f>Table2[[#This Row],[Price]]/Table2[[#This Row],[Tot Ht Area]]</f>
        <v>#DIV/0!</v>
      </c>
      <c r="G591" s="33"/>
      <c r="H591" s="33">
        <v>4186</v>
      </c>
      <c r="I591" s="34" t="s">
        <v>3461</v>
      </c>
      <c r="J591" s="35">
        <v>1923</v>
      </c>
      <c r="K591" s="30" t="s">
        <v>172</v>
      </c>
      <c r="L591" s="30"/>
      <c r="M591" s="30" t="s">
        <v>3471</v>
      </c>
      <c r="N591" s="20" t="s">
        <v>1598</v>
      </c>
      <c r="O591" s="20" t="s">
        <v>27</v>
      </c>
      <c r="P591" s="21" t="s">
        <v>3463</v>
      </c>
      <c r="Q591" s="20"/>
      <c r="R591" s="20" t="s">
        <v>3464</v>
      </c>
      <c r="S591" s="20"/>
      <c r="T591" s="20"/>
      <c r="U591" s="20"/>
      <c r="V591" s="20"/>
    </row>
    <row r="592" spans="2:22" ht="34">
      <c r="B592" s="29" t="s">
        <v>3472</v>
      </c>
      <c r="C592" s="12" t="s">
        <v>20</v>
      </c>
      <c r="D592" s="30" t="s">
        <v>1255</v>
      </c>
      <c r="E592" s="31">
        <v>655000</v>
      </c>
      <c r="F592" s="32">
        <f>Table2[[#This Row],[Price]]/Table2[[#This Row],[Tot Ht Area]]</f>
        <v>165.57128412537918</v>
      </c>
      <c r="G592" s="33">
        <v>3956</v>
      </c>
      <c r="H592" s="33">
        <v>3956</v>
      </c>
      <c r="I592" s="34" t="s">
        <v>3473</v>
      </c>
      <c r="J592" s="35">
        <v>1966</v>
      </c>
      <c r="K592" s="30" t="s">
        <v>24</v>
      </c>
      <c r="L592" s="30"/>
      <c r="M592" s="30" t="s">
        <v>3474</v>
      </c>
      <c r="N592" s="20" t="s">
        <v>1598</v>
      </c>
      <c r="O592" s="20" t="s">
        <v>27</v>
      </c>
      <c r="P592" s="21" t="s">
        <v>3475</v>
      </c>
      <c r="Q592" s="20"/>
      <c r="R592" s="20" t="s">
        <v>3476</v>
      </c>
      <c r="S592" s="20"/>
      <c r="T592" s="20"/>
      <c r="U592" s="20"/>
      <c r="V592" s="20"/>
    </row>
    <row r="593" spans="2:22" ht="17">
      <c r="B593" s="29" t="s">
        <v>3477</v>
      </c>
      <c r="C593" s="12" t="s">
        <v>20</v>
      </c>
      <c r="D593" s="30" t="s">
        <v>1441</v>
      </c>
      <c r="E593" s="31">
        <v>845000</v>
      </c>
      <c r="F593" s="32" t="e">
        <f>Table2[[#This Row],[Price]]/Table2[[#This Row],[Tot Ht Area]]</f>
        <v>#DIV/0!</v>
      </c>
      <c r="G593" s="33"/>
      <c r="H593" s="33">
        <v>6000</v>
      </c>
      <c r="I593" s="34" t="s">
        <v>3478</v>
      </c>
      <c r="J593" s="35">
        <v>1989</v>
      </c>
      <c r="K593" s="30" t="s">
        <v>1320</v>
      </c>
      <c r="L593" s="30"/>
      <c r="M593" s="30" t="s">
        <v>3479</v>
      </c>
      <c r="N593" s="20" t="s">
        <v>1598</v>
      </c>
      <c r="O593" s="20" t="s">
        <v>27</v>
      </c>
      <c r="P593" s="21" t="s">
        <v>3480</v>
      </c>
      <c r="Q593" s="20"/>
      <c r="R593" s="20" t="s">
        <v>3481</v>
      </c>
      <c r="S593" s="20"/>
      <c r="T593" s="20"/>
      <c r="U593" s="20"/>
      <c r="V593" s="20"/>
    </row>
    <row r="594" spans="2:22" ht="32">
      <c r="B594" s="29" t="s">
        <v>3482</v>
      </c>
      <c r="C594" s="12" t="s">
        <v>20</v>
      </c>
      <c r="D594" s="30" t="s">
        <v>450</v>
      </c>
      <c r="E594" s="31">
        <v>142500</v>
      </c>
      <c r="F594" s="32" t="e">
        <f>Table2[[#This Row],[Price]]/Table2[[#This Row],[Tot Ht Area]]</f>
        <v>#DIV/0!</v>
      </c>
      <c r="G594" s="33"/>
      <c r="H594" s="33">
        <v>2998</v>
      </c>
      <c r="I594" s="34" t="s">
        <v>3483</v>
      </c>
      <c r="J594" s="35">
        <v>1940</v>
      </c>
      <c r="K594" s="30" t="s">
        <v>3484</v>
      </c>
      <c r="L594" s="30"/>
      <c r="M594" s="30" t="s">
        <v>3485</v>
      </c>
      <c r="N594" s="20" t="s">
        <v>1598</v>
      </c>
      <c r="O594" s="20" t="s">
        <v>27</v>
      </c>
      <c r="P594" s="21" t="s">
        <v>3486</v>
      </c>
      <c r="Q594" s="20"/>
      <c r="R594" s="20" t="s">
        <v>3487</v>
      </c>
      <c r="S594" s="20"/>
      <c r="T594" s="20"/>
      <c r="U594" s="20"/>
      <c r="V594" s="20"/>
    </row>
    <row r="595" spans="2:22" ht="17">
      <c r="B595" s="29" t="s">
        <v>3488</v>
      </c>
      <c r="C595" s="12" t="s">
        <v>20</v>
      </c>
      <c r="D595" s="30" t="s">
        <v>722</v>
      </c>
      <c r="E595" s="31">
        <v>100</v>
      </c>
      <c r="F595" s="32" t="e">
        <f>Table2[[#This Row],[Price]]/Table2[[#This Row],[Tot Ht Area]]</f>
        <v>#DIV/0!</v>
      </c>
      <c r="G595" s="33"/>
      <c r="H595" s="33">
        <v>2462</v>
      </c>
      <c r="I595" s="34" t="s">
        <v>3489</v>
      </c>
      <c r="J595" s="35">
        <v>1950</v>
      </c>
      <c r="K595" s="30" t="s">
        <v>1320</v>
      </c>
      <c r="L595" s="30"/>
      <c r="M595" s="30" t="s">
        <v>3490</v>
      </c>
      <c r="N595" s="20" t="s">
        <v>1598</v>
      </c>
      <c r="O595" s="20" t="s">
        <v>27</v>
      </c>
      <c r="P595" s="21" t="s">
        <v>3197</v>
      </c>
      <c r="Q595" s="20" t="s">
        <v>3491</v>
      </c>
      <c r="R595" s="20" t="s">
        <v>3492</v>
      </c>
      <c r="S595" s="20"/>
      <c r="T595" s="20" t="s">
        <v>6318</v>
      </c>
      <c r="U595" s="20"/>
      <c r="V595" s="20"/>
    </row>
    <row r="596" spans="2:22" ht="17">
      <c r="B596" s="29" t="s">
        <v>3493</v>
      </c>
      <c r="C596" s="12" t="s">
        <v>20</v>
      </c>
      <c r="D596" s="30" t="s">
        <v>133</v>
      </c>
      <c r="E596" s="31">
        <v>820000</v>
      </c>
      <c r="F596" s="32" t="e">
        <f>Table2[[#This Row],[Price]]/Table2[[#This Row],[Tot Ht Area]]</f>
        <v>#DIV/0!</v>
      </c>
      <c r="G596" s="33"/>
      <c r="H596" s="33">
        <v>3861</v>
      </c>
      <c r="I596" s="34" t="s">
        <v>3494</v>
      </c>
      <c r="J596" s="35">
        <v>1937</v>
      </c>
      <c r="K596" s="30" t="s">
        <v>1320</v>
      </c>
      <c r="L596" s="30"/>
      <c r="M596" s="30" t="s">
        <v>3495</v>
      </c>
      <c r="N596" s="20" t="s">
        <v>1598</v>
      </c>
      <c r="O596" s="20" t="s">
        <v>27</v>
      </c>
      <c r="P596" s="21" t="s">
        <v>3496</v>
      </c>
      <c r="Q596" s="20"/>
      <c r="R596" s="20" t="s">
        <v>3497</v>
      </c>
      <c r="S596" s="20"/>
      <c r="T596" s="20"/>
      <c r="U596" s="20"/>
      <c r="V596" s="20"/>
    </row>
    <row r="597" spans="2:22" ht="34">
      <c r="B597" s="29" t="s">
        <v>3498</v>
      </c>
      <c r="C597" s="12" t="s">
        <v>20</v>
      </c>
      <c r="D597" s="30" t="s">
        <v>1441</v>
      </c>
      <c r="E597" s="31">
        <v>750000</v>
      </c>
      <c r="F597" s="32" t="e">
        <f>Table2[[#This Row],[Price]]/Table2[[#This Row],[Tot Ht Area]]</f>
        <v>#DIV/0!</v>
      </c>
      <c r="G597" s="33"/>
      <c r="H597" s="33">
        <v>5204</v>
      </c>
      <c r="I597" s="34" t="s">
        <v>3499</v>
      </c>
      <c r="J597" s="35">
        <v>1901</v>
      </c>
      <c r="K597" s="30" t="s">
        <v>1630</v>
      </c>
      <c r="L597" s="30"/>
      <c r="M597" s="30" t="s">
        <v>3500</v>
      </c>
      <c r="N597" s="20" t="s">
        <v>1598</v>
      </c>
      <c r="O597" s="20" t="s">
        <v>27</v>
      </c>
      <c r="P597" s="21" t="s">
        <v>3501</v>
      </c>
      <c r="Q597" s="20"/>
      <c r="R597" s="20" t="s">
        <v>3502</v>
      </c>
      <c r="S597" s="20"/>
      <c r="T597" s="20"/>
      <c r="U597" s="20"/>
      <c r="V597" s="20"/>
    </row>
    <row r="598" spans="2:22" ht="17">
      <c r="B598" s="29" t="s">
        <v>3503</v>
      </c>
      <c r="C598" s="12" t="s">
        <v>20</v>
      </c>
      <c r="D598" s="30" t="s">
        <v>450</v>
      </c>
      <c r="E598" s="31">
        <v>975000</v>
      </c>
      <c r="F598" s="32" t="e">
        <f>Table2[[#This Row],[Price]]/Table2[[#This Row],[Tot Ht Area]]</f>
        <v>#DIV/0!</v>
      </c>
      <c r="G598" s="33"/>
      <c r="H598" s="33">
        <v>13518</v>
      </c>
      <c r="I598" s="34" t="s">
        <v>3504</v>
      </c>
      <c r="J598" s="35">
        <v>1920</v>
      </c>
      <c r="K598" s="30" t="s">
        <v>1630</v>
      </c>
      <c r="L598" s="30"/>
      <c r="M598" s="30" t="s">
        <v>3505</v>
      </c>
      <c r="N598" s="20" t="s">
        <v>1598</v>
      </c>
      <c r="O598" s="20" t="s">
        <v>27</v>
      </c>
      <c r="P598" s="21" t="s">
        <v>3506</v>
      </c>
      <c r="Q598" s="20"/>
      <c r="R598" s="20" t="s">
        <v>3507</v>
      </c>
      <c r="S598" s="20"/>
      <c r="T598" s="20"/>
      <c r="U598" s="20"/>
      <c r="V598" s="20"/>
    </row>
    <row r="599" spans="2:22" ht="32">
      <c r="B599" s="29" t="s">
        <v>3508</v>
      </c>
      <c r="C599" s="12" t="s">
        <v>20</v>
      </c>
      <c r="D599" s="30" t="s">
        <v>792</v>
      </c>
      <c r="E599" s="31">
        <v>100</v>
      </c>
      <c r="F599" s="32">
        <f>Table2[[#This Row],[Price]]/Table2[[#This Row],[Tot Ht Area]]</f>
        <v>8.869966294128083E-3</v>
      </c>
      <c r="G599" s="33">
        <v>11274</v>
      </c>
      <c r="H599" s="33">
        <v>11274</v>
      </c>
      <c r="I599" s="34" t="s">
        <v>3509</v>
      </c>
      <c r="J599" s="35">
        <v>1922</v>
      </c>
      <c r="K599" s="30" t="s">
        <v>24</v>
      </c>
      <c r="L599" s="30"/>
      <c r="M599" s="30" t="s">
        <v>3510</v>
      </c>
      <c r="N599" s="20" t="s">
        <v>1598</v>
      </c>
      <c r="O599" s="20" t="s">
        <v>27</v>
      </c>
      <c r="P599" s="21" t="s">
        <v>3511</v>
      </c>
      <c r="Q599" s="20" t="s">
        <v>3512</v>
      </c>
      <c r="R599" s="20" t="s">
        <v>3513</v>
      </c>
      <c r="S599" s="20"/>
      <c r="T599" s="20" t="s">
        <v>6318</v>
      </c>
      <c r="U599" s="20"/>
      <c r="V599" s="20"/>
    </row>
    <row r="600" spans="2:22" ht="17">
      <c r="B600" s="29" t="s">
        <v>3514</v>
      </c>
      <c r="C600" s="12" t="s">
        <v>20</v>
      </c>
      <c r="D600" s="30" t="s">
        <v>554</v>
      </c>
      <c r="E600" s="31">
        <v>100</v>
      </c>
      <c r="F600" s="32">
        <f>Table2[[#This Row],[Price]]/Table2[[#This Row],[Tot Ht Area]]</f>
        <v>2.5497195308516064E-2</v>
      </c>
      <c r="G600" s="33">
        <v>3922</v>
      </c>
      <c r="H600" s="33">
        <v>3922</v>
      </c>
      <c r="I600" s="34" t="s">
        <v>3515</v>
      </c>
      <c r="J600" s="35">
        <v>2018</v>
      </c>
      <c r="K600" s="30" t="s">
        <v>24</v>
      </c>
      <c r="L600" s="30"/>
      <c r="M600" s="30" t="s">
        <v>3516</v>
      </c>
      <c r="N600" s="20" t="s">
        <v>1598</v>
      </c>
      <c r="O600" s="20" t="s">
        <v>27</v>
      </c>
      <c r="P600" s="21" t="s">
        <v>3517</v>
      </c>
      <c r="Q600" s="20"/>
      <c r="R600" s="20" t="s">
        <v>3518</v>
      </c>
      <c r="S600" s="20"/>
      <c r="T600" s="20" t="s">
        <v>6318</v>
      </c>
      <c r="U600" s="20"/>
      <c r="V600" s="20"/>
    </row>
    <row r="601" spans="2:22" ht="17">
      <c r="B601" s="29" t="s">
        <v>3519</v>
      </c>
      <c r="C601" s="12" t="s">
        <v>20</v>
      </c>
      <c r="D601" s="30" t="s">
        <v>1641</v>
      </c>
      <c r="E601" s="31">
        <v>345000</v>
      </c>
      <c r="F601" s="32" t="e">
        <f>Table2[[#This Row],[Price]]/Table2[[#This Row],[Tot Ht Area]]</f>
        <v>#DIV/0!</v>
      </c>
      <c r="G601" s="33"/>
      <c r="H601" s="33">
        <v>2365</v>
      </c>
      <c r="I601" s="34" t="s">
        <v>3520</v>
      </c>
      <c r="J601" s="35">
        <v>1940</v>
      </c>
      <c r="K601" s="30" t="s">
        <v>1630</v>
      </c>
      <c r="L601" s="30"/>
      <c r="M601" s="30" t="s">
        <v>3521</v>
      </c>
      <c r="N601" s="20" t="s">
        <v>1598</v>
      </c>
      <c r="O601" s="20" t="s">
        <v>1812</v>
      </c>
      <c r="P601" s="21" t="s">
        <v>3522</v>
      </c>
      <c r="Q601" s="20" t="s">
        <v>3523</v>
      </c>
      <c r="R601" s="20" t="s">
        <v>3524</v>
      </c>
      <c r="S601" s="20"/>
      <c r="T601" s="20"/>
      <c r="U601" s="20"/>
      <c r="V601" s="20"/>
    </row>
    <row r="602" spans="2:22" ht="17">
      <c r="B602" s="29" t="s">
        <v>3525</v>
      </c>
      <c r="C602" s="12" t="s">
        <v>20</v>
      </c>
      <c r="D602" s="30" t="s">
        <v>133</v>
      </c>
      <c r="E602" s="31">
        <v>825000</v>
      </c>
      <c r="F602" s="32" t="e">
        <f>Table2[[#This Row],[Price]]/Table2[[#This Row],[Tot Ht Area]]</f>
        <v>#DIV/0!</v>
      </c>
      <c r="G602" s="33"/>
      <c r="H602" s="33">
        <v>4930</v>
      </c>
      <c r="I602" s="34" t="s">
        <v>3526</v>
      </c>
      <c r="J602" s="35">
        <v>1974</v>
      </c>
      <c r="K602" s="30" t="s">
        <v>1630</v>
      </c>
      <c r="L602" s="30"/>
      <c r="M602" s="30" t="s">
        <v>3527</v>
      </c>
      <c r="N602" s="20" t="s">
        <v>1598</v>
      </c>
      <c r="O602" s="20" t="s">
        <v>27</v>
      </c>
      <c r="P602" s="21" t="s">
        <v>3528</v>
      </c>
      <c r="Q602" s="20"/>
      <c r="R602" s="20" t="s">
        <v>3529</v>
      </c>
      <c r="S602" s="20"/>
      <c r="T602" s="20"/>
      <c r="U602" s="20"/>
      <c r="V602" s="20"/>
    </row>
    <row r="603" spans="2:22" ht="48">
      <c r="B603" s="29" t="s">
        <v>3530</v>
      </c>
      <c r="C603" s="12" t="s">
        <v>20</v>
      </c>
      <c r="D603" s="30" t="s">
        <v>293</v>
      </c>
      <c r="E603" s="31">
        <v>425000</v>
      </c>
      <c r="F603" s="32" t="e">
        <f>Table2[[#This Row],[Price]]/Table2[[#This Row],[Tot Ht Area]]</f>
        <v>#DIV/0!</v>
      </c>
      <c r="G603" s="33"/>
      <c r="H603" s="33">
        <v>3720</v>
      </c>
      <c r="I603" s="34" t="s">
        <v>3531</v>
      </c>
      <c r="J603" s="35">
        <v>1946</v>
      </c>
      <c r="K603" s="30" t="s">
        <v>1320</v>
      </c>
      <c r="L603" s="30"/>
      <c r="M603" s="30" t="s">
        <v>3532</v>
      </c>
      <c r="N603" s="20" t="s">
        <v>1598</v>
      </c>
      <c r="O603" s="20" t="s">
        <v>1812</v>
      </c>
      <c r="P603" s="21" t="s">
        <v>3257</v>
      </c>
      <c r="Q603" s="20" t="s">
        <v>3533</v>
      </c>
      <c r="R603" s="20" t="s">
        <v>3534</v>
      </c>
      <c r="S603" s="20"/>
      <c r="T603" s="20"/>
      <c r="U603" s="20"/>
      <c r="V603" s="20"/>
    </row>
    <row r="604" spans="2:22" ht="34">
      <c r="B604" s="29" t="s">
        <v>3535</v>
      </c>
      <c r="C604" s="12" t="s">
        <v>20</v>
      </c>
      <c r="D604" s="30" t="s">
        <v>1641</v>
      </c>
      <c r="E604" s="31">
        <v>800000</v>
      </c>
      <c r="F604" s="32" t="e">
        <f>Table2[[#This Row],[Price]]/Table2[[#This Row],[Tot Ht Area]]</f>
        <v>#DIV/0!</v>
      </c>
      <c r="G604" s="33"/>
      <c r="H604" s="33">
        <v>5064</v>
      </c>
      <c r="I604" s="34" t="s">
        <v>3536</v>
      </c>
      <c r="J604" s="35">
        <v>1983</v>
      </c>
      <c r="K604" s="30" t="s">
        <v>3484</v>
      </c>
      <c r="L604" s="30"/>
      <c r="M604" s="30" t="s">
        <v>3537</v>
      </c>
      <c r="N604" s="20" t="s">
        <v>1598</v>
      </c>
      <c r="O604" s="20" t="s">
        <v>27</v>
      </c>
      <c r="P604" s="21" t="s">
        <v>3538</v>
      </c>
      <c r="Q604" s="20"/>
      <c r="R604" s="20" t="s">
        <v>3539</v>
      </c>
      <c r="S604" s="20"/>
      <c r="T604" s="20"/>
      <c r="U604" s="20"/>
      <c r="V604" s="20"/>
    </row>
    <row r="605" spans="2:22" ht="32">
      <c r="B605" s="29" t="s">
        <v>3540</v>
      </c>
      <c r="C605" s="12" t="s">
        <v>20</v>
      </c>
      <c r="D605" s="30" t="s">
        <v>133</v>
      </c>
      <c r="E605" s="31">
        <v>400000</v>
      </c>
      <c r="F605" s="32" t="e">
        <f>Table2[[#This Row],[Price]]/Table2[[#This Row],[Tot Ht Area]]</f>
        <v>#DIV/0!</v>
      </c>
      <c r="G605" s="33"/>
      <c r="H605" s="33">
        <v>2664</v>
      </c>
      <c r="I605" s="34" t="s">
        <v>3541</v>
      </c>
      <c r="J605" s="35">
        <v>2012</v>
      </c>
      <c r="K605" s="30" t="s">
        <v>24</v>
      </c>
      <c r="L605" s="30"/>
      <c r="M605" s="30" t="s">
        <v>3542</v>
      </c>
      <c r="N605" s="20" t="s">
        <v>1598</v>
      </c>
      <c r="O605" s="20" t="s">
        <v>27</v>
      </c>
      <c r="P605" s="21" t="s">
        <v>3543</v>
      </c>
      <c r="Q605" s="20"/>
      <c r="R605" s="20" t="s">
        <v>3544</v>
      </c>
      <c r="S605" s="20"/>
      <c r="T605" s="20"/>
      <c r="U605" s="20"/>
      <c r="V605" s="20"/>
    </row>
    <row r="606" spans="2:22" ht="17">
      <c r="B606" s="29" t="s">
        <v>3545</v>
      </c>
      <c r="C606" s="12" t="s">
        <v>20</v>
      </c>
      <c r="D606" s="30" t="s">
        <v>293</v>
      </c>
      <c r="E606" s="31">
        <v>710000</v>
      </c>
      <c r="F606" s="32" t="e">
        <f>Table2[[#This Row],[Price]]/Table2[[#This Row],[Tot Ht Area]]</f>
        <v>#DIV/0!</v>
      </c>
      <c r="G606" s="33"/>
      <c r="H606" s="33">
        <v>3244</v>
      </c>
      <c r="I606" s="34" t="s">
        <v>3546</v>
      </c>
      <c r="J606" s="35">
        <v>2009</v>
      </c>
      <c r="K606" s="30" t="s">
        <v>24</v>
      </c>
      <c r="L606" s="30"/>
      <c r="M606" s="30" t="s">
        <v>3547</v>
      </c>
      <c r="N606" s="20" t="s">
        <v>1598</v>
      </c>
      <c r="O606" s="20" t="s">
        <v>27</v>
      </c>
      <c r="P606" s="21" t="s">
        <v>3548</v>
      </c>
      <c r="Q606" s="20"/>
      <c r="R606" s="20" t="s">
        <v>3549</v>
      </c>
      <c r="S606" s="20"/>
      <c r="T606" s="20"/>
      <c r="U606" s="20"/>
      <c r="V606" s="20"/>
    </row>
    <row r="607" spans="2:22" ht="32">
      <c r="B607" s="29" t="s">
        <v>3550</v>
      </c>
      <c r="C607" s="12" t="s">
        <v>20</v>
      </c>
      <c r="D607" s="30" t="s">
        <v>579</v>
      </c>
      <c r="E607" s="31">
        <v>536000</v>
      </c>
      <c r="F607" s="32" t="e">
        <f>Table2[[#This Row],[Price]]/Table2[[#This Row],[Tot Ht Area]]</f>
        <v>#DIV/0!</v>
      </c>
      <c r="G607" s="33"/>
      <c r="H607" s="33">
        <v>3479</v>
      </c>
      <c r="I607" s="34" t="s">
        <v>3551</v>
      </c>
      <c r="J607" s="35">
        <v>2007</v>
      </c>
      <c r="K607" s="30" t="s">
        <v>24</v>
      </c>
      <c r="L607" s="30"/>
      <c r="M607" s="30" t="s">
        <v>3552</v>
      </c>
      <c r="N607" s="20" t="s">
        <v>1598</v>
      </c>
      <c r="O607" s="20" t="s">
        <v>27</v>
      </c>
      <c r="P607" s="21" t="s">
        <v>3553</v>
      </c>
      <c r="Q607" s="20"/>
      <c r="R607" s="20" t="s">
        <v>3554</v>
      </c>
      <c r="S607" s="20"/>
      <c r="T607" s="20"/>
      <c r="U607" s="20"/>
      <c r="V607" s="20"/>
    </row>
    <row r="608" spans="2:22" ht="17">
      <c r="B608" s="29" t="s">
        <v>3555</v>
      </c>
      <c r="C608" s="12" t="s">
        <v>20</v>
      </c>
      <c r="D608" s="30" t="s">
        <v>474</v>
      </c>
      <c r="E608" s="31">
        <v>58500</v>
      </c>
      <c r="F608" s="32" t="e">
        <f>Table2[[#This Row],[Price]]/Table2[[#This Row],[Tot Ht Area]]</f>
        <v>#DIV/0!</v>
      </c>
      <c r="G608" s="33"/>
      <c r="H608" s="33">
        <v>4362</v>
      </c>
      <c r="I608" s="34" t="s">
        <v>3556</v>
      </c>
      <c r="J608" s="35">
        <v>2024</v>
      </c>
      <c r="K608" s="30" t="s">
        <v>1320</v>
      </c>
      <c r="L608" s="30"/>
      <c r="M608" s="30" t="s">
        <v>3557</v>
      </c>
      <c r="N608" s="20" t="s">
        <v>1598</v>
      </c>
      <c r="O608" s="20" t="s">
        <v>27</v>
      </c>
      <c r="P608" s="21" t="s">
        <v>3558</v>
      </c>
      <c r="Q608" s="20"/>
      <c r="R608" s="20" t="s">
        <v>3559</v>
      </c>
      <c r="S608" s="20"/>
      <c r="T608" s="20"/>
      <c r="U608" s="20"/>
      <c r="V608" s="20"/>
    </row>
    <row r="609" spans="1:22" ht="32">
      <c r="B609" s="29" t="s">
        <v>3560</v>
      </c>
      <c r="C609" s="12" t="s">
        <v>20</v>
      </c>
      <c r="D609" s="30" t="s">
        <v>322</v>
      </c>
      <c r="E609" s="31">
        <v>350000</v>
      </c>
      <c r="F609" s="32" t="e">
        <f>Table2[[#This Row],[Price]]/Table2[[#This Row],[Tot Ht Area]]</f>
        <v>#DIV/0!</v>
      </c>
      <c r="G609" s="33"/>
      <c r="H609" s="33">
        <v>2250</v>
      </c>
      <c r="I609" s="34" t="s">
        <v>3561</v>
      </c>
      <c r="J609" s="35">
        <v>2007</v>
      </c>
      <c r="K609" s="30" t="s">
        <v>172</v>
      </c>
      <c r="L609" s="30"/>
      <c r="M609" s="30" t="s">
        <v>3562</v>
      </c>
      <c r="N609" s="20" t="s">
        <v>1598</v>
      </c>
      <c r="O609" s="20" t="s">
        <v>27</v>
      </c>
      <c r="P609" s="21" t="s">
        <v>3563</v>
      </c>
      <c r="Q609" s="20"/>
      <c r="R609" s="20" t="s">
        <v>3564</v>
      </c>
      <c r="S609" s="20"/>
      <c r="T609" s="20"/>
      <c r="U609" s="20"/>
      <c r="V609" s="20"/>
    </row>
    <row r="610" spans="1:22" ht="32">
      <c r="A610">
        <v>3</v>
      </c>
      <c r="B610" s="29" t="s">
        <v>3565</v>
      </c>
      <c r="C610" s="12" t="s">
        <v>20</v>
      </c>
      <c r="D610" s="30" t="s">
        <v>21</v>
      </c>
      <c r="E610" s="31">
        <v>3357000</v>
      </c>
      <c r="F610" s="32">
        <f>Table2[[#This Row],[Price]]/Table2[[#This Row],[Tot Ht Area]]</f>
        <v>564.01209677419354</v>
      </c>
      <c r="G610" s="33">
        <v>5952</v>
      </c>
      <c r="H610" s="33">
        <v>5952</v>
      </c>
      <c r="I610" s="34" t="s">
        <v>3566</v>
      </c>
      <c r="J610" s="35">
        <v>2021</v>
      </c>
      <c r="K610" s="30" t="s">
        <v>24</v>
      </c>
      <c r="L610" s="30"/>
      <c r="M610" s="30" t="s">
        <v>3567</v>
      </c>
      <c r="N610" s="20" t="s">
        <v>1598</v>
      </c>
      <c r="O610" s="20" t="s">
        <v>27</v>
      </c>
      <c r="P610" s="21" t="s">
        <v>2926</v>
      </c>
      <c r="Q610" s="20" t="s">
        <v>3568</v>
      </c>
      <c r="R610" s="20" t="s">
        <v>3569</v>
      </c>
      <c r="S610" s="20"/>
      <c r="T610" s="20"/>
      <c r="U610" s="20"/>
      <c r="V610" s="20"/>
    </row>
    <row r="611" spans="1:22" ht="17">
      <c r="B611" s="29" t="s">
        <v>3570</v>
      </c>
      <c r="C611" s="12" t="s">
        <v>20</v>
      </c>
      <c r="D611" s="30" t="s">
        <v>779</v>
      </c>
      <c r="E611" s="31">
        <v>100</v>
      </c>
      <c r="F611" s="32" t="e">
        <f>Table2[[#This Row],[Price]]/Table2[[#This Row],[Tot Ht Area]]</f>
        <v>#DIV/0!</v>
      </c>
      <c r="G611" s="33"/>
      <c r="H611" s="33">
        <v>14536</v>
      </c>
      <c r="I611" s="34" t="s">
        <v>3571</v>
      </c>
      <c r="J611" s="35">
        <v>2006</v>
      </c>
      <c r="K611" s="30" t="s">
        <v>1320</v>
      </c>
      <c r="L611" s="30"/>
      <c r="M611" s="30" t="s">
        <v>3572</v>
      </c>
      <c r="N611" s="20" t="s">
        <v>1598</v>
      </c>
      <c r="O611" s="20" t="s">
        <v>27</v>
      </c>
      <c r="P611" s="21" t="s">
        <v>3573</v>
      </c>
      <c r="Q611" s="20"/>
      <c r="R611" s="20" t="s">
        <v>3574</v>
      </c>
      <c r="S611" s="20"/>
      <c r="T611" s="20" t="s">
        <v>6318</v>
      </c>
      <c r="U611" s="20"/>
      <c r="V611" s="20"/>
    </row>
    <row r="612" spans="1:22" ht="34">
      <c r="B612" s="29" t="s">
        <v>3575</v>
      </c>
      <c r="C612" s="12" t="s">
        <v>20</v>
      </c>
      <c r="D612" s="30" t="s">
        <v>1641</v>
      </c>
      <c r="E612" s="31">
        <v>1250000</v>
      </c>
      <c r="F612" s="32" t="e">
        <f>Table2[[#This Row],[Price]]/Table2[[#This Row],[Tot Ht Area]]</f>
        <v>#DIV/0!</v>
      </c>
      <c r="G612" s="33"/>
      <c r="H612" s="33">
        <v>7980</v>
      </c>
      <c r="I612" s="34" t="s">
        <v>3576</v>
      </c>
      <c r="J612" s="35">
        <v>2004</v>
      </c>
      <c r="K612" s="30" t="s">
        <v>1320</v>
      </c>
      <c r="L612" s="30"/>
      <c r="M612" s="30" t="s">
        <v>3577</v>
      </c>
      <c r="N612" s="20" t="s">
        <v>1598</v>
      </c>
      <c r="O612" s="20" t="s">
        <v>27</v>
      </c>
      <c r="P612" s="21" t="s">
        <v>3578</v>
      </c>
      <c r="Q612" s="20"/>
      <c r="R612" s="20" t="s">
        <v>3579</v>
      </c>
      <c r="S612" s="20"/>
      <c r="T612" s="20"/>
      <c r="U612" s="20"/>
      <c r="V612" s="20"/>
    </row>
    <row r="613" spans="1:22" ht="17">
      <c r="B613" s="29" t="s">
        <v>3580</v>
      </c>
      <c r="C613" s="12" t="s">
        <v>20</v>
      </c>
      <c r="D613" s="30" t="s">
        <v>896</v>
      </c>
      <c r="E613" s="31">
        <v>100</v>
      </c>
      <c r="F613" s="32" t="e">
        <f>Table2[[#This Row],[Price]]/Table2[[#This Row],[Tot Ht Area]]</f>
        <v>#DIV/0!</v>
      </c>
      <c r="G613" s="33"/>
      <c r="H613" s="33">
        <v>25679</v>
      </c>
      <c r="I613" s="34" t="s">
        <v>3581</v>
      </c>
      <c r="J613" s="35">
        <v>2012</v>
      </c>
      <c r="K613" s="30" t="s">
        <v>1320</v>
      </c>
      <c r="L613" s="30"/>
      <c r="M613" s="30" t="s">
        <v>3582</v>
      </c>
      <c r="N613" s="20" t="s">
        <v>1598</v>
      </c>
      <c r="O613" s="20" t="s">
        <v>27</v>
      </c>
      <c r="P613" s="21" t="s">
        <v>3583</v>
      </c>
      <c r="Q613" s="20"/>
      <c r="R613" s="20" t="s">
        <v>3584</v>
      </c>
      <c r="S613" s="20"/>
      <c r="T613" s="20" t="s">
        <v>6318</v>
      </c>
      <c r="U613" s="20"/>
      <c r="V613" s="20"/>
    </row>
    <row r="614" spans="1:22" ht="48">
      <c r="B614" s="29" t="s">
        <v>3585</v>
      </c>
      <c r="C614" s="12" t="s">
        <v>20</v>
      </c>
      <c r="D614" s="30" t="s">
        <v>356</v>
      </c>
      <c r="E614" s="31">
        <v>100</v>
      </c>
      <c r="F614" s="32" t="e">
        <f>Table2[[#This Row],[Price]]/Table2[[#This Row],[Tot Ht Area]]</f>
        <v>#DIV/0!</v>
      </c>
      <c r="G614" s="33"/>
      <c r="H614" s="33">
        <v>2587</v>
      </c>
      <c r="I614" s="34" t="s">
        <v>3586</v>
      </c>
      <c r="J614" s="35">
        <v>2007</v>
      </c>
      <c r="K614" s="30" t="s">
        <v>172</v>
      </c>
      <c r="L614" s="30"/>
      <c r="M614" s="30" t="s">
        <v>3587</v>
      </c>
      <c r="N614" s="20" t="s">
        <v>1598</v>
      </c>
      <c r="O614" s="20" t="s">
        <v>27</v>
      </c>
      <c r="P614" s="21" t="s">
        <v>3588</v>
      </c>
      <c r="Q614" s="20" t="s">
        <v>3589</v>
      </c>
      <c r="R614" s="20" t="s">
        <v>3590</v>
      </c>
      <c r="S614" s="20"/>
      <c r="T614" s="20" t="s">
        <v>6318</v>
      </c>
      <c r="U614" s="20"/>
      <c r="V614" s="20"/>
    </row>
    <row r="615" spans="1:22" ht="48">
      <c r="B615" s="29" t="s">
        <v>3591</v>
      </c>
      <c r="C615" s="12" t="s">
        <v>20</v>
      </c>
      <c r="D615" s="30" t="s">
        <v>356</v>
      </c>
      <c r="E615" s="31">
        <v>100</v>
      </c>
      <c r="F615" s="32" t="e">
        <f>Table2[[#This Row],[Price]]/Table2[[#This Row],[Tot Ht Area]]</f>
        <v>#DIV/0!</v>
      </c>
      <c r="G615" s="33"/>
      <c r="H615" s="33">
        <v>2587</v>
      </c>
      <c r="I615" s="34" t="s">
        <v>3586</v>
      </c>
      <c r="J615" s="35">
        <v>2007</v>
      </c>
      <c r="K615" s="30" t="s">
        <v>172</v>
      </c>
      <c r="L615" s="30"/>
      <c r="M615" s="30" t="s">
        <v>3592</v>
      </c>
      <c r="N615" s="20" t="s">
        <v>1598</v>
      </c>
      <c r="O615" s="20" t="s">
        <v>27</v>
      </c>
      <c r="P615" s="21" t="s">
        <v>3588</v>
      </c>
      <c r="Q615" s="20" t="s">
        <v>3593</v>
      </c>
      <c r="R615" s="20" t="s">
        <v>3594</v>
      </c>
      <c r="S615" s="20"/>
      <c r="T615" s="20" t="s">
        <v>6318</v>
      </c>
      <c r="U615" s="20"/>
      <c r="V615" s="20"/>
    </row>
    <row r="616" spans="1:22" ht="34">
      <c r="B616" s="29" t="s">
        <v>3595</v>
      </c>
      <c r="C616" s="12" t="s">
        <v>20</v>
      </c>
      <c r="D616" s="30" t="s">
        <v>792</v>
      </c>
      <c r="E616" s="31">
        <v>100</v>
      </c>
      <c r="F616" s="32" t="e">
        <f>Table2[[#This Row],[Price]]/Table2[[#This Row],[Tot Ht Area]]</f>
        <v>#DIV/0!</v>
      </c>
      <c r="G616" s="33"/>
      <c r="H616" s="33">
        <v>2396</v>
      </c>
      <c r="I616" s="34" t="s">
        <v>3596</v>
      </c>
      <c r="J616" s="35">
        <v>2007</v>
      </c>
      <c r="K616" s="30" t="s">
        <v>172</v>
      </c>
      <c r="L616" s="30"/>
      <c r="M616" s="30" t="s">
        <v>3597</v>
      </c>
      <c r="N616" s="20" t="s">
        <v>1598</v>
      </c>
      <c r="O616" s="20" t="s">
        <v>27</v>
      </c>
      <c r="P616" s="21" t="s">
        <v>3598</v>
      </c>
      <c r="Q616" s="20"/>
      <c r="R616" s="20" t="s">
        <v>3599</v>
      </c>
      <c r="S616" s="20"/>
      <c r="T616" s="20" t="s">
        <v>6318</v>
      </c>
      <c r="U616" s="20"/>
      <c r="V616" s="20"/>
    </row>
    <row r="617" spans="1:22" ht="17">
      <c r="B617" s="29" t="s">
        <v>3600</v>
      </c>
      <c r="C617" s="12" t="s">
        <v>20</v>
      </c>
      <c r="D617" s="30" t="s">
        <v>896</v>
      </c>
      <c r="E617" s="31">
        <v>100</v>
      </c>
      <c r="F617" s="32" t="e">
        <f>Table2[[#This Row],[Price]]/Table2[[#This Row],[Tot Ht Area]]</f>
        <v>#DIV/0!</v>
      </c>
      <c r="G617" s="33"/>
      <c r="H617" s="33">
        <v>2166</v>
      </c>
      <c r="I617" s="34" t="s">
        <v>3601</v>
      </c>
      <c r="J617" s="35">
        <v>2007</v>
      </c>
      <c r="K617" s="30" t="s">
        <v>172</v>
      </c>
      <c r="L617" s="30"/>
      <c r="M617" s="30" t="s">
        <v>3602</v>
      </c>
      <c r="N617" s="20" t="s">
        <v>1598</v>
      </c>
      <c r="O617" s="20" t="s">
        <v>1812</v>
      </c>
      <c r="P617" s="21" t="s">
        <v>3603</v>
      </c>
      <c r="Q617" s="20" t="s">
        <v>3604</v>
      </c>
      <c r="R617" s="20" t="s">
        <v>3605</v>
      </c>
      <c r="S617" s="20"/>
      <c r="T617" s="20" t="s">
        <v>6318</v>
      </c>
      <c r="U617" s="20"/>
      <c r="V617" s="20"/>
    </row>
    <row r="618" spans="1:22" ht="32">
      <c r="B618" s="29" t="s">
        <v>3606</v>
      </c>
      <c r="C618" s="12" t="s">
        <v>20</v>
      </c>
      <c r="D618" s="30" t="s">
        <v>293</v>
      </c>
      <c r="E618" s="31">
        <v>410000</v>
      </c>
      <c r="F618" s="32" t="e">
        <f>Table2[[#This Row],[Price]]/Table2[[#This Row],[Tot Ht Area]]</f>
        <v>#DIV/0!</v>
      </c>
      <c r="G618" s="33"/>
      <c r="H618" s="33">
        <v>2150</v>
      </c>
      <c r="I618" s="34" t="s">
        <v>3607</v>
      </c>
      <c r="J618" s="35">
        <v>2007</v>
      </c>
      <c r="K618" s="30" t="s">
        <v>172</v>
      </c>
      <c r="L618" s="30"/>
      <c r="M618" s="30" t="s">
        <v>3608</v>
      </c>
      <c r="N618" s="20" t="s">
        <v>1598</v>
      </c>
      <c r="O618" s="20" t="s">
        <v>1812</v>
      </c>
      <c r="P618" s="21" t="s">
        <v>3609</v>
      </c>
      <c r="Q618" s="20" t="s">
        <v>3610</v>
      </c>
      <c r="R618" s="20" t="s">
        <v>3611</v>
      </c>
      <c r="S618" s="20"/>
      <c r="T618" s="20"/>
      <c r="U618" s="20"/>
      <c r="V618" s="20"/>
    </row>
    <row r="619" spans="1:22" ht="32">
      <c r="B619" s="29" t="s">
        <v>3612</v>
      </c>
      <c r="C619" s="12" t="s">
        <v>20</v>
      </c>
      <c r="D619" s="30" t="s">
        <v>450</v>
      </c>
      <c r="E619" s="31">
        <v>1340000</v>
      </c>
      <c r="F619" s="32" t="e">
        <f>Table2[[#This Row],[Price]]/Table2[[#This Row],[Tot Ht Area]]</f>
        <v>#DIV/0!</v>
      </c>
      <c r="G619" s="33"/>
      <c r="H619" s="33">
        <v>2150</v>
      </c>
      <c r="I619" s="34" t="s">
        <v>902</v>
      </c>
      <c r="J619" s="35">
        <v>2007</v>
      </c>
      <c r="K619" s="30" t="s">
        <v>172</v>
      </c>
      <c r="L619" s="30"/>
      <c r="M619" s="30" t="s">
        <v>3613</v>
      </c>
      <c r="N619" s="20" t="s">
        <v>1598</v>
      </c>
      <c r="O619" s="20" t="s">
        <v>27</v>
      </c>
      <c r="P619" s="21" t="s">
        <v>3614</v>
      </c>
      <c r="Q619" s="20"/>
      <c r="R619" s="20" t="s">
        <v>3615</v>
      </c>
      <c r="S619" s="20"/>
      <c r="T619" s="20"/>
      <c r="U619" s="20"/>
      <c r="V619" s="20"/>
    </row>
    <row r="620" spans="1:22" ht="34">
      <c r="B620" s="29" t="s">
        <v>3616</v>
      </c>
      <c r="C620" s="12" t="s">
        <v>20</v>
      </c>
      <c r="D620" s="30" t="s">
        <v>995</v>
      </c>
      <c r="E620" s="31">
        <v>1526100</v>
      </c>
      <c r="F620" s="32" t="e">
        <f>Table2[[#This Row],[Price]]/Table2[[#This Row],[Tot Ht Area]]</f>
        <v>#DIV/0!</v>
      </c>
      <c r="G620" s="33"/>
      <c r="H620" s="33">
        <v>9750</v>
      </c>
      <c r="I620" s="34" t="s">
        <v>3617</v>
      </c>
      <c r="J620" s="35">
        <v>1995</v>
      </c>
      <c r="K620" s="30" t="s">
        <v>1716</v>
      </c>
      <c r="L620" s="30"/>
      <c r="M620" s="30" t="s">
        <v>3618</v>
      </c>
      <c r="N620" s="20" t="s">
        <v>1598</v>
      </c>
      <c r="O620" s="20" t="s">
        <v>27</v>
      </c>
      <c r="P620" s="21" t="s">
        <v>3619</v>
      </c>
      <c r="Q620" s="20"/>
      <c r="R620" s="20" t="s">
        <v>3620</v>
      </c>
      <c r="S620" s="20"/>
      <c r="T620" s="20"/>
      <c r="U620" s="20"/>
      <c r="V620" s="20"/>
    </row>
    <row r="621" spans="1:22" ht="34">
      <c r="B621" s="29" t="s">
        <v>3621</v>
      </c>
      <c r="C621" s="12" t="s">
        <v>20</v>
      </c>
      <c r="D621" s="30" t="s">
        <v>995</v>
      </c>
      <c r="E621" s="31">
        <v>3240600</v>
      </c>
      <c r="F621" s="32" t="e">
        <f>Table2[[#This Row],[Price]]/Table2[[#This Row],[Tot Ht Area]]</f>
        <v>#DIV/0!</v>
      </c>
      <c r="G621" s="33"/>
      <c r="H621" s="33">
        <v>22308</v>
      </c>
      <c r="I621" s="34" t="s">
        <v>3617</v>
      </c>
      <c r="J621" s="35">
        <v>1997</v>
      </c>
      <c r="K621" s="30" t="s">
        <v>1716</v>
      </c>
      <c r="L621" s="30"/>
      <c r="M621" s="30" t="s">
        <v>3622</v>
      </c>
      <c r="N621" s="20" t="s">
        <v>1598</v>
      </c>
      <c r="O621" s="20" t="s">
        <v>27</v>
      </c>
      <c r="P621" s="21" t="s">
        <v>3623</v>
      </c>
      <c r="Q621" s="20"/>
      <c r="R621" s="20" t="s">
        <v>3624</v>
      </c>
      <c r="S621" s="20"/>
      <c r="T621" s="20"/>
      <c r="U621" s="20"/>
      <c r="V621" s="20"/>
    </row>
    <row r="622" spans="1:22" ht="32">
      <c r="B622" s="29" t="s">
        <v>3625</v>
      </c>
      <c r="C622" s="12" t="s">
        <v>20</v>
      </c>
      <c r="D622" s="30" t="s">
        <v>207</v>
      </c>
      <c r="E622" s="31">
        <v>900000</v>
      </c>
      <c r="F622" s="32" t="e">
        <f>Table2[[#This Row],[Price]]/Table2[[#This Row],[Tot Ht Area]]</f>
        <v>#DIV/0!</v>
      </c>
      <c r="G622" s="33"/>
      <c r="H622" s="33">
        <v>11505</v>
      </c>
      <c r="I622" s="34" t="s">
        <v>3626</v>
      </c>
      <c r="J622" s="35">
        <v>1994</v>
      </c>
      <c r="K622" s="30" t="s">
        <v>1320</v>
      </c>
      <c r="L622" s="30"/>
      <c r="M622" s="30" t="s">
        <v>3627</v>
      </c>
      <c r="N622" s="20" t="s">
        <v>1598</v>
      </c>
      <c r="O622" s="20" t="s">
        <v>27</v>
      </c>
      <c r="P622" s="21" t="s">
        <v>3628</v>
      </c>
      <c r="Q622" s="20" t="s">
        <v>3629</v>
      </c>
      <c r="R622" s="20" t="s">
        <v>3630</v>
      </c>
      <c r="S622" s="20"/>
      <c r="T622" s="20"/>
      <c r="U622" s="20"/>
      <c r="V622" s="20"/>
    </row>
    <row r="623" spans="1:22" ht="32">
      <c r="B623" s="29" t="s">
        <v>3631</v>
      </c>
      <c r="C623" s="12" t="s">
        <v>20</v>
      </c>
      <c r="D623" s="30" t="s">
        <v>223</v>
      </c>
      <c r="E623" s="31">
        <v>285000</v>
      </c>
      <c r="F623" s="32">
        <f>Table2[[#This Row],[Price]]/Table2[[#This Row],[Tot Ht Area]]</f>
        <v>60.70287539936102</v>
      </c>
      <c r="G623" s="33">
        <v>4695</v>
      </c>
      <c r="H623" s="33">
        <v>4695</v>
      </c>
      <c r="I623" s="34" t="s">
        <v>3632</v>
      </c>
      <c r="J623" s="35">
        <v>1950</v>
      </c>
      <c r="K623" s="30" t="s">
        <v>1320</v>
      </c>
      <c r="L623" s="30"/>
      <c r="M623" s="30" t="s">
        <v>3633</v>
      </c>
      <c r="N623" s="20" t="s">
        <v>1598</v>
      </c>
      <c r="O623" s="20" t="s">
        <v>27</v>
      </c>
      <c r="P623" s="21" t="s">
        <v>3634</v>
      </c>
      <c r="Q623" s="20" t="s">
        <v>3635</v>
      </c>
      <c r="R623" s="20" t="s">
        <v>3636</v>
      </c>
      <c r="S623" s="20"/>
      <c r="T623" s="20"/>
      <c r="U623" s="20"/>
      <c r="V623" s="20"/>
    </row>
    <row r="624" spans="1:22" ht="17">
      <c r="B624" s="29" t="s">
        <v>3637</v>
      </c>
      <c r="C624" s="12" t="s">
        <v>20</v>
      </c>
      <c r="D624" s="30" t="s">
        <v>709</v>
      </c>
      <c r="E624" s="31">
        <v>470000</v>
      </c>
      <c r="F624" s="32" t="e">
        <f>Table2[[#This Row],[Price]]/Table2[[#This Row],[Tot Ht Area]]</f>
        <v>#DIV/0!</v>
      </c>
      <c r="G624" s="33"/>
      <c r="H624" s="33">
        <v>2097</v>
      </c>
      <c r="I624" s="34" t="s">
        <v>3638</v>
      </c>
      <c r="J624" s="35">
        <v>1993</v>
      </c>
      <c r="K624" s="30" t="s">
        <v>24</v>
      </c>
      <c r="L624" s="30"/>
      <c r="M624" s="30" t="s">
        <v>3639</v>
      </c>
      <c r="N624" s="20" t="s">
        <v>1598</v>
      </c>
      <c r="O624" s="20" t="s">
        <v>27</v>
      </c>
      <c r="P624" s="21" t="s">
        <v>3640</v>
      </c>
      <c r="Q624" s="20"/>
      <c r="R624" s="20" t="s">
        <v>3641</v>
      </c>
      <c r="S624" s="20"/>
      <c r="T624" s="20"/>
      <c r="U624" s="20"/>
      <c r="V624" s="20"/>
    </row>
    <row r="625" spans="1:22" ht="32">
      <c r="B625" s="29" t="s">
        <v>3642</v>
      </c>
      <c r="C625" s="12" t="s">
        <v>20</v>
      </c>
      <c r="D625" s="30" t="s">
        <v>372</v>
      </c>
      <c r="E625" s="31">
        <v>415000</v>
      </c>
      <c r="F625" s="32">
        <f>Table2[[#This Row],[Price]]/Table2[[#This Row],[Tot Ht Area]]</f>
        <v>139.44892473118279</v>
      </c>
      <c r="G625" s="33">
        <v>2976</v>
      </c>
      <c r="H625" s="33">
        <v>2976</v>
      </c>
      <c r="I625" s="34" t="s">
        <v>3643</v>
      </c>
      <c r="J625" s="35">
        <v>1960</v>
      </c>
      <c r="K625" s="30" t="s">
        <v>24</v>
      </c>
      <c r="L625" s="30"/>
      <c r="M625" s="30" t="s">
        <v>3644</v>
      </c>
      <c r="N625" s="20" t="s">
        <v>1598</v>
      </c>
      <c r="O625" s="20" t="s">
        <v>27</v>
      </c>
      <c r="P625" s="21" t="s">
        <v>3645</v>
      </c>
      <c r="Q625" s="20" t="s">
        <v>3646</v>
      </c>
      <c r="R625" s="20" t="s">
        <v>3647</v>
      </c>
      <c r="S625" s="20"/>
      <c r="T625" s="20"/>
      <c r="U625" s="20"/>
      <c r="V625" s="20"/>
    </row>
    <row r="626" spans="1:22" ht="34">
      <c r="B626" s="29" t="s">
        <v>3648</v>
      </c>
      <c r="C626" s="12" t="s">
        <v>20</v>
      </c>
      <c r="D626" s="30" t="s">
        <v>372</v>
      </c>
      <c r="E626" s="31">
        <v>100</v>
      </c>
      <c r="F626" s="32">
        <f>Table2[[#This Row],[Price]]/Table2[[#This Row],[Tot Ht Area]]</f>
        <v>5.5358724534986716E-3</v>
      </c>
      <c r="G626" s="33">
        <v>18064</v>
      </c>
      <c r="H626" s="33">
        <v>22064</v>
      </c>
      <c r="I626" s="34" t="s">
        <v>3649</v>
      </c>
      <c r="J626" s="35">
        <v>1971</v>
      </c>
      <c r="K626" s="30" t="s">
        <v>1630</v>
      </c>
      <c r="L626" s="30"/>
      <c r="M626" s="30" t="s">
        <v>3650</v>
      </c>
      <c r="N626" s="20" t="s">
        <v>1598</v>
      </c>
      <c r="O626" s="20" t="s">
        <v>27</v>
      </c>
      <c r="P626" s="21" t="s">
        <v>3651</v>
      </c>
      <c r="Q626" s="20"/>
      <c r="R626" s="20" t="s">
        <v>3652</v>
      </c>
      <c r="S626" s="20"/>
      <c r="T626" s="20" t="s">
        <v>6318</v>
      </c>
      <c r="U626" s="20"/>
      <c r="V626" s="20"/>
    </row>
    <row r="627" spans="1:22" ht="17">
      <c r="B627" s="29" t="s">
        <v>3653</v>
      </c>
      <c r="C627" s="12" t="s">
        <v>20</v>
      </c>
      <c r="D627" s="30" t="s">
        <v>285</v>
      </c>
      <c r="E627" s="31">
        <v>100</v>
      </c>
      <c r="F627" s="32" t="e">
        <f>Table2[[#This Row],[Price]]/Table2[[#This Row],[Tot Ht Area]]</f>
        <v>#DIV/0!</v>
      </c>
      <c r="G627" s="33"/>
      <c r="H627" s="33">
        <v>5537</v>
      </c>
      <c r="I627" s="34" t="s">
        <v>3654</v>
      </c>
      <c r="J627" s="35">
        <v>1964</v>
      </c>
      <c r="K627" s="30" t="s">
        <v>1320</v>
      </c>
      <c r="L627" s="30"/>
      <c r="M627" s="30" t="s">
        <v>3655</v>
      </c>
      <c r="N627" s="20" t="s">
        <v>1598</v>
      </c>
      <c r="O627" s="20" t="s">
        <v>27</v>
      </c>
      <c r="P627" s="21" t="s">
        <v>3656</v>
      </c>
      <c r="Q627" s="20"/>
      <c r="R627" s="20" t="s">
        <v>3657</v>
      </c>
      <c r="S627" s="20"/>
      <c r="T627" s="20" t="s">
        <v>6318</v>
      </c>
      <c r="U627" s="20"/>
      <c r="V627" s="20"/>
    </row>
    <row r="628" spans="1:22" ht="32">
      <c r="B628" s="29" t="s">
        <v>3658</v>
      </c>
      <c r="C628" s="12" t="s">
        <v>20</v>
      </c>
      <c r="D628" s="30" t="s">
        <v>1418</v>
      </c>
      <c r="E628" s="31">
        <v>100</v>
      </c>
      <c r="F628" s="32" t="e">
        <f>Table2[[#This Row],[Price]]/Table2[[#This Row],[Tot Ht Area]]</f>
        <v>#DIV/0!</v>
      </c>
      <c r="G628" s="33"/>
      <c r="H628" s="33">
        <v>2037</v>
      </c>
      <c r="I628" s="34" t="s">
        <v>3659</v>
      </c>
      <c r="J628" s="35">
        <v>1952</v>
      </c>
      <c r="K628" s="30" t="s">
        <v>1320</v>
      </c>
      <c r="L628" s="30"/>
      <c r="M628" s="30" t="s">
        <v>3660</v>
      </c>
      <c r="N628" s="20" t="s">
        <v>1598</v>
      </c>
      <c r="O628" s="20" t="s">
        <v>27</v>
      </c>
      <c r="P628" s="21" t="s">
        <v>3661</v>
      </c>
      <c r="Q628" s="20" t="s">
        <v>3662</v>
      </c>
      <c r="R628" s="20" t="s">
        <v>3663</v>
      </c>
      <c r="S628" s="20"/>
      <c r="T628" s="20" t="s">
        <v>6318</v>
      </c>
      <c r="U628" s="20"/>
      <c r="V628" s="20"/>
    </row>
    <row r="629" spans="1:22" ht="32">
      <c r="B629" s="29" t="s">
        <v>3664</v>
      </c>
      <c r="C629" s="12" t="s">
        <v>20</v>
      </c>
      <c r="D629" s="30" t="s">
        <v>428</v>
      </c>
      <c r="E629" s="31">
        <v>18360000</v>
      </c>
      <c r="F629" s="32" t="e">
        <f>Table2[[#This Row],[Price]]/Table2[[#This Row],[Tot Ht Area]]</f>
        <v>#DIV/0!</v>
      </c>
      <c r="G629" s="33"/>
      <c r="H629" s="33">
        <v>90484</v>
      </c>
      <c r="I629" s="34" t="s">
        <v>3665</v>
      </c>
      <c r="J629" s="35">
        <v>1989</v>
      </c>
      <c r="K629" s="30" t="s">
        <v>3666</v>
      </c>
      <c r="L629" s="30"/>
      <c r="M629" s="30" t="s">
        <v>3667</v>
      </c>
      <c r="N629" s="20" t="s">
        <v>1598</v>
      </c>
      <c r="O629" s="20" t="s">
        <v>27</v>
      </c>
      <c r="P629" s="21" t="s">
        <v>3668</v>
      </c>
      <c r="Q629" s="20"/>
      <c r="R629" s="20" t="s">
        <v>3669</v>
      </c>
      <c r="S629" s="20"/>
      <c r="T629" s="20"/>
      <c r="U629" s="20"/>
      <c r="V629" s="20"/>
    </row>
    <row r="630" spans="1:22" ht="17">
      <c r="B630" s="29" t="s">
        <v>3670</v>
      </c>
      <c r="C630" s="12" t="s">
        <v>20</v>
      </c>
      <c r="D630" s="30" t="s">
        <v>253</v>
      </c>
      <c r="E630" s="31">
        <v>100</v>
      </c>
      <c r="F630" s="32" t="e">
        <f>Table2[[#This Row],[Price]]/Table2[[#This Row],[Tot Ht Area]]</f>
        <v>#DIV/0!</v>
      </c>
      <c r="G630" s="33"/>
      <c r="H630" s="33">
        <v>10029</v>
      </c>
      <c r="I630" s="34" t="s">
        <v>3671</v>
      </c>
      <c r="J630" s="35">
        <v>1984</v>
      </c>
      <c r="K630" s="30" t="s">
        <v>1630</v>
      </c>
      <c r="L630" s="30"/>
      <c r="M630" s="30" t="s">
        <v>3672</v>
      </c>
      <c r="N630" s="20" t="s">
        <v>1598</v>
      </c>
      <c r="O630" s="20" t="s">
        <v>27</v>
      </c>
      <c r="P630" s="21" t="s">
        <v>3673</v>
      </c>
      <c r="Q630" s="20"/>
      <c r="R630" s="20" t="s">
        <v>3674</v>
      </c>
      <c r="S630" s="20"/>
      <c r="T630" s="20" t="s">
        <v>6318</v>
      </c>
      <c r="U630" s="20"/>
      <c r="V630" s="20"/>
    </row>
    <row r="631" spans="1:22" ht="17">
      <c r="B631" s="29" t="s">
        <v>3675</v>
      </c>
      <c r="C631" s="12" t="s">
        <v>20</v>
      </c>
      <c r="D631" s="30" t="s">
        <v>428</v>
      </c>
      <c r="E631" s="31">
        <v>4600000</v>
      </c>
      <c r="F631" s="32" t="e">
        <f>Table2[[#This Row],[Price]]/Table2[[#This Row],[Tot Ht Area]]</f>
        <v>#DIV/0!</v>
      </c>
      <c r="G631" s="33"/>
      <c r="H631" s="33">
        <v>34179</v>
      </c>
      <c r="I631" s="34" t="s">
        <v>3676</v>
      </c>
      <c r="J631" s="35">
        <v>1996</v>
      </c>
      <c r="K631" s="30" t="s">
        <v>1585</v>
      </c>
      <c r="L631" s="30"/>
      <c r="M631" s="30" t="s">
        <v>3677</v>
      </c>
      <c r="N631" s="20" t="s">
        <v>1598</v>
      </c>
      <c r="O631" s="20" t="s">
        <v>27</v>
      </c>
      <c r="P631" s="21" t="s">
        <v>3678</v>
      </c>
      <c r="Q631" s="20"/>
      <c r="R631" s="20" t="s">
        <v>3679</v>
      </c>
      <c r="S631" s="20"/>
      <c r="T631" s="20"/>
      <c r="U631" s="20"/>
      <c r="V631" s="20"/>
    </row>
    <row r="632" spans="1:22" ht="32">
      <c r="B632" s="29" t="s">
        <v>3680</v>
      </c>
      <c r="C632" s="12" t="s">
        <v>20</v>
      </c>
      <c r="D632" s="30" t="s">
        <v>792</v>
      </c>
      <c r="E632" s="31">
        <v>19250000</v>
      </c>
      <c r="F632" s="32" t="e">
        <f>Table2[[#This Row],[Price]]/Table2[[#This Row],[Tot Ht Area]]</f>
        <v>#DIV/0!</v>
      </c>
      <c r="G632" s="33"/>
      <c r="H632" s="33">
        <v>117600</v>
      </c>
      <c r="I632" s="34" t="s">
        <v>3681</v>
      </c>
      <c r="J632" s="35">
        <v>2002</v>
      </c>
      <c r="K632" s="30" t="s">
        <v>3666</v>
      </c>
      <c r="L632" s="30"/>
      <c r="M632" s="30" t="s">
        <v>3682</v>
      </c>
      <c r="N632" s="20" t="s">
        <v>1598</v>
      </c>
      <c r="O632" s="20" t="s">
        <v>27</v>
      </c>
      <c r="P632" s="21" t="s">
        <v>3683</v>
      </c>
      <c r="Q632" s="20"/>
      <c r="R632" s="20" t="s">
        <v>3684</v>
      </c>
      <c r="S632" s="20"/>
      <c r="T632" s="20"/>
      <c r="U632" s="20"/>
      <c r="V632" s="20"/>
    </row>
    <row r="633" spans="1:22" ht="17">
      <c r="B633" s="29" t="s">
        <v>3685</v>
      </c>
      <c r="C633" s="12" t="s">
        <v>20</v>
      </c>
      <c r="D633" s="30" t="s">
        <v>398</v>
      </c>
      <c r="E633" s="31">
        <v>7200000</v>
      </c>
      <c r="F633" s="32" t="e">
        <f>Table2[[#This Row],[Price]]/Table2[[#This Row],[Tot Ht Area]]</f>
        <v>#DIV/0!</v>
      </c>
      <c r="G633" s="33"/>
      <c r="H633" s="33">
        <v>44937</v>
      </c>
      <c r="I633" s="34" t="s">
        <v>3686</v>
      </c>
      <c r="J633" s="35">
        <v>1998</v>
      </c>
      <c r="K633" s="30" t="s">
        <v>1320</v>
      </c>
      <c r="L633" s="30"/>
      <c r="M633" s="30" t="s">
        <v>3687</v>
      </c>
      <c r="N633" s="20" t="s">
        <v>1598</v>
      </c>
      <c r="O633" s="20" t="s">
        <v>27</v>
      </c>
      <c r="P633" s="21" t="s">
        <v>3688</v>
      </c>
      <c r="Q633" s="20"/>
      <c r="R633" s="20" t="s">
        <v>3689</v>
      </c>
      <c r="S633" s="20"/>
      <c r="T633" s="20"/>
      <c r="U633" s="20"/>
      <c r="V633" s="20"/>
    </row>
    <row r="634" spans="1:22" ht="32">
      <c r="B634" s="29" t="s">
        <v>3690</v>
      </c>
      <c r="C634" s="12" t="s">
        <v>20</v>
      </c>
      <c r="D634" s="30" t="s">
        <v>722</v>
      </c>
      <c r="E634" s="31">
        <v>650000</v>
      </c>
      <c r="F634" s="32">
        <f>Table2[[#This Row],[Price]]/Table2[[#This Row],[Tot Ht Area]]</f>
        <v>289.14590747330959</v>
      </c>
      <c r="G634" s="33">
        <v>2248</v>
      </c>
      <c r="H634" s="33">
        <v>2248</v>
      </c>
      <c r="I634" s="34" t="s">
        <v>3691</v>
      </c>
      <c r="J634" s="35">
        <v>2005</v>
      </c>
      <c r="K634" s="30" t="s">
        <v>172</v>
      </c>
      <c r="L634" s="30"/>
      <c r="M634" s="30" t="s">
        <v>3692</v>
      </c>
      <c r="N634" s="20" t="s">
        <v>1598</v>
      </c>
      <c r="O634" s="20" t="s">
        <v>1812</v>
      </c>
      <c r="P634" s="21" t="s">
        <v>3272</v>
      </c>
      <c r="Q634" s="20" t="s">
        <v>3693</v>
      </c>
      <c r="R634" s="20" t="s">
        <v>3694</v>
      </c>
      <c r="S634" s="20"/>
      <c r="T634" s="20"/>
      <c r="U634" s="20"/>
      <c r="V634" s="20"/>
    </row>
    <row r="635" spans="1:22" ht="17">
      <c r="B635" s="29" t="s">
        <v>3695</v>
      </c>
      <c r="C635" s="12" t="s">
        <v>20</v>
      </c>
      <c r="D635" s="30" t="s">
        <v>611</v>
      </c>
      <c r="E635" s="31">
        <v>540000</v>
      </c>
      <c r="F635" s="32">
        <f>Table2[[#This Row],[Price]]/Table2[[#This Row],[Tot Ht Area]]</f>
        <v>215.311004784689</v>
      </c>
      <c r="G635" s="33">
        <v>2508</v>
      </c>
      <c r="H635" s="33">
        <v>2508</v>
      </c>
      <c r="I635" s="34" t="s">
        <v>3546</v>
      </c>
      <c r="J635" s="35">
        <v>2005</v>
      </c>
      <c r="K635" s="30" t="s">
        <v>172</v>
      </c>
      <c r="L635" s="30"/>
      <c r="M635" s="30" t="s">
        <v>3696</v>
      </c>
      <c r="N635" s="20" t="s">
        <v>1598</v>
      </c>
      <c r="O635" s="20" t="s">
        <v>27</v>
      </c>
      <c r="P635" s="21" t="s">
        <v>3697</v>
      </c>
      <c r="Q635" s="20"/>
      <c r="R635" s="20" t="s">
        <v>3698</v>
      </c>
      <c r="S635" s="20"/>
      <c r="T635" s="20"/>
      <c r="U635" s="20"/>
      <c r="V635" s="20"/>
    </row>
    <row r="636" spans="1:22" ht="32">
      <c r="B636" s="29" t="s">
        <v>3699</v>
      </c>
      <c r="C636" s="12" t="s">
        <v>20</v>
      </c>
      <c r="D636" s="30" t="s">
        <v>591</v>
      </c>
      <c r="E636" s="31">
        <v>787500</v>
      </c>
      <c r="F636" s="32">
        <f>Table2[[#This Row],[Price]]/Table2[[#This Row],[Tot Ht Area]]</f>
        <v>265.77792777590281</v>
      </c>
      <c r="G636" s="33">
        <v>2963</v>
      </c>
      <c r="H636" s="33">
        <v>2963</v>
      </c>
      <c r="I636" s="34" t="s">
        <v>3700</v>
      </c>
      <c r="J636" s="35">
        <v>2005</v>
      </c>
      <c r="K636" s="30" t="s">
        <v>172</v>
      </c>
      <c r="L636" s="30"/>
      <c r="M636" s="30" t="s">
        <v>3701</v>
      </c>
      <c r="N636" s="20" t="s">
        <v>1598</v>
      </c>
      <c r="O636" s="20" t="s">
        <v>27</v>
      </c>
      <c r="P636" s="21" t="s">
        <v>3702</v>
      </c>
      <c r="Q636" s="20"/>
      <c r="R636" s="20" t="s">
        <v>3703</v>
      </c>
      <c r="S636" s="20"/>
      <c r="T636" s="20"/>
      <c r="U636" s="20"/>
      <c r="V636" s="20"/>
    </row>
    <row r="637" spans="1:22" ht="32">
      <c r="A637">
        <v>3</v>
      </c>
      <c r="B637" s="29" t="s">
        <v>3704</v>
      </c>
      <c r="C637" s="12" t="s">
        <v>20</v>
      </c>
      <c r="D637" s="30" t="s">
        <v>571</v>
      </c>
      <c r="E637" s="31">
        <v>1400000</v>
      </c>
      <c r="F637" s="32">
        <f>Table2[[#This Row],[Price]]/Table2[[#This Row],[Tot Ht Area]]</f>
        <v>277.55749405233939</v>
      </c>
      <c r="G637" s="33">
        <v>5044</v>
      </c>
      <c r="H637" s="33">
        <v>5044</v>
      </c>
      <c r="I637" s="34" t="s">
        <v>3705</v>
      </c>
      <c r="J637" s="35">
        <v>2005</v>
      </c>
      <c r="K637" s="30" t="s">
        <v>172</v>
      </c>
      <c r="L637" s="30"/>
      <c r="M637" s="30" t="s">
        <v>3706</v>
      </c>
      <c r="N637" s="20" t="s">
        <v>1598</v>
      </c>
      <c r="O637" s="20" t="s">
        <v>27</v>
      </c>
      <c r="P637" s="21" t="s">
        <v>3707</v>
      </c>
      <c r="Q637" s="20"/>
      <c r="R637" s="20" t="s">
        <v>3708</v>
      </c>
      <c r="S637" s="20"/>
      <c r="T637" s="20"/>
      <c r="U637" s="20"/>
      <c r="V637" s="20"/>
    </row>
    <row r="638" spans="1:22" ht="34">
      <c r="B638" s="29" t="s">
        <v>3709</v>
      </c>
      <c r="C638" s="12" t="s">
        <v>20</v>
      </c>
      <c r="D638" s="30" t="s">
        <v>792</v>
      </c>
      <c r="E638" s="31">
        <v>19250000</v>
      </c>
      <c r="F638" s="32" t="e">
        <f>Table2[[#This Row],[Price]]/Table2[[#This Row],[Tot Ht Area]]</f>
        <v>#DIV/0!</v>
      </c>
      <c r="G638" s="33"/>
      <c r="H638" s="33">
        <v>108262</v>
      </c>
      <c r="I638" s="34" t="s">
        <v>3681</v>
      </c>
      <c r="J638" s="35">
        <v>1999</v>
      </c>
      <c r="K638" s="30" t="s">
        <v>3710</v>
      </c>
      <c r="L638" s="30"/>
      <c r="M638" s="30" t="s">
        <v>3711</v>
      </c>
      <c r="N638" s="20" t="s">
        <v>1598</v>
      </c>
      <c r="O638" s="20" t="s">
        <v>27</v>
      </c>
      <c r="P638" s="21" t="s">
        <v>3712</v>
      </c>
      <c r="Q638" s="20"/>
      <c r="R638" s="20" t="s">
        <v>3713</v>
      </c>
      <c r="S638" s="20"/>
      <c r="T638" s="20"/>
      <c r="U638" s="20"/>
      <c r="V638" s="20"/>
    </row>
    <row r="639" spans="1:22" ht="34">
      <c r="B639" s="29" t="s">
        <v>3714</v>
      </c>
      <c r="C639" s="12" t="s">
        <v>20</v>
      </c>
      <c r="D639" s="30" t="s">
        <v>792</v>
      </c>
      <c r="E639" s="31">
        <v>19250000</v>
      </c>
      <c r="F639" s="32" t="e">
        <f>Table2[[#This Row],[Price]]/Table2[[#This Row],[Tot Ht Area]]</f>
        <v>#DIV/0!</v>
      </c>
      <c r="G639" s="33"/>
      <c r="H639" s="33">
        <v>112068</v>
      </c>
      <c r="I639" s="34" t="s">
        <v>3681</v>
      </c>
      <c r="J639" s="35">
        <v>2000</v>
      </c>
      <c r="K639" s="30" t="s">
        <v>3666</v>
      </c>
      <c r="L639" s="30"/>
      <c r="M639" s="30" t="s">
        <v>3715</v>
      </c>
      <c r="N639" s="20" t="s">
        <v>1598</v>
      </c>
      <c r="O639" s="20" t="s">
        <v>27</v>
      </c>
      <c r="P639" s="21" t="s">
        <v>3716</v>
      </c>
      <c r="Q639" s="20"/>
      <c r="R639" s="20" t="s">
        <v>3717</v>
      </c>
      <c r="S639" s="20"/>
      <c r="T639" s="20"/>
      <c r="U639" s="20"/>
      <c r="V639" s="20"/>
    </row>
    <row r="640" spans="1:22" ht="34">
      <c r="A640" s="40">
        <v>3</v>
      </c>
      <c r="B640" s="29" t="s">
        <v>3718</v>
      </c>
      <c r="C640" s="12" t="s">
        <v>20</v>
      </c>
      <c r="D640" s="30" t="s">
        <v>133</v>
      </c>
      <c r="E640" s="31">
        <v>32500000</v>
      </c>
      <c r="F640" s="32" t="e">
        <f>Table2[[#This Row],[Price]]/Table2[[#This Row],[Tot Ht Area]]</f>
        <v>#DIV/0!</v>
      </c>
      <c r="G640" s="33"/>
      <c r="H640" s="33">
        <v>138568</v>
      </c>
      <c r="I640" s="34" t="s">
        <v>3719</v>
      </c>
      <c r="J640" s="35">
        <v>1987</v>
      </c>
      <c r="K640" s="30" t="s">
        <v>1716</v>
      </c>
      <c r="L640" s="30"/>
      <c r="M640" s="30" t="s">
        <v>3720</v>
      </c>
      <c r="N640" s="20" t="s">
        <v>1598</v>
      </c>
      <c r="O640" s="20" t="s">
        <v>27</v>
      </c>
      <c r="P640" s="21" t="s">
        <v>3721</v>
      </c>
      <c r="Q640" s="20"/>
      <c r="R640" s="20" t="s">
        <v>3722</v>
      </c>
      <c r="S640" s="20"/>
      <c r="T640" s="20"/>
      <c r="U640" s="20"/>
      <c r="V640" s="20"/>
    </row>
    <row r="641" spans="2:22" ht="34">
      <c r="B641" s="29" t="s">
        <v>3723</v>
      </c>
      <c r="C641" s="12" t="s">
        <v>20</v>
      </c>
      <c r="D641" s="30" t="s">
        <v>133</v>
      </c>
      <c r="E641" s="31">
        <v>32500000</v>
      </c>
      <c r="F641" s="32" t="e">
        <f>Table2[[#This Row],[Price]]/Table2[[#This Row],[Tot Ht Area]]</f>
        <v>#DIV/0!</v>
      </c>
      <c r="G641" s="33"/>
      <c r="H641" s="33">
        <v>84061</v>
      </c>
      <c r="I641" s="34" t="s">
        <v>3719</v>
      </c>
      <c r="J641" s="35">
        <v>1998</v>
      </c>
      <c r="K641" s="30" t="s">
        <v>1716</v>
      </c>
      <c r="L641" s="30"/>
      <c r="M641" s="30" t="s">
        <v>3724</v>
      </c>
      <c r="N641" s="20" t="s">
        <v>1598</v>
      </c>
      <c r="O641" s="20" t="s">
        <v>27</v>
      </c>
      <c r="P641" s="21" t="s">
        <v>3721</v>
      </c>
      <c r="Q641" s="20"/>
      <c r="R641" s="20" t="s">
        <v>3725</v>
      </c>
      <c r="S641" s="20"/>
      <c r="T641" s="20"/>
      <c r="U641" s="20"/>
      <c r="V641" s="20"/>
    </row>
    <row r="642" spans="2:22" ht="32">
      <c r="B642" s="29" t="s">
        <v>3726</v>
      </c>
      <c r="C642" s="12" t="s">
        <v>20</v>
      </c>
      <c r="D642" s="30" t="s">
        <v>686</v>
      </c>
      <c r="E642" s="31">
        <v>7500000</v>
      </c>
      <c r="F642" s="32" t="e">
        <f>Table2[[#This Row],[Price]]/Table2[[#This Row],[Tot Ht Area]]</f>
        <v>#DIV/0!</v>
      </c>
      <c r="G642" s="33"/>
      <c r="H642" s="33">
        <v>44650</v>
      </c>
      <c r="I642" s="34" t="s">
        <v>3727</v>
      </c>
      <c r="J642" s="35">
        <v>2018</v>
      </c>
      <c r="K642" s="30" t="s">
        <v>1716</v>
      </c>
      <c r="L642" s="30"/>
      <c r="M642" s="30" t="s">
        <v>3728</v>
      </c>
      <c r="N642" s="20" t="s">
        <v>1598</v>
      </c>
      <c r="O642" s="20" t="s">
        <v>27</v>
      </c>
      <c r="P642" s="21" t="s">
        <v>3729</v>
      </c>
      <c r="Q642" s="20"/>
      <c r="R642" s="20" t="s">
        <v>3730</v>
      </c>
      <c r="S642" s="20"/>
      <c r="T642" s="20"/>
      <c r="U642" s="20"/>
      <c r="V642" s="20"/>
    </row>
    <row r="643" spans="2:22" ht="32">
      <c r="B643" s="29" t="s">
        <v>3731</v>
      </c>
      <c r="C643" s="12" t="s">
        <v>20</v>
      </c>
      <c r="D643" s="30" t="s">
        <v>336</v>
      </c>
      <c r="E643" s="31">
        <v>270000</v>
      </c>
      <c r="F643" s="32">
        <f>Table2[[#This Row],[Price]]/Table2[[#This Row],[Tot Ht Area]]</f>
        <v>125.81547064305686</v>
      </c>
      <c r="G643" s="33">
        <v>2146</v>
      </c>
      <c r="H643" s="33">
        <v>2146</v>
      </c>
      <c r="I643" s="34" t="s">
        <v>3732</v>
      </c>
      <c r="J643" s="35">
        <v>1985</v>
      </c>
      <c r="K643" s="30" t="s">
        <v>1320</v>
      </c>
      <c r="L643" s="30"/>
      <c r="M643" s="30" t="s">
        <v>3733</v>
      </c>
      <c r="N643" s="20" t="s">
        <v>1598</v>
      </c>
      <c r="O643" s="20" t="s">
        <v>1812</v>
      </c>
      <c r="P643" s="21" t="s">
        <v>3734</v>
      </c>
      <c r="Q643" s="20" t="s">
        <v>3735</v>
      </c>
      <c r="R643" s="20" t="s">
        <v>3736</v>
      </c>
      <c r="S643" s="20"/>
      <c r="T643" s="20"/>
      <c r="U643" s="20"/>
      <c r="V643" s="20"/>
    </row>
    <row r="644" spans="2:22" ht="17">
      <c r="B644" s="29" t="s">
        <v>3737</v>
      </c>
      <c r="C644" s="12" t="s">
        <v>20</v>
      </c>
      <c r="D644" s="30" t="s">
        <v>253</v>
      </c>
      <c r="E644" s="31">
        <v>100</v>
      </c>
      <c r="F644" s="32">
        <f>Table2[[#This Row],[Price]]/Table2[[#This Row],[Tot Ht Area]]</f>
        <v>2.8985507246376812E-2</v>
      </c>
      <c r="G644" s="33">
        <v>3450</v>
      </c>
      <c r="H644" s="33">
        <v>3640</v>
      </c>
      <c r="I644" s="34" t="s">
        <v>860</v>
      </c>
      <c r="J644" s="35">
        <v>1999</v>
      </c>
      <c r="K644" s="30" t="s">
        <v>172</v>
      </c>
      <c r="L644" s="30"/>
      <c r="M644" s="30" t="s">
        <v>3738</v>
      </c>
      <c r="N644" s="20" t="s">
        <v>1598</v>
      </c>
      <c r="O644" s="20" t="s">
        <v>1812</v>
      </c>
      <c r="P644" s="21" t="s">
        <v>3739</v>
      </c>
      <c r="Q644" s="20" t="s">
        <v>3740</v>
      </c>
      <c r="R644" s="20" t="s">
        <v>3741</v>
      </c>
      <c r="S644" s="20"/>
      <c r="T644" s="20" t="s">
        <v>6318</v>
      </c>
      <c r="U644" s="20"/>
      <c r="V644" s="20"/>
    </row>
    <row r="645" spans="2:22" ht="17">
      <c r="B645" s="29" t="s">
        <v>3742</v>
      </c>
      <c r="C645" s="12" t="s">
        <v>20</v>
      </c>
      <c r="D645" s="30" t="s">
        <v>709</v>
      </c>
      <c r="E645" s="31">
        <v>300600</v>
      </c>
      <c r="F645" s="32" t="e">
        <f>Table2[[#This Row],[Price]]/Table2[[#This Row],[Tot Ht Area]]</f>
        <v>#DIV/0!</v>
      </c>
      <c r="G645" s="33"/>
      <c r="H645" s="33">
        <v>17810</v>
      </c>
      <c r="I645" s="34" t="s">
        <v>1996</v>
      </c>
      <c r="J645" s="35">
        <v>2002</v>
      </c>
      <c r="K645" s="30" t="s">
        <v>1630</v>
      </c>
      <c r="L645" s="30"/>
      <c r="M645" s="30" t="s">
        <v>3743</v>
      </c>
      <c r="N645" s="20" t="s">
        <v>1598</v>
      </c>
      <c r="O645" s="20" t="s">
        <v>27</v>
      </c>
      <c r="P645" s="21" t="s">
        <v>3245</v>
      </c>
      <c r="Q645" s="20"/>
      <c r="R645" s="20" t="s">
        <v>3744</v>
      </c>
      <c r="S645" s="20"/>
      <c r="T645" s="20"/>
      <c r="U645" s="20"/>
      <c r="V645" s="20"/>
    </row>
    <row r="646" spans="2:22" ht="32">
      <c r="B646" s="29" t="s">
        <v>3745</v>
      </c>
      <c r="C646" s="12" t="s">
        <v>20</v>
      </c>
      <c r="D646" s="30" t="s">
        <v>995</v>
      </c>
      <c r="E646" s="31">
        <v>700000</v>
      </c>
      <c r="F646" s="32" t="e">
        <f>Table2[[#This Row],[Price]]/Table2[[#This Row],[Tot Ht Area]]</f>
        <v>#DIV/0!</v>
      </c>
      <c r="G646" s="33"/>
      <c r="H646" s="33">
        <v>4300</v>
      </c>
      <c r="I646" s="34" t="s">
        <v>3746</v>
      </c>
      <c r="J646" s="35">
        <v>1954</v>
      </c>
      <c r="K646" s="30" t="s">
        <v>1320</v>
      </c>
      <c r="L646" s="30"/>
      <c r="M646" s="30" t="s">
        <v>3747</v>
      </c>
      <c r="N646" s="20" t="s">
        <v>1598</v>
      </c>
      <c r="O646" s="20" t="s">
        <v>27</v>
      </c>
      <c r="P646" s="21" t="s">
        <v>3748</v>
      </c>
      <c r="Q646" s="20"/>
      <c r="R646" s="20" t="s">
        <v>3749</v>
      </c>
      <c r="S646" s="20"/>
      <c r="T646" s="20"/>
      <c r="U646" s="20"/>
      <c r="V646" s="20"/>
    </row>
    <row r="647" spans="2:22" ht="32">
      <c r="B647" s="29" t="s">
        <v>3750</v>
      </c>
      <c r="C647" s="12" t="s">
        <v>20</v>
      </c>
      <c r="D647" s="30" t="s">
        <v>108</v>
      </c>
      <c r="E647" s="31">
        <v>777000</v>
      </c>
      <c r="F647" s="32" t="e">
        <f>Table2[[#This Row],[Price]]/Table2[[#This Row],[Tot Ht Area]]</f>
        <v>#DIV/0!</v>
      </c>
      <c r="G647" s="33"/>
      <c r="H647" s="33">
        <v>3000</v>
      </c>
      <c r="I647" s="34" t="s">
        <v>3751</v>
      </c>
      <c r="J647" s="35">
        <v>1973</v>
      </c>
      <c r="K647" s="30" t="s">
        <v>1320</v>
      </c>
      <c r="L647" s="30"/>
      <c r="M647" s="30" t="s">
        <v>3752</v>
      </c>
      <c r="N647" s="20" t="s">
        <v>1598</v>
      </c>
      <c r="O647" s="20" t="s">
        <v>27</v>
      </c>
      <c r="P647" s="21" t="s">
        <v>3753</v>
      </c>
      <c r="Q647" s="20" t="s">
        <v>3754</v>
      </c>
      <c r="R647" s="20" t="s">
        <v>3755</v>
      </c>
      <c r="S647" s="20"/>
      <c r="T647" s="20"/>
      <c r="U647" s="20"/>
      <c r="V647" s="20"/>
    </row>
    <row r="648" spans="2:22" ht="17">
      <c r="B648" s="29" t="s">
        <v>3756</v>
      </c>
      <c r="C648" s="12" t="s">
        <v>20</v>
      </c>
      <c r="D648" s="30" t="s">
        <v>170</v>
      </c>
      <c r="E648" s="31">
        <v>875000</v>
      </c>
      <c r="F648" s="32" t="e">
        <f>Table2[[#This Row],[Price]]/Table2[[#This Row],[Tot Ht Area]]</f>
        <v>#DIV/0!</v>
      </c>
      <c r="G648" s="33"/>
      <c r="H648" s="33">
        <v>4900</v>
      </c>
      <c r="I648" s="34" t="s">
        <v>3757</v>
      </c>
      <c r="J648" s="35">
        <v>2003</v>
      </c>
      <c r="K648" s="30" t="s">
        <v>1320</v>
      </c>
      <c r="L648" s="30"/>
      <c r="M648" s="30" t="s">
        <v>3758</v>
      </c>
      <c r="N648" s="20" t="s">
        <v>1598</v>
      </c>
      <c r="O648" s="20" t="s">
        <v>27</v>
      </c>
      <c r="P648" s="21" t="s">
        <v>3759</v>
      </c>
      <c r="Q648" s="20" t="s">
        <v>3760</v>
      </c>
      <c r="R648" s="20" t="s">
        <v>3761</v>
      </c>
      <c r="S648" s="20"/>
      <c r="T648" s="20"/>
      <c r="U648" s="20"/>
      <c r="V648" s="20"/>
    </row>
    <row r="649" spans="2:22" ht="32">
      <c r="B649" s="29" t="s">
        <v>3762</v>
      </c>
      <c r="C649" s="12" t="s">
        <v>20</v>
      </c>
      <c r="D649" s="30" t="s">
        <v>428</v>
      </c>
      <c r="E649" s="31">
        <v>12100000</v>
      </c>
      <c r="F649" s="32" t="e">
        <f>Table2[[#This Row],[Price]]/Table2[[#This Row],[Tot Ht Area]]</f>
        <v>#DIV/0!</v>
      </c>
      <c r="G649" s="33"/>
      <c r="H649" s="33">
        <v>77870</v>
      </c>
      <c r="I649" s="34" t="s">
        <v>3763</v>
      </c>
      <c r="J649" s="35">
        <v>2006</v>
      </c>
      <c r="K649" s="30" t="s">
        <v>1716</v>
      </c>
      <c r="L649" s="30"/>
      <c r="M649" s="30" t="s">
        <v>3764</v>
      </c>
      <c r="N649" s="20" t="s">
        <v>1598</v>
      </c>
      <c r="O649" s="20" t="s">
        <v>27</v>
      </c>
      <c r="P649" s="21" t="s">
        <v>3765</v>
      </c>
      <c r="Q649" s="20"/>
      <c r="R649" s="20" t="s">
        <v>3766</v>
      </c>
      <c r="S649" s="20"/>
      <c r="T649" s="20"/>
      <c r="U649" s="20"/>
      <c r="V649" s="20"/>
    </row>
    <row r="650" spans="2:22" ht="17">
      <c r="B650" s="29" t="s">
        <v>3767</v>
      </c>
      <c r="C650" s="12" t="s">
        <v>20</v>
      </c>
      <c r="D650" s="30" t="s">
        <v>141</v>
      </c>
      <c r="E650" s="31">
        <v>499900</v>
      </c>
      <c r="F650" s="32">
        <f>Table2[[#This Row],[Price]]/Table2[[#This Row],[Tot Ht Area]]</f>
        <v>220.41446208112876</v>
      </c>
      <c r="G650" s="33">
        <v>2268</v>
      </c>
      <c r="H650" s="33">
        <v>2268</v>
      </c>
      <c r="I650" s="34" t="s">
        <v>3768</v>
      </c>
      <c r="J650" s="35">
        <v>2005</v>
      </c>
      <c r="K650" s="30" t="s">
        <v>172</v>
      </c>
      <c r="L650" s="30"/>
      <c r="M650" s="30" t="s">
        <v>3769</v>
      </c>
      <c r="N650" s="20" t="s">
        <v>1598</v>
      </c>
      <c r="O650" s="20" t="s">
        <v>27</v>
      </c>
      <c r="P650" s="21" t="s">
        <v>3770</v>
      </c>
      <c r="Q650" s="20"/>
      <c r="R650" s="20" t="s">
        <v>3771</v>
      </c>
      <c r="S650" s="20"/>
      <c r="T650" s="20"/>
      <c r="U650" s="20"/>
      <c r="V650" s="20"/>
    </row>
    <row r="651" spans="2:22" ht="32">
      <c r="B651" s="29" t="s">
        <v>3772</v>
      </c>
      <c r="C651" s="12" t="s">
        <v>20</v>
      </c>
      <c r="D651" s="30" t="s">
        <v>428</v>
      </c>
      <c r="E651" s="31">
        <v>47940000</v>
      </c>
      <c r="F651" s="32" t="e">
        <f>Table2[[#This Row],[Price]]/Table2[[#This Row],[Tot Ht Area]]</f>
        <v>#DIV/0!</v>
      </c>
      <c r="G651" s="33"/>
      <c r="H651" s="33">
        <v>186336</v>
      </c>
      <c r="I651" s="34" t="s">
        <v>3665</v>
      </c>
      <c r="J651" s="35">
        <v>1999</v>
      </c>
      <c r="K651" s="30" t="s">
        <v>3666</v>
      </c>
      <c r="L651" s="30"/>
      <c r="M651" s="30" t="s">
        <v>3773</v>
      </c>
      <c r="N651" s="20" t="s">
        <v>1598</v>
      </c>
      <c r="O651" s="20" t="s">
        <v>27</v>
      </c>
      <c r="P651" s="21" t="s">
        <v>3774</v>
      </c>
      <c r="Q651" s="20"/>
      <c r="R651" s="20" t="s">
        <v>3775</v>
      </c>
      <c r="S651" s="20"/>
      <c r="T651" s="20"/>
      <c r="U651" s="20"/>
      <c r="V651" s="20"/>
    </row>
    <row r="652" spans="2:22" ht="32">
      <c r="B652" s="29" t="s">
        <v>3776</v>
      </c>
      <c r="C652" s="12" t="s">
        <v>20</v>
      </c>
      <c r="D652" s="30" t="s">
        <v>428</v>
      </c>
      <c r="E652" s="31">
        <v>34850000</v>
      </c>
      <c r="F652" s="32" t="e">
        <f>Table2[[#This Row],[Price]]/Table2[[#This Row],[Tot Ht Area]]</f>
        <v>#DIV/0!</v>
      </c>
      <c r="G652" s="33"/>
      <c r="H652" s="33">
        <v>156193</v>
      </c>
      <c r="I652" s="34" t="s">
        <v>3665</v>
      </c>
      <c r="J652" s="35">
        <v>2000</v>
      </c>
      <c r="K652" s="30" t="s">
        <v>3710</v>
      </c>
      <c r="L652" s="30"/>
      <c r="M652" s="30" t="s">
        <v>3777</v>
      </c>
      <c r="N652" s="20" t="s">
        <v>1598</v>
      </c>
      <c r="O652" s="20" t="s">
        <v>27</v>
      </c>
      <c r="P652" s="21" t="s">
        <v>3774</v>
      </c>
      <c r="Q652" s="20"/>
      <c r="R652" s="20" t="s">
        <v>3778</v>
      </c>
      <c r="S652" s="20"/>
      <c r="T652" s="20"/>
      <c r="U652" s="20"/>
      <c r="V652" s="20"/>
    </row>
    <row r="653" spans="2:22" ht="32">
      <c r="B653" s="29" t="s">
        <v>3779</v>
      </c>
      <c r="C653" s="12" t="s">
        <v>20</v>
      </c>
      <c r="D653" s="30" t="s">
        <v>428</v>
      </c>
      <c r="E653" s="31">
        <v>47260000</v>
      </c>
      <c r="F653" s="32" t="e">
        <f>Table2[[#This Row],[Price]]/Table2[[#This Row],[Tot Ht Area]]</f>
        <v>#DIV/0!</v>
      </c>
      <c r="G653" s="33"/>
      <c r="H653" s="33">
        <v>344089</v>
      </c>
      <c r="I653" s="34" t="s">
        <v>3665</v>
      </c>
      <c r="J653" s="35">
        <v>2001</v>
      </c>
      <c r="K653" s="30" t="s">
        <v>3710</v>
      </c>
      <c r="L653" s="30"/>
      <c r="M653" s="30" t="s">
        <v>3780</v>
      </c>
      <c r="N653" s="20" t="s">
        <v>1598</v>
      </c>
      <c r="O653" s="20" t="s">
        <v>27</v>
      </c>
      <c r="P653" s="21" t="s">
        <v>3774</v>
      </c>
      <c r="Q653" s="20"/>
      <c r="R653" s="20" t="s">
        <v>3781</v>
      </c>
      <c r="S653" s="20"/>
      <c r="T653" s="20"/>
      <c r="U653" s="20"/>
      <c r="V653" s="20"/>
    </row>
    <row r="654" spans="2:22" ht="17">
      <c r="B654" s="29" t="s">
        <v>3782</v>
      </c>
      <c r="C654" s="12" t="s">
        <v>20</v>
      </c>
      <c r="D654" s="30" t="s">
        <v>709</v>
      </c>
      <c r="E654" s="31">
        <v>177100</v>
      </c>
      <c r="F654" s="32" t="e">
        <f>Table2[[#This Row],[Price]]/Table2[[#This Row],[Tot Ht Area]]</f>
        <v>#DIV/0!</v>
      </c>
      <c r="G654" s="33"/>
      <c r="H654" s="33">
        <v>6563</v>
      </c>
      <c r="I654" s="34" t="s">
        <v>1996</v>
      </c>
      <c r="J654" s="35">
        <v>2003</v>
      </c>
      <c r="K654" s="30" t="s">
        <v>1320</v>
      </c>
      <c r="L654" s="30"/>
      <c r="M654" s="30" t="s">
        <v>3783</v>
      </c>
      <c r="N654" s="20" t="s">
        <v>1598</v>
      </c>
      <c r="O654" s="20" t="s">
        <v>27</v>
      </c>
      <c r="P654" s="21" t="s">
        <v>3245</v>
      </c>
      <c r="Q654" s="20"/>
      <c r="R654" s="20" t="s">
        <v>3784</v>
      </c>
      <c r="S654" s="20"/>
      <c r="T654" s="20"/>
      <c r="U654" s="20"/>
      <c r="V654" s="20"/>
    </row>
    <row r="655" spans="2:22" ht="32">
      <c r="B655" s="29" t="s">
        <v>3785</v>
      </c>
      <c r="C655" s="12" t="s">
        <v>20</v>
      </c>
      <c r="D655" s="30" t="s">
        <v>428</v>
      </c>
      <c r="E655" s="31">
        <v>100</v>
      </c>
      <c r="F655" s="32">
        <f>Table2[[#This Row],[Price]]/Table2[[#This Row],[Tot Ht Area]]</f>
        <v>2.3408239700374533E-2</v>
      </c>
      <c r="G655" s="33">
        <v>4272</v>
      </c>
      <c r="H655" s="33">
        <v>4272</v>
      </c>
      <c r="I655" s="34" t="s">
        <v>3786</v>
      </c>
      <c r="J655" s="35">
        <v>2015</v>
      </c>
      <c r="K655" s="30" t="s">
        <v>24</v>
      </c>
      <c r="L655" s="30"/>
      <c r="M655" s="30" t="s">
        <v>3787</v>
      </c>
      <c r="N655" s="20" t="s">
        <v>1598</v>
      </c>
      <c r="O655" s="20" t="s">
        <v>27</v>
      </c>
      <c r="P655" s="21" t="s">
        <v>3788</v>
      </c>
      <c r="Q655" s="20" t="s">
        <v>3789</v>
      </c>
      <c r="R655" s="20" t="s">
        <v>3790</v>
      </c>
      <c r="S655" s="20"/>
      <c r="T655" s="20" t="s">
        <v>6318</v>
      </c>
      <c r="U655" s="20"/>
      <c r="V655" s="20"/>
    </row>
    <row r="656" spans="2:22" ht="17">
      <c r="B656" s="29" t="s">
        <v>3791</v>
      </c>
      <c r="C656" s="12" t="s">
        <v>20</v>
      </c>
      <c r="D656" s="30" t="s">
        <v>185</v>
      </c>
      <c r="E656" s="31">
        <v>880000</v>
      </c>
      <c r="F656" s="32">
        <f>Table2[[#This Row],[Price]]/Table2[[#This Row],[Tot Ht Area]]</f>
        <v>205.99250936329588</v>
      </c>
      <c r="G656" s="33">
        <v>4272</v>
      </c>
      <c r="H656" s="33">
        <v>4272</v>
      </c>
      <c r="I656" s="34" t="s">
        <v>3792</v>
      </c>
      <c r="J656" s="35">
        <v>2015</v>
      </c>
      <c r="K656" s="30" t="s">
        <v>24</v>
      </c>
      <c r="L656" s="30"/>
      <c r="M656" s="30" t="s">
        <v>3793</v>
      </c>
      <c r="N656" s="20" t="s">
        <v>1598</v>
      </c>
      <c r="O656" s="20" t="s">
        <v>27</v>
      </c>
      <c r="P656" s="21" t="s">
        <v>3794</v>
      </c>
      <c r="Q656" s="20"/>
      <c r="R656" s="20" t="s">
        <v>3795</v>
      </c>
      <c r="S656" s="20"/>
      <c r="T656" s="20"/>
      <c r="U656" s="20"/>
      <c r="V656" s="20"/>
    </row>
    <row r="657" spans="2:22" ht="17">
      <c r="B657" s="29" t="s">
        <v>3796</v>
      </c>
      <c r="C657" s="12" t="s">
        <v>20</v>
      </c>
      <c r="D657" s="30" t="s">
        <v>995</v>
      </c>
      <c r="E657" s="31">
        <v>2250000</v>
      </c>
      <c r="F657" s="32">
        <f>Table2[[#This Row],[Price]]/Table2[[#This Row],[Tot Ht Area]]</f>
        <v>440.48551292090838</v>
      </c>
      <c r="G657" s="33">
        <v>5108</v>
      </c>
      <c r="H657" s="33">
        <v>5108</v>
      </c>
      <c r="I657" s="34" t="s">
        <v>3797</v>
      </c>
      <c r="J657" s="35">
        <v>2017</v>
      </c>
      <c r="K657" s="30" t="s">
        <v>24</v>
      </c>
      <c r="L657" s="30"/>
      <c r="M657" s="30" t="s">
        <v>3798</v>
      </c>
      <c r="N657" s="20" t="s">
        <v>1598</v>
      </c>
      <c r="O657" s="20" t="s">
        <v>27</v>
      </c>
      <c r="P657" s="21" t="s">
        <v>3799</v>
      </c>
      <c r="Q657" s="20"/>
      <c r="R657" s="20" t="s">
        <v>3800</v>
      </c>
      <c r="S657" s="20"/>
      <c r="T657" s="20"/>
      <c r="U657" s="20"/>
      <c r="V657" s="20"/>
    </row>
    <row r="658" spans="2:22" ht="34">
      <c r="B658" s="29" t="s">
        <v>3801</v>
      </c>
      <c r="C658" s="12" t="s">
        <v>20</v>
      </c>
      <c r="D658" s="30" t="s">
        <v>314</v>
      </c>
      <c r="E658" s="31">
        <v>100</v>
      </c>
      <c r="F658" s="32" t="e">
        <f>Table2[[#This Row],[Price]]/Table2[[#This Row],[Tot Ht Area]]</f>
        <v>#DIV/0!</v>
      </c>
      <c r="G658" s="33"/>
      <c r="H658" s="33">
        <v>85423</v>
      </c>
      <c r="I658" s="34" t="s">
        <v>3802</v>
      </c>
      <c r="J658" s="35">
        <v>2001</v>
      </c>
      <c r="K658" s="30" t="s">
        <v>24</v>
      </c>
      <c r="L658" s="30"/>
      <c r="M658" s="30" t="s">
        <v>3803</v>
      </c>
      <c r="N658" s="20" t="s">
        <v>1598</v>
      </c>
      <c r="O658" s="20" t="s">
        <v>27</v>
      </c>
      <c r="P658" s="21" t="s">
        <v>3804</v>
      </c>
      <c r="Q658" s="20" t="s">
        <v>3805</v>
      </c>
      <c r="R658" s="20" t="s">
        <v>3806</v>
      </c>
      <c r="S658" s="20"/>
      <c r="T658" s="20" t="s">
        <v>6318</v>
      </c>
      <c r="U658" s="20"/>
      <c r="V658" s="20"/>
    </row>
    <row r="659" spans="2:22" ht="32">
      <c r="B659" s="29" t="s">
        <v>3807</v>
      </c>
      <c r="C659" s="12" t="s">
        <v>20</v>
      </c>
      <c r="D659" s="30" t="s">
        <v>877</v>
      </c>
      <c r="E659" s="31">
        <v>1215000</v>
      </c>
      <c r="F659" s="32">
        <f>Table2[[#This Row],[Price]]/Table2[[#This Row],[Tot Ht Area]]</f>
        <v>337.12541620421752</v>
      </c>
      <c r="G659" s="33">
        <v>3604</v>
      </c>
      <c r="H659" s="33">
        <v>3604</v>
      </c>
      <c r="I659" s="34" t="s">
        <v>3808</v>
      </c>
      <c r="J659" s="35">
        <v>2004</v>
      </c>
      <c r="K659" s="30" t="s">
        <v>172</v>
      </c>
      <c r="L659" s="30"/>
      <c r="M659" s="30" t="s">
        <v>3809</v>
      </c>
      <c r="N659" s="20" t="s">
        <v>1598</v>
      </c>
      <c r="O659" s="20" t="s">
        <v>27</v>
      </c>
      <c r="P659" s="21" t="s">
        <v>3810</v>
      </c>
      <c r="Q659" s="20"/>
      <c r="R659" s="20" t="s">
        <v>3811</v>
      </c>
      <c r="S659" s="20"/>
      <c r="T659" s="20"/>
      <c r="U659" s="20"/>
      <c r="V659" s="20"/>
    </row>
    <row r="660" spans="2:22" ht="17">
      <c r="B660" s="29" t="s">
        <v>3812</v>
      </c>
      <c r="C660" s="12" t="s">
        <v>20</v>
      </c>
      <c r="D660" s="30" t="s">
        <v>336</v>
      </c>
      <c r="E660" s="31">
        <v>617500</v>
      </c>
      <c r="F660" s="32">
        <f>Table2[[#This Row],[Price]]/Table2[[#This Row],[Tot Ht Area]]</f>
        <v>300.19445794846865</v>
      </c>
      <c r="G660" s="33">
        <v>2057</v>
      </c>
      <c r="H660" s="33">
        <v>2057</v>
      </c>
      <c r="I660" s="34" t="s">
        <v>3813</v>
      </c>
      <c r="J660" s="35">
        <v>2004</v>
      </c>
      <c r="K660" s="30" t="s">
        <v>172</v>
      </c>
      <c r="L660" s="30"/>
      <c r="M660" s="30" t="s">
        <v>3814</v>
      </c>
      <c r="N660" s="20" t="s">
        <v>1598</v>
      </c>
      <c r="O660" s="20" t="s">
        <v>27</v>
      </c>
      <c r="P660" s="21" t="s">
        <v>3815</v>
      </c>
      <c r="Q660" s="20"/>
      <c r="R660" s="20" t="s">
        <v>3816</v>
      </c>
      <c r="S660" s="20"/>
      <c r="T660" s="20"/>
      <c r="U660" s="20"/>
      <c r="V660" s="20"/>
    </row>
    <row r="661" spans="2:22" ht="17">
      <c r="B661" s="29" t="s">
        <v>3817</v>
      </c>
      <c r="C661" s="12" t="s">
        <v>20</v>
      </c>
      <c r="D661" s="30" t="s">
        <v>474</v>
      </c>
      <c r="E661" s="31">
        <v>1470600</v>
      </c>
      <c r="F661" s="32">
        <f>Table2[[#This Row],[Price]]/Table2[[#This Row],[Tot Ht Area]]</f>
        <v>300</v>
      </c>
      <c r="G661" s="33">
        <v>4902</v>
      </c>
      <c r="H661" s="33">
        <v>4902</v>
      </c>
      <c r="I661" s="34" t="s">
        <v>3818</v>
      </c>
      <c r="J661" s="35">
        <v>2006</v>
      </c>
      <c r="K661" s="30" t="s">
        <v>172</v>
      </c>
      <c r="L661" s="30"/>
      <c r="M661" s="30" t="s">
        <v>3819</v>
      </c>
      <c r="N661" s="20" t="s">
        <v>1598</v>
      </c>
      <c r="O661" s="20" t="s">
        <v>27</v>
      </c>
      <c r="P661" s="21" t="s">
        <v>3820</v>
      </c>
      <c r="Q661" s="20"/>
      <c r="R661" s="20" t="s">
        <v>3821</v>
      </c>
      <c r="S661" s="20"/>
      <c r="T661" s="20"/>
      <c r="U661" s="20"/>
      <c r="V661" s="20"/>
    </row>
    <row r="662" spans="2:22" ht="17">
      <c r="B662" s="29" t="s">
        <v>3822</v>
      </c>
      <c r="C662" s="12" t="s">
        <v>20</v>
      </c>
      <c r="D662" s="30" t="s">
        <v>55</v>
      </c>
      <c r="E662" s="31">
        <v>599000</v>
      </c>
      <c r="F662" s="32" t="e">
        <f>Table2[[#This Row],[Price]]/Table2[[#This Row],[Tot Ht Area]]</f>
        <v>#DIV/0!</v>
      </c>
      <c r="G662" s="33"/>
      <c r="H662" s="33">
        <v>2055</v>
      </c>
      <c r="I662" s="34" t="s">
        <v>3823</v>
      </c>
      <c r="J662" s="35">
        <v>2006</v>
      </c>
      <c r="K662" s="30" t="s">
        <v>172</v>
      </c>
      <c r="L662" s="30"/>
      <c r="M662" s="30" t="s">
        <v>3824</v>
      </c>
      <c r="N662" s="20" t="s">
        <v>1598</v>
      </c>
      <c r="O662" s="20" t="s">
        <v>27</v>
      </c>
      <c r="P662" s="21" t="s">
        <v>3825</v>
      </c>
      <c r="Q662" s="20"/>
      <c r="R662" s="20" t="s">
        <v>3826</v>
      </c>
      <c r="S662" s="20"/>
      <c r="T662" s="20"/>
      <c r="U662" s="20"/>
      <c r="V662" s="20"/>
    </row>
    <row r="663" spans="2:22" ht="34">
      <c r="B663" s="29" t="s">
        <v>3827</v>
      </c>
      <c r="C663" s="12" t="s">
        <v>20</v>
      </c>
      <c r="D663" s="30" t="s">
        <v>356</v>
      </c>
      <c r="E663" s="31">
        <v>850000</v>
      </c>
      <c r="F663" s="32" t="e">
        <f>Table2[[#This Row],[Price]]/Table2[[#This Row],[Tot Ht Area]]</f>
        <v>#DIV/0!</v>
      </c>
      <c r="G663" s="33"/>
      <c r="H663" s="33">
        <v>2688</v>
      </c>
      <c r="I663" s="34" t="s">
        <v>3828</v>
      </c>
      <c r="J663" s="35">
        <v>2006</v>
      </c>
      <c r="K663" s="30" t="s">
        <v>172</v>
      </c>
      <c r="L663" s="30"/>
      <c r="M663" s="30" t="s">
        <v>3829</v>
      </c>
      <c r="N663" s="20" t="s">
        <v>1598</v>
      </c>
      <c r="O663" s="20" t="s">
        <v>27</v>
      </c>
      <c r="P663" s="21" t="s">
        <v>3830</v>
      </c>
      <c r="Q663" s="20"/>
      <c r="R663" s="20" t="s">
        <v>3831</v>
      </c>
      <c r="S663" s="20"/>
      <c r="T663" s="20"/>
      <c r="U663" s="20"/>
      <c r="V663" s="20"/>
    </row>
    <row r="664" spans="2:22" ht="32">
      <c r="B664" s="29" t="s">
        <v>3832</v>
      </c>
      <c r="C664" s="12" t="s">
        <v>20</v>
      </c>
      <c r="D664" s="30" t="s">
        <v>108</v>
      </c>
      <c r="E664" s="31">
        <v>800000</v>
      </c>
      <c r="F664" s="32" t="e">
        <f>Table2[[#This Row],[Price]]/Table2[[#This Row],[Tot Ht Area]]</f>
        <v>#DIV/0!</v>
      </c>
      <c r="G664" s="33"/>
      <c r="H664" s="33">
        <v>2307</v>
      </c>
      <c r="I664" s="34" t="s">
        <v>3833</v>
      </c>
      <c r="J664" s="35">
        <v>2006</v>
      </c>
      <c r="K664" s="30" t="s">
        <v>172</v>
      </c>
      <c r="L664" s="30"/>
      <c r="M664" s="30" t="s">
        <v>3834</v>
      </c>
      <c r="N664" s="20" t="s">
        <v>1598</v>
      </c>
      <c r="O664" s="20" t="s">
        <v>27</v>
      </c>
      <c r="P664" s="21" t="s">
        <v>3835</v>
      </c>
      <c r="Q664" s="20"/>
      <c r="R664" s="20" t="s">
        <v>3836</v>
      </c>
      <c r="S664" s="20"/>
      <c r="T664" s="20"/>
      <c r="U664" s="20"/>
      <c r="V664" s="20"/>
    </row>
    <row r="665" spans="2:22" ht="32">
      <c r="B665" s="29" t="s">
        <v>3837</v>
      </c>
      <c r="C665" s="12" t="s">
        <v>20</v>
      </c>
      <c r="D665" s="30" t="s">
        <v>124</v>
      </c>
      <c r="E665" s="31">
        <v>595000</v>
      </c>
      <c r="F665" s="32">
        <f>Table2[[#This Row],[Price]]/Table2[[#This Row],[Tot Ht Area]]</f>
        <v>270.20890099909172</v>
      </c>
      <c r="G665" s="33">
        <v>2202</v>
      </c>
      <c r="H665" s="33">
        <v>2202</v>
      </c>
      <c r="I665" s="34" t="s">
        <v>3838</v>
      </c>
      <c r="J665" s="35">
        <v>2006</v>
      </c>
      <c r="K665" s="30" t="s">
        <v>172</v>
      </c>
      <c r="L665" s="30"/>
      <c r="M665" s="30" t="s">
        <v>3839</v>
      </c>
      <c r="N665" s="20" t="s">
        <v>1598</v>
      </c>
      <c r="O665" s="20" t="s">
        <v>27</v>
      </c>
      <c r="P665" s="21" t="s">
        <v>3840</v>
      </c>
      <c r="Q665" s="20"/>
      <c r="R665" s="20" t="s">
        <v>3841</v>
      </c>
      <c r="S665" s="20"/>
      <c r="T665" s="20"/>
      <c r="U665" s="20"/>
      <c r="V665" s="20"/>
    </row>
    <row r="666" spans="2:22" ht="17">
      <c r="B666" s="29" t="s">
        <v>3842</v>
      </c>
      <c r="C666" s="12" t="s">
        <v>20</v>
      </c>
      <c r="D666" s="30" t="s">
        <v>450</v>
      </c>
      <c r="E666" s="31">
        <v>100</v>
      </c>
      <c r="F666" s="32">
        <f>Table2[[#This Row],[Price]]/Table2[[#This Row],[Tot Ht Area]]</f>
        <v>1.4285714285714285E-2</v>
      </c>
      <c r="G666" s="33">
        <v>7000</v>
      </c>
      <c r="H666" s="33">
        <v>7000</v>
      </c>
      <c r="I666" s="34" t="s">
        <v>3843</v>
      </c>
      <c r="J666" s="35">
        <v>2003</v>
      </c>
      <c r="K666" s="30" t="s">
        <v>172</v>
      </c>
      <c r="L666" s="30"/>
      <c r="M666" s="30" t="s">
        <v>3844</v>
      </c>
      <c r="N666" s="20" t="s">
        <v>1598</v>
      </c>
      <c r="O666" s="20" t="s">
        <v>27</v>
      </c>
      <c r="P666" s="21" t="s">
        <v>3272</v>
      </c>
      <c r="Q666" s="20"/>
      <c r="R666" s="20" t="s">
        <v>3845</v>
      </c>
      <c r="S666" s="20"/>
      <c r="T666" s="20" t="s">
        <v>6318</v>
      </c>
      <c r="U666" s="20"/>
      <c r="V666" s="20"/>
    </row>
    <row r="667" spans="2:22" ht="34">
      <c r="B667" s="29" t="s">
        <v>3846</v>
      </c>
      <c r="C667" s="12" t="s">
        <v>20</v>
      </c>
      <c r="D667" s="30" t="s">
        <v>2642</v>
      </c>
      <c r="E667" s="31">
        <v>7500000</v>
      </c>
      <c r="F667" s="32" t="e">
        <f>Table2[[#This Row],[Price]]/Table2[[#This Row],[Tot Ht Area]]</f>
        <v>#DIV/0!</v>
      </c>
      <c r="G667" s="33"/>
      <c r="H667" s="33">
        <v>37776</v>
      </c>
      <c r="I667" s="34" t="s">
        <v>3847</v>
      </c>
      <c r="J667" s="35">
        <v>2008</v>
      </c>
      <c r="K667" s="30" t="s">
        <v>1585</v>
      </c>
      <c r="L667" s="30"/>
      <c r="M667" s="30" t="s">
        <v>3848</v>
      </c>
      <c r="N667" s="20" t="s">
        <v>1598</v>
      </c>
      <c r="O667" s="20" t="s">
        <v>27</v>
      </c>
      <c r="P667" s="21" t="s">
        <v>3849</v>
      </c>
      <c r="Q667" s="20"/>
      <c r="R667" s="20" t="s">
        <v>3850</v>
      </c>
      <c r="S667" s="20"/>
      <c r="T667" s="20"/>
      <c r="U667" s="20"/>
      <c r="V667" s="20"/>
    </row>
    <row r="668" spans="2:22" ht="17">
      <c r="B668" s="29" t="s">
        <v>3851</v>
      </c>
      <c r="C668" s="12" t="s">
        <v>20</v>
      </c>
      <c r="D668" s="30" t="s">
        <v>73</v>
      </c>
      <c r="E668" s="31">
        <v>4300000</v>
      </c>
      <c r="F668" s="32" t="e">
        <f>Table2[[#This Row],[Price]]/Table2[[#This Row],[Tot Ht Area]]</f>
        <v>#DIV/0!</v>
      </c>
      <c r="G668" s="33"/>
      <c r="H668" s="33">
        <v>16364</v>
      </c>
      <c r="I668" s="34" t="s">
        <v>3852</v>
      </c>
      <c r="J668" s="35">
        <v>2008</v>
      </c>
      <c r="K668" s="30" t="s">
        <v>1630</v>
      </c>
      <c r="L668" s="30"/>
      <c r="M668" s="30" t="s">
        <v>3853</v>
      </c>
      <c r="N668" s="20" t="s">
        <v>1598</v>
      </c>
      <c r="O668" s="20" t="s">
        <v>27</v>
      </c>
      <c r="P668" s="21" t="s">
        <v>3854</v>
      </c>
      <c r="Q668" s="20"/>
      <c r="R668" s="20" t="s">
        <v>3855</v>
      </c>
      <c r="S668" s="20"/>
      <c r="T668" s="20"/>
      <c r="U668" s="20"/>
      <c r="V668" s="20"/>
    </row>
    <row r="669" spans="2:22" ht="17">
      <c r="B669" s="29" t="s">
        <v>3856</v>
      </c>
      <c r="C669" s="12" t="s">
        <v>20</v>
      </c>
      <c r="D669" s="30" t="s">
        <v>1441</v>
      </c>
      <c r="E669" s="31">
        <v>100</v>
      </c>
      <c r="F669" s="32" t="e">
        <f>Table2[[#This Row],[Price]]/Table2[[#This Row],[Tot Ht Area]]</f>
        <v>#DIV/0!</v>
      </c>
      <c r="G669" s="33"/>
      <c r="H669" s="33">
        <v>113384</v>
      </c>
      <c r="I669" s="34" t="s">
        <v>3857</v>
      </c>
      <c r="J669" s="35">
        <v>2019</v>
      </c>
      <c r="K669" s="30" t="s">
        <v>3484</v>
      </c>
      <c r="L669" s="30"/>
      <c r="M669" s="30" t="s">
        <v>3858</v>
      </c>
      <c r="N669" s="20" t="s">
        <v>1598</v>
      </c>
      <c r="O669" s="20" t="s">
        <v>27</v>
      </c>
      <c r="P669" s="21" t="s">
        <v>3859</v>
      </c>
      <c r="Q669" s="20"/>
      <c r="R669" s="20" t="s">
        <v>3860</v>
      </c>
      <c r="S669" s="20"/>
      <c r="T669" s="20" t="s">
        <v>6318</v>
      </c>
      <c r="U669" s="20"/>
      <c r="V669" s="20"/>
    </row>
    <row r="670" spans="2:22" ht="32">
      <c r="B670" s="29" t="s">
        <v>3861</v>
      </c>
      <c r="C670" s="12" t="s">
        <v>20</v>
      </c>
      <c r="D670" s="30" t="s">
        <v>428</v>
      </c>
      <c r="E670" s="31">
        <v>21590000</v>
      </c>
      <c r="F670" s="32" t="e">
        <f>Table2[[#This Row],[Price]]/Table2[[#This Row],[Tot Ht Area]]</f>
        <v>#DIV/0!</v>
      </c>
      <c r="G670" s="33"/>
      <c r="H670" s="33">
        <v>104580</v>
      </c>
      <c r="I670" s="34" t="s">
        <v>3665</v>
      </c>
      <c r="J670" s="35">
        <v>1996</v>
      </c>
      <c r="K670" s="30" t="s">
        <v>3666</v>
      </c>
      <c r="L670" s="30"/>
      <c r="M670" s="30" t="s">
        <v>3862</v>
      </c>
      <c r="N670" s="20" t="s">
        <v>1598</v>
      </c>
      <c r="O670" s="20" t="s">
        <v>27</v>
      </c>
      <c r="P670" s="21" t="s">
        <v>3863</v>
      </c>
      <c r="Q670" s="20"/>
      <c r="R670" s="20" t="s">
        <v>3864</v>
      </c>
      <c r="S670" s="20"/>
      <c r="T670" s="20"/>
      <c r="U670" s="20"/>
      <c r="V670" s="20"/>
    </row>
    <row r="671" spans="2:22" ht="17">
      <c r="B671" s="29" t="s">
        <v>3865</v>
      </c>
      <c r="C671" s="12" t="s">
        <v>20</v>
      </c>
      <c r="D671" s="30" t="s">
        <v>285</v>
      </c>
      <c r="E671" s="31">
        <v>100</v>
      </c>
      <c r="F671" s="32">
        <f>Table2[[#This Row],[Price]]/Table2[[#This Row],[Tot Ht Area]]</f>
        <v>2.3651844843897825E-2</v>
      </c>
      <c r="G671" s="33">
        <v>4228</v>
      </c>
      <c r="H671" s="33">
        <v>4228</v>
      </c>
      <c r="I671" s="34" t="s">
        <v>3866</v>
      </c>
      <c r="J671" s="35">
        <v>2004</v>
      </c>
      <c r="K671" s="30" t="s">
        <v>24</v>
      </c>
      <c r="L671" s="30"/>
      <c r="M671" s="30" t="s">
        <v>3867</v>
      </c>
      <c r="N671" s="20" t="s">
        <v>1598</v>
      </c>
      <c r="O671" s="20" t="s">
        <v>27</v>
      </c>
      <c r="P671" s="21" t="s">
        <v>3868</v>
      </c>
      <c r="Q671" s="20"/>
      <c r="R671" s="20" t="s">
        <v>3869</v>
      </c>
      <c r="S671" s="20"/>
      <c r="T671" s="20" t="s">
        <v>6318</v>
      </c>
      <c r="U671" s="20"/>
      <c r="V671" s="20"/>
    </row>
    <row r="672" spans="2:22" ht="32">
      <c r="B672" s="29" t="s">
        <v>3870</v>
      </c>
      <c r="C672" s="12" t="s">
        <v>20</v>
      </c>
      <c r="D672" s="30" t="s">
        <v>231</v>
      </c>
      <c r="E672" s="31">
        <v>100</v>
      </c>
      <c r="F672" s="32">
        <f>Table2[[#This Row],[Price]]/Table2[[#This Row],[Tot Ht Area]]</f>
        <v>1.2262415695892091E-2</v>
      </c>
      <c r="G672" s="33">
        <v>8155</v>
      </c>
      <c r="H672" s="33">
        <v>8155</v>
      </c>
      <c r="I672" s="34" t="s">
        <v>3871</v>
      </c>
      <c r="J672" s="35">
        <v>2021</v>
      </c>
      <c r="K672" s="30" t="s">
        <v>24</v>
      </c>
      <c r="L672" s="30"/>
      <c r="M672" s="30" t="s">
        <v>3872</v>
      </c>
      <c r="N672" s="20" t="s">
        <v>1598</v>
      </c>
      <c r="O672" s="20" t="s">
        <v>27</v>
      </c>
      <c r="P672" s="21" t="s">
        <v>3873</v>
      </c>
      <c r="Q672" s="20"/>
      <c r="R672" s="20" t="s">
        <v>3874</v>
      </c>
      <c r="S672" s="20"/>
      <c r="T672" s="20" t="s">
        <v>6318</v>
      </c>
      <c r="U672" s="20"/>
      <c r="V672" s="20"/>
    </row>
    <row r="673" spans="2:22" ht="17">
      <c r="B673" s="29" t="s">
        <v>3875</v>
      </c>
      <c r="C673" s="12" t="s">
        <v>20</v>
      </c>
      <c r="D673" s="30" t="s">
        <v>231</v>
      </c>
      <c r="E673" s="31">
        <v>1550000</v>
      </c>
      <c r="F673" s="32">
        <f>Table2[[#This Row],[Price]]/Table2[[#This Row],[Tot Ht Area]]</f>
        <v>108.11941964285714</v>
      </c>
      <c r="G673" s="33">
        <v>14336</v>
      </c>
      <c r="H673" s="33">
        <v>14336</v>
      </c>
      <c r="I673" s="34" t="s">
        <v>3876</v>
      </c>
      <c r="J673" s="35">
        <v>2023</v>
      </c>
      <c r="K673" s="30" t="s">
        <v>24</v>
      </c>
      <c r="L673" s="30"/>
      <c r="M673" s="30" t="s">
        <v>3877</v>
      </c>
      <c r="N673" s="20" t="s">
        <v>1598</v>
      </c>
      <c r="O673" s="20" t="s">
        <v>27</v>
      </c>
      <c r="P673" s="21" t="s">
        <v>3878</v>
      </c>
      <c r="Q673" s="20"/>
      <c r="R673" s="20" t="s">
        <v>3879</v>
      </c>
      <c r="S673" s="20"/>
      <c r="T673" s="20"/>
      <c r="U673" s="20"/>
      <c r="V673" s="20"/>
    </row>
    <row r="674" spans="2:22" ht="17">
      <c r="B674" s="29" t="s">
        <v>3880</v>
      </c>
      <c r="C674" s="12" t="s">
        <v>20</v>
      </c>
      <c r="D674" s="30" t="s">
        <v>73</v>
      </c>
      <c r="E674" s="31">
        <v>1550000</v>
      </c>
      <c r="F674" s="32">
        <f>Table2[[#This Row],[Price]]/Table2[[#This Row],[Tot Ht Area]]</f>
        <v>347.22222222222223</v>
      </c>
      <c r="G674" s="33">
        <v>4464</v>
      </c>
      <c r="H674" s="33">
        <v>4464</v>
      </c>
      <c r="I674" s="34" t="s">
        <v>3881</v>
      </c>
      <c r="J674" s="35">
        <v>2015</v>
      </c>
      <c r="K674" s="30" t="s">
        <v>24</v>
      </c>
      <c r="L674" s="30"/>
      <c r="M674" s="30" t="s">
        <v>3882</v>
      </c>
      <c r="N674" s="20" t="s">
        <v>1598</v>
      </c>
      <c r="O674" s="20" t="s">
        <v>27</v>
      </c>
      <c r="P674" s="21" t="s">
        <v>3883</v>
      </c>
      <c r="Q674" s="20"/>
      <c r="R674" s="20" t="s">
        <v>3884</v>
      </c>
      <c r="S674" s="20"/>
      <c r="T674" s="20"/>
      <c r="U674" s="20"/>
      <c r="V674" s="20"/>
    </row>
    <row r="675" spans="2:22" ht="32">
      <c r="B675" s="29" t="s">
        <v>3885</v>
      </c>
      <c r="C675" s="12" t="s">
        <v>20</v>
      </c>
      <c r="D675" s="30" t="s">
        <v>591</v>
      </c>
      <c r="E675" s="31">
        <v>1250000</v>
      </c>
      <c r="F675" s="32" t="e">
        <f>Table2[[#This Row],[Price]]/Table2[[#This Row],[Tot Ht Area]]</f>
        <v>#DIV/0!</v>
      </c>
      <c r="G675" s="33"/>
      <c r="H675" s="33">
        <v>2198</v>
      </c>
      <c r="I675" s="34" t="s">
        <v>3886</v>
      </c>
      <c r="J675" s="35">
        <v>1978</v>
      </c>
      <c r="K675" s="30" t="s">
        <v>1320</v>
      </c>
      <c r="L675" s="30"/>
      <c r="M675" s="30" t="s">
        <v>3887</v>
      </c>
      <c r="N675" s="20" t="s">
        <v>1598</v>
      </c>
      <c r="O675" s="20" t="s">
        <v>27</v>
      </c>
      <c r="P675" s="21" t="s">
        <v>3888</v>
      </c>
      <c r="Q675" s="20"/>
      <c r="R675" s="20" t="s">
        <v>3889</v>
      </c>
      <c r="S675" s="20"/>
      <c r="T675" s="20"/>
      <c r="U675" s="20"/>
      <c r="V675" s="20"/>
    </row>
    <row r="676" spans="2:22" ht="32">
      <c r="B676" s="29" t="s">
        <v>3890</v>
      </c>
      <c r="C676" s="12" t="s">
        <v>20</v>
      </c>
      <c r="D676" s="30" t="s">
        <v>591</v>
      </c>
      <c r="E676" s="31">
        <v>1250000</v>
      </c>
      <c r="F676" s="32" t="e">
        <f>Table2[[#This Row],[Price]]/Table2[[#This Row],[Tot Ht Area]]</f>
        <v>#DIV/0!</v>
      </c>
      <c r="G676" s="33"/>
      <c r="H676" s="33">
        <v>3198</v>
      </c>
      <c r="I676" s="34" t="s">
        <v>3886</v>
      </c>
      <c r="J676" s="35">
        <v>1966</v>
      </c>
      <c r="K676" s="30" t="s">
        <v>1320</v>
      </c>
      <c r="L676" s="30"/>
      <c r="M676" s="30" t="s">
        <v>3891</v>
      </c>
      <c r="N676" s="20" t="s">
        <v>1598</v>
      </c>
      <c r="O676" s="20" t="s">
        <v>27</v>
      </c>
      <c r="P676" s="21" t="s">
        <v>3888</v>
      </c>
      <c r="Q676" s="20"/>
      <c r="R676" s="20" t="s">
        <v>3892</v>
      </c>
      <c r="S676" s="20"/>
      <c r="T676" s="20"/>
      <c r="U676" s="20"/>
      <c r="V676" s="20"/>
    </row>
    <row r="677" spans="2:22" ht="32">
      <c r="B677" s="29" t="s">
        <v>3893</v>
      </c>
      <c r="C677" s="12" t="s">
        <v>20</v>
      </c>
      <c r="D677" s="30" t="s">
        <v>745</v>
      </c>
      <c r="E677" s="31">
        <v>999000</v>
      </c>
      <c r="F677" s="32">
        <f>Table2[[#This Row],[Price]]/Table2[[#This Row],[Tot Ht Area]]</f>
        <v>973.68421052631584</v>
      </c>
      <c r="G677" s="33">
        <v>1026</v>
      </c>
      <c r="H677" s="33">
        <v>3936</v>
      </c>
      <c r="I677" s="34" t="s">
        <v>3894</v>
      </c>
      <c r="J677" s="35">
        <v>2007</v>
      </c>
      <c r="K677" s="30" t="s">
        <v>172</v>
      </c>
      <c r="L677" s="30"/>
      <c r="M677" s="30" t="s">
        <v>3895</v>
      </c>
      <c r="N677" s="20" t="s">
        <v>1598</v>
      </c>
      <c r="O677" s="20" t="s">
        <v>27</v>
      </c>
      <c r="P677" s="21" t="s">
        <v>3896</v>
      </c>
      <c r="Q677" s="20"/>
      <c r="R677" s="20" t="s">
        <v>3897</v>
      </c>
      <c r="S677" s="20"/>
      <c r="T677" s="20"/>
      <c r="U677" s="20"/>
      <c r="V677" s="20"/>
    </row>
    <row r="678" spans="2:22" ht="17">
      <c r="B678" s="29" t="s">
        <v>3898</v>
      </c>
      <c r="C678" s="12" t="s">
        <v>20</v>
      </c>
      <c r="D678" s="30" t="s">
        <v>1490</v>
      </c>
      <c r="E678" s="31">
        <v>330000</v>
      </c>
      <c r="F678" s="32" t="e">
        <f>Table2[[#This Row],[Price]]/Table2[[#This Row],[Tot Ht Area]]</f>
        <v>#DIV/0!</v>
      </c>
      <c r="G678" s="33"/>
      <c r="H678" s="33">
        <v>2029</v>
      </c>
      <c r="I678" s="34" t="s">
        <v>3899</v>
      </c>
      <c r="J678" s="35">
        <v>1989</v>
      </c>
      <c r="K678" s="30" t="s">
        <v>172</v>
      </c>
      <c r="L678" s="30"/>
      <c r="M678" s="30" t="s">
        <v>3900</v>
      </c>
      <c r="N678" s="20" t="s">
        <v>1598</v>
      </c>
      <c r="O678" s="20" t="s">
        <v>27</v>
      </c>
      <c r="P678" s="21" t="s">
        <v>3901</v>
      </c>
      <c r="Q678" s="20"/>
      <c r="R678" s="20" t="s">
        <v>3902</v>
      </c>
      <c r="S678" s="20"/>
      <c r="T678" s="20"/>
      <c r="U678" s="20"/>
      <c r="V678" s="20"/>
    </row>
    <row r="679" spans="2:22" ht="17">
      <c r="B679" s="29" t="s">
        <v>3903</v>
      </c>
      <c r="C679" s="12" t="s">
        <v>20</v>
      </c>
      <c r="D679" s="30" t="s">
        <v>231</v>
      </c>
      <c r="E679" s="31">
        <v>860000</v>
      </c>
      <c r="F679" s="32">
        <f>Table2[[#This Row],[Price]]/Table2[[#This Row],[Tot Ht Area]]</f>
        <v>220.2304737516005</v>
      </c>
      <c r="G679" s="33">
        <v>3905</v>
      </c>
      <c r="H679" s="33">
        <v>3905</v>
      </c>
      <c r="I679" s="34" t="s">
        <v>3904</v>
      </c>
      <c r="J679" s="35">
        <v>2006</v>
      </c>
      <c r="K679" s="30" t="s">
        <v>172</v>
      </c>
      <c r="L679" s="30"/>
      <c r="M679" s="30" t="s">
        <v>3905</v>
      </c>
      <c r="N679" s="20" t="s">
        <v>1598</v>
      </c>
      <c r="O679" s="20" t="s">
        <v>27</v>
      </c>
      <c r="P679" s="21" t="s">
        <v>2676</v>
      </c>
      <c r="Q679" s="20" t="s">
        <v>3906</v>
      </c>
      <c r="R679" s="20" t="s">
        <v>3907</v>
      </c>
      <c r="S679" s="20"/>
      <c r="T679" s="20"/>
      <c r="U679" s="20"/>
      <c r="V679" s="20"/>
    </row>
    <row r="680" spans="2:22" ht="17">
      <c r="B680" s="29" t="s">
        <v>3908</v>
      </c>
      <c r="C680" s="12" t="s">
        <v>20</v>
      </c>
      <c r="D680" s="30" t="s">
        <v>428</v>
      </c>
      <c r="E680" s="31">
        <v>950000</v>
      </c>
      <c r="F680" s="32">
        <f>Table2[[#This Row],[Price]]/Table2[[#This Row],[Tot Ht Area]]</f>
        <v>243.27784891165172</v>
      </c>
      <c r="G680" s="33">
        <v>3905</v>
      </c>
      <c r="H680" s="33">
        <v>3905</v>
      </c>
      <c r="I680" s="34" t="s">
        <v>3909</v>
      </c>
      <c r="J680" s="35">
        <v>2006</v>
      </c>
      <c r="K680" s="30" t="s">
        <v>172</v>
      </c>
      <c r="L680" s="30"/>
      <c r="M680" s="30" t="s">
        <v>3910</v>
      </c>
      <c r="N680" s="20" t="s">
        <v>1598</v>
      </c>
      <c r="O680" s="20" t="s">
        <v>27</v>
      </c>
      <c r="P680" s="21" t="s">
        <v>3911</v>
      </c>
      <c r="Q680" s="20"/>
      <c r="R680" s="20" t="s">
        <v>3912</v>
      </c>
      <c r="S680" s="20"/>
      <c r="T680" s="20"/>
      <c r="U680" s="20"/>
      <c r="V680" s="20"/>
    </row>
    <row r="681" spans="2:22" ht="17">
      <c r="B681" s="29" t="s">
        <v>3913</v>
      </c>
      <c r="C681" s="12" t="s">
        <v>20</v>
      </c>
      <c r="D681" s="30" t="s">
        <v>2642</v>
      </c>
      <c r="E681" s="31">
        <v>4580000</v>
      </c>
      <c r="F681" s="32">
        <f>Table2[[#This Row],[Price]]/Table2[[#This Row],[Tot Ht Area]]</f>
        <v>467.34693877551018</v>
      </c>
      <c r="G681" s="33">
        <v>9800</v>
      </c>
      <c r="H681" s="33">
        <v>10592</v>
      </c>
      <c r="I681" s="34" t="s">
        <v>3914</v>
      </c>
      <c r="J681" s="35">
        <v>2021</v>
      </c>
      <c r="K681" s="30" t="s">
        <v>1630</v>
      </c>
      <c r="L681" s="30"/>
      <c r="M681" s="30" t="s">
        <v>3915</v>
      </c>
      <c r="N681" s="20" t="s">
        <v>1598</v>
      </c>
      <c r="O681" s="20" t="s">
        <v>27</v>
      </c>
      <c r="P681" s="21" t="s">
        <v>3916</v>
      </c>
      <c r="Q681" s="20"/>
      <c r="R681" s="20" t="s">
        <v>3917</v>
      </c>
      <c r="S681" s="20"/>
      <c r="T681" s="20"/>
      <c r="U681" s="20"/>
      <c r="V681" s="20"/>
    </row>
    <row r="682" spans="2:22" ht="32">
      <c r="B682" s="29" t="s">
        <v>3918</v>
      </c>
      <c r="C682" s="12" t="s">
        <v>20</v>
      </c>
      <c r="D682" s="30" t="s">
        <v>73</v>
      </c>
      <c r="E682" s="31">
        <v>3575000</v>
      </c>
      <c r="F682" s="32">
        <f>Table2[[#This Row],[Price]]/Table2[[#This Row],[Tot Ht Area]]</f>
        <v>1072.6072607260726</v>
      </c>
      <c r="G682" s="33">
        <v>3333</v>
      </c>
      <c r="H682" s="33">
        <v>3333</v>
      </c>
      <c r="I682" s="34" t="s">
        <v>3919</v>
      </c>
      <c r="J682" s="35">
        <v>1990</v>
      </c>
      <c r="K682" s="30" t="s">
        <v>24</v>
      </c>
      <c r="L682" s="30"/>
      <c r="M682" s="30" t="s">
        <v>3920</v>
      </c>
      <c r="N682" s="20" t="s">
        <v>1598</v>
      </c>
      <c r="O682" s="20" t="s">
        <v>1812</v>
      </c>
      <c r="P682" s="21" t="s">
        <v>3921</v>
      </c>
      <c r="Q682" s="20" t="s">
        <v>3922</v>
      </c>
      <c r="R682" s="20" t="s">
        <v>3923</v>
      </c>
      <c r="S682" s="20"/>
      <c r="T682" s="20"/>
      <c r="U682" s="20"/>
      <c r="V682" s="20"/>
    </row>
    <row r="683" spans="2:22" ht="32">
      <c r="B683" s="29" t="s">
        <v>3924</v>
      </c>
      <c r="C683" s="12" t="s">
        <v>20</v>
      </c>
      <c r="D683" s="30" t="s">
        <v>611</v>
      </c>
      <c r="E683" s="31">
        <v>910000</v>
      </c>
      <c r="F683" s="32" t="e">
        <f>Table2[[#This Row],[Price]]/Table2[[#This Row],[Tot Ht Area]]</f>
        <v>#DIV/0!</v>
      </c>
      <c r="G683" s="33"/>
      <c r="H683" s="33">
        <v>4836</v>
      </c>
      <c r="I683" s="34" t="s">
        <v>3925</v>
      </c>
      <c r="J683" s="35">
        <v>2001</v>
      </c>
      <c r="K683" s="30" t="s">
        <v>1320</v>
      </c>
      <c r="L683" s="30"/>
      <c r="M683" s="30" t="s">
        <v>3926</v>
      </c>
      <c r="N683" s="20" t="s">
        <v>1598</v>
      </c>
      <c r="O683" s="20" t="s">
        <v>27</v>
      </c>
      <c r="P683" s="21" t="s">
        <v>3927</v>
      </c>
      <c r="Q683" s="20"/>
      <c r="R683" s="20" t="s">
        <v>3928</v>
      </c>
      <c r="S683" s="20"/>
      <c r="T683" s="20"/>
      <c r="U683" s="20"/>
      <c r="V683" s="20"/>
    </row>
    <row r="684" spans="2:22" ht="17">
      <c r="B684" s="29" t="s">
        <v>3929</v>
      </c>
      <c r="C684" s="12" t="s">
        <v>20</v>
      </c>
      <c r="D684" s="30" t="s">
        <v>330</v>
      </c>
      <c r="E684" s="31">
        <v>250000</v>
      </c>
      <c r="F684" s="32" t="e">
        <f>Table2[[#This Row],[Price]]/Table2[[#This Row],[Tot Ht Area]]</f>
        <v>#DIV/0!</v>
      </c>
      <c r="G684" s="33"/>
      <c r="H684" s="33">
        <v>4000</v>
      </c>
      <c r="I684" s="34" t="s">
        <v>3930</v>
      </c>
      <c r="J684" s="35">
        <v>2022</v>
      </c>
      <c r="K684" s="30" t="s">
        <v>1320</v>
      </c>
      <c r="L684" s="30"/>
      <c r="M684" s="30" t="s">
        <v>3931</v>
      </c>
      <c r="N684" s="20" t="s">
        <v>1598</v>
      </c>
      <c r="O684" s="20" t="s">
        <v>27</v>
      </c>
      <c r="P684" s="21" t="s">
        <v>3197</v>
      </c>
      <c r="Q684" s="20"/>
      <c r="R684" s="20" t="s">
        <v>3932</v>
      </c>
      <c r="S684" s="20"/>
      <c r="T684" s="20"/>
      <c r="U684" s="20"/>
      <c r="V684" s="20"/>
    </row>
    <row r="685" spans="2:22" ht="17">
      <c r="B685" s="29" t="s">
        <v>3933</v>
      </c>
      <c r="C685" s="12" t="s">
        <v>20</v>
      </c>
      <c r="D685" s="30" t="s">
        <v>686</v>
      </c>
      <c r="E685" s="31">
        <v>580000</v>
      </c>
      <c r="F685" s="32">
        <f>Table2[[#This Row],[Price]]/Table2[[#This Row],[Tot Ht Area]]</f>
        <v>193.33333333333334</v>
      </c>
      <c r="G685" s="33">
        <v>3000</v>
      </c>
      <c r="H685" s="33">
        <v>3000</v>
      </c>
      <c r="I685" s="34" t="s">
        <v>3934</v>
      </c>
      <c r="J685" s="35">
        <v>2000</v>
      </c>
      <c r="K685" s="30" t="s">
        <v>24</v>
      </c>
      <c r="L685" s="30"/>
      <c r="M685" s="30" t="s">
        <v>3935</v>
      </c>
      <c r="N685" s="20" t="s">
        <v>1598</v>
      </c>
      <c r="O685" s="20" t="s">
        <v>27</v>
      </c>
      <c r="P685" s="21" t="s">
        <v>3197</v>
      </c>
      <c r="Q685" s="20" t="s">
        <v>3936</v>
      </c>
      <c r="R685" s="20" t="s">
        <v>3937</v>
      </c>
      <c r="S685" s="20"/>
      <c r="T685" s="20"/>
      <c r="U685" s="20"/>
      <c r="V685" s="20"/>
    </row>
    <row r="686" spans="2:22" ht="17">
      <c r="B686" s="29" t="s">
        <v>3938</v>
      </c>
      <c r="C686" s="12" t="s">
        <v>20</v>
      </c>
      <c r="D686" s="30" t="s">
        <v>330</v>
      </c>
      <c r="E686" s="31">
        <v>100</v>
      </c>
      <c r="F686" s="32">
        <f>Table2[[#This Row],[Price]]/Table2[[#This Row],[Tot Ht Area]]</f>
        <v>3.2467532467532464E-2</v>
      </c>
      <c r="G686" s="33">
        <v>3080</v>
      </c>
      <c r="H686" s="33">
        <v>3080</v>
      </c>
      <c r="I686" s="34" t="s">
        <v>3939</v>
      </c>
      <c r="J686" s="35">
        <v>2000</v>
      </c>
      <c r="K686" s="30" t="s">
        <v>24</v>
      </c>
      <c r="L686" s="30"/>
      <c r="M686" s="30" t="s">
        <v>3940</v>
      </c>
      <c r="N686" s="20" t="s">
        <v>1598</v>
      </c>
      <c r="O686" s="20" t="s">
        <v>27</v>
      </c>
      <c r="P686" s="21" t="s">
        <v>3941</v>
      </c>
      <c r="Q686" s="20"/>
      <c r="R686" s="20" t="s">
        <v>3942</v>
      </c>
      <c r="S686" s="20"/>
      <c r="T686" s="20" t="s">
        <v>6318</v>
      </c>
      <c r="U686" s="20"/>
      <c r="V686" s="20"/>
    </row>
    <row r="687" spans="2:22" ht="17">
      <c r="B687" s="29" t="s">
        <v>3943</v>
      </c>
      <c r="C687" s="12" t="s">
        <v>20</v>
      </c>
      <c r="D687" s="30" t="s">
        <v>709</v>
      </c>
      <c r="E687" s="31">
        <v>100</v>
      </c>
      <c r="F687" s="32" t="e">
        <f>Table2[[#This Row],[Price]]/Table2[[#This Row],[Tot Ht Area]]</f>
        <v>#DIV/0!</v>
      </c>
      <c r="G687" s="33"/>
      <c r="H687" s="33">
        <v>3000</v>
      </c>
      <c r="I687" s="34" t="s">
        <v>3944</v>
      </c>
      <c r="J687" s="35">
        <v>1999</v>
      </c>
      <c r="K687" s="30" t="s">
        <v>1320</v>
      </c>
      <c r="L687" s="30"/>
      <c r="M687" s="30" t="s">
        <v>3945</v>
      </c>
      <c r="N687" s="20" t="s">
        <v>1598</v>
      </c>
      <c r="O687" s="20" t="s">
        <v>27</v>
      </c>
      <c r="P687" s="21" t="s">
        <v>3946</v>
      </c>
      <c r="Q687" s="20"/>
      <c r="R687" s="20" t="s">
        <v>3947</v>
      </c>
      <c r="S687" s="20"/>
      <c r="T687" s="20" t="s">
        <v>6318</v>
      </c>
      <c r="U687" s="20"/>
      <c r="V687" s="20"/>
    </row>
    <row r="688" spans="2:22" ht="32">
      <c r="B688" s="29" t="s">
        <v>3948</v>
      </c>
      <c r="C688" s="12" t="s">
        <v>20</v>
      </c>
      <c r="D688" s="30" t="s">
        <v>90</v>
      </c>
      <c r="E688" s="31">
        <v>600000</v>
      </c>
      <c r="F688" s="32" t="e">
        <f>Table2[[#This Row],[Price]]/Table2[[#This Row],[Tot Ht Area]]</f>
        <v>#DIV/0!</v>
      </c>
      <c r="G688" s="33"/>
      <c r="H688" s="33">
        <v>3058</v>
      </c>
      <c r="I688" s="34" t="s">
        <v>3949</v>
      </c>
      <c r="J688" s="35">
        <v>1998</v>
      </c>
      <c r="K688" s="30" t="s">
        <v>24</v>
      </c>
      <c r="L688" s="30"/>
      <c r="M688" s="30" t="s">
        <v>3950</v>
      </c>
      <c r="N688" s="20" t="s">
        <v>1598</v>
      </c>
      <c r="O688" s="20" t="s">
        <v>27</v>
      </c>
      <c r="P688" s="21" t="s">
        <v>3951</v>
      </c>
      <c r="Q688" s="20"/>
      <c r="R688" s="20" t="s">
        <v>3952</v>
      </c>
      <c r="S688" s="20"/>
      <c r="T688" s="20"/>
      <c r="U688" s="20"/>
      <c r="V688" s="20"/>
    </row>
    <row r="689" spans="2:22" ht="17">
      <c r="B689" s="29" t="s">
        <v>3953</v>
      </c>
      <c r="C689" s="12" t="s">
        <v>20</v>
      </c>
      <c r="D689" s="30" t="s">
        <v>995</v>
      </c>
      <c r="E689" s="31">
        <v>945000</v>
      </c>
      <c r="F689" s="32">
        <f>Table2[[#This Row],[Price]]/Table2[[#This Row],[Tot Ht Area]]</f>
        <v>315</v>
      </c>
      <c r="G689" s="33">
        <v>3000</v>
      </c>
      <c r="H689" s="33">
        <v>3000</v>
      </c>
      <c r="I689" s="34" t="s">
        <v>3954</v>
      </c>
      <c r="J689" s="35">
        <v>2000</v>
      </c>
      <c r="K689" s="30" t="s">
        <v>24</v>
      </c>
      <c r="L689" s="30"/>
      <c r="M689" s="30" t="s">
        <v>3955</v>
      </c>
      <c r="N689" s="20" t="s">
        <v>1598</v>
      </c>
      <c r="O689" s="20" t="s">
        <v>27</v>
      </c>
      <c r="P689" s="21" t="s">
        <v>3956</v>
      </c>
      <c r="Q689" s="20"/>
      <c r="R689" s="20" t="s">
        <v>3957</v>
      </c>
      <c r="S689" s="20"/>
      <c r="T689" s="20"/>
      <c r="U689" s="20"/>
      <c r="V689" s="20"/>
    </row>
    <row r="690" spans="2:22" ht="32">
      <c r="B690" s="29" t="s">
        <v>3958</v>
      </c>
      <c r="C690" s="12" t="s">
        <v>20</v>
      </c>
      <c r="D690" s="30" t="s">
        <v>982</v>
      </c>
      <c r="E690" s="31">
        <v>100</v>
      </c>
      <c r="F690" s="32">
        <f>Table2[[#This Row],[Price]]/Table2[[#This Row],[Tot Ht Area]]</f>
        <v>3.3333333333333333E-2</v>
      </c>
      <c r="G690" s="33">
        <v>3000</v>
      </c>
      <c r="H690" s="33">
        <v>3000</v>
      </c>
      <c r="I690" s="34" t="s">
        <v>3959</v>
      </c>
      <c r="J690" s="35">
        <v>1998</v>
      </c>
      <c r="K690" s="30" t="s">
        <v>24</v>
      </c>
      <c r="L690" s="30"/>
      <c r="M690" s="30" t="s">
        <v>3960</v>
      </c>
      <c r="N690" s="20" t="s">
        <v>1598</v>
      </c>
      <c r="O690" s="20" t="s">
        <v>1812</v>
      </c>
      <c r="P690" s="21" t="s">
        <v>3603</v>
      </c>
      <c r="Q690" s="20" t="s">
        <v>3961</v>
      </c>
      <c r="R690" s="20" t="s">
        <v>3962</v>
      </c>
      <c r="S690" s="20"/>
      <c r="T690" s="20" t="s">
        <v>6318</v>
      </c>
      <c r="U690" s="20"/>
      <c r="V690" s="20"/>
    </row>
    <row r="691" spans="2:22" ht="17">
      <c r="B691" s="29" t="s">
        <v>3963</v>
      </c>
      <c r="C691" s="12" t="s">
        <v>20</v>
      </c>
      <c r="D691" s="30" t="s">
        <v>954</v>
      </c>
      <c r="E691" s="31">
        <v>625000</v>
      </c>
      <c r="F691" s="32" t="e">
        <f>Table2[[#This Row],[Price]]/Table2[[#This Row],[Tot Ht Area]]</f>
        <v>#DIV/0!</v>
      </c>
      <c r="G691" s="33"/>
      <c r="H691" s="33">
        <v>3000</v>
      </c>
      <c r="I691" s="34" t="s">
        <v>3964</v>
      </c>
      <c r="J691" s="35">
        <v>1997</v>
      </c>
      <c r="K691" s="30" t="s">
        <v>1320</v>
      </c>
      <c r="L691" s="30"/>
      <c r="M691" s="30" t="s">
        <v>3965</v>
      </c>
      <c r="N691" s="20" t="s">
        <v>1598</v>
      </c>
      <c r="O691" s="20" t="s">
        <v>27</v>
      </c>
      <c r="P691" s="21" t="s">
        <v>3966</v>
      </c>
      <c r="Q691" s="20"/>
      <c r="R691" s="20" t="s">
        <v>3967</v>
      </c>
      <c r="S691" s="20"/>
      <c r="T691" s="20"/>
      <c r="U691" s="20"/>
      <c r="V691" s="20"/>
    </row>
    <row r="692" spans="2:22" ht="17">
      <c r="B692" s="29" t="s">
        <v>3968</v>
      </c>
      <c r="C692" s="12" t="s">
        <v>20</v>
      </c>
      <c r="D692" s="30" t="s">
        <v>21</v>
      </c>
      <c r="E692" s="31">
        <v>610000</v>
      </c>
      <c r="F692" s="32" t="e">
        <f>Table2[[#This Row],[Price]]/Table2[[#This Row],[Tot Ht Area]]</f>
        <v>#DIV/0!</v>
      </c>
      <c r="G692" s="33"/>
      <c r="H692" s="33">
        <v>3096</v>
      </c>
      <c r="I692" s="34" t="s">
        <v>3969</v>
      </c>
      <c r="J692" s="35">
        <v>1998</v>
      </c>
      <c r="K692" s="30" t="s">
        <v>1320</v>
      </c>
      <c r="L692" s="30"/>
      <c r="M692" s="30" t="s">
        <v>3970</v>
      </c>
      <c r="N692" s="20" t="s">
        <v>1598</v>
      </c>
      <c r="O692" s="20" t="s">
        <v>27</v>
      </c>
      <c r="P692" s="21" t="s">
        <v>3197</v>
      </c>
      <c r="Q692" s="20" t="s">
        <v>3971</v>
      </c>
      <c r="R692" s="20" t="s">
        <v>3972</v>
      </c>
      <c r="S692" s="20"/>
      <c r="T692" s="20"/>
      <c r="U692" s="20"/>
      <c r="V692" s="20"/>
    </row>
    <row r="693" spans="2:22" ht="17">
      <c r="B693" s="29" t="s">
        <v>3973</v>
      </c>
      <c r="C693" s="12" t="s">
        <v>20</v>
      </c>
      <c r="D693" s="30" t="s">
        <v>611</v>
      </c>
      <c r="E693" s="31">
        <v>1811500</v>
      </c>
      <c r="F693" s="32" t="e">
        <f>Table2[[#This Row],[Price]]/Table2[[#This Row],[Tot Ht Area]]</f>
        <v>#DIV/0!</v>
      </c>
      <c r="G693" s="33"/>
      <c r="H693" s="33">
        <v>7000</v>
      </c>
      <c r="I693" s="34" t="s">
        <v>3974</v>
      </c>
      <c r="J693" s="35">
        <v>2011</v>
      </c>
      <c r="K693" s="30" t="s">
        <v>24</v>
      </c>
      <c r="L693" s="30"/>
      <c r="M693" s="30" t="s">
        <v>3975</v>
      </c>
      <c r="N693" s="20" t="s">
        <v>1598</v>
      </c>
      <c r="O693" s="20" t="s">
        <v>27</v>
      </c>
      <c r="P693" s="21" t="s">
        <v>3197</v>
      </c>
      <c r="Q693" s="20"/>
      <c r="R693" s="20" t="s">
        <v>3976</v>
      </c>
      <c r="S693" s="20"/>
      <c r="T693" s="20"/>
      <c r="U693" s="20"/>
      <c r="V693" s="20"/>
    </row>
    <row r="694" spans="2:22" ht="17">
      <c r="B694" s="29" t="s">
        <v>3977</v>
      </c>
      <c r="C694" s="12" t="s">
        <v>20</v>
      </c>
      <c r="D694" s="30" t="s">
        <v>611</v>
      </c>
      <c r="E694" s="31">
        <v>1811500</v>
      </c>
      <c r="F694" s="32" t="e">
        <f>Table2[[#This Row],[Price]]/Table2[[#This Row],[Tot Ht Area]]</f>
        <v>#DIV/0!</v>
      </c>
      <c r="G694" s="33"/>
      <c r="H694" s="33">
        <v>7000</v>
      </c>
      <c r="I694" s="34" t="s">
        <v>3974</v>
      </c>
      <c r="J694" s="35">
        <v>2013</v>
      </c>
      <c r="K694" s="30" t="s">
        <v>24</v>
      </c>
      <c r="L694" s="30"/>
      <c r="M694" s="30" t="s">
        <v>3978</v>
      </c>
      <c r="N694" s="20" t="s">
        <v>1598</v>
      </c>
      <c r="O694" s="20" t="s">
        <v>27</v>
      </c>
      <c r="P694" s="21" t="s">
        <v>3197</v>
      </c>
      <c r="Q694" s="20"/>
      <c r="R694" s="20" t="s">
        <v>3979</v>
      </c>
      <c r="S694" s="20"/>
      <c r="T694" s="20"/>
      <c r="U694" s="20"/>
      <c r="V694" s="20"/>
    </row>
    <row r="695" spans="2:22" ht="34">
      <c r="B695" s="29" t="s">
        <v>3980</v>
      </c>
      <c r="C695" s="12" t="s">
        <v>20</v>
      </c>
      <c r="D695" s="30" t="s">
        <v>260</v>
      </c>
      <c r="E695" s="31">
        <v>6000000</v>
      </c>
      <c r="F695" s="32">
        <f>Table2[[#This Row],[Price]]/Table2[[#This Row],[Tot Ht Area]]</f>
        <v>63.107408809794272</v>
      </c>
      <c r="G695" s="33">
        <v>95076</v>
      </c>
      <c r="H695" s="33">
        <v>95076</v>
      </c>
      <c r="I695" s="34" t="s">
        <v>3981</v>
      </c>
      <c r="J695" s="35">
        <v>1996</v>
      </c>
      <c r="K695" s="30" t="s">
        <v>3484</v>
      </c>
      <c r="L695" s="30"/>
      <c r="M695" s="30" t="s">
        <v>3982</v>
      </c>
      <c r="N695" s="20" t="s">
        <v>1598</v>
      </c>
      <c r="O695" s="20" t="s">
        <v>27</v>
      </c>
      <c r="P695" s="21" t="s">
        <v>3983</v>
      </c>
      <c r="Q695" s="20"/>
      <c r="R695" s="20" t="s">
        <v>3984</v>
      </c>
      <c r="S695" s="20"/>
      <c r="T695" s="20"/>
      <c r="U695" s="20"/>
      <c r="V695" s="20"/>
    </row>
    <row r="696" spans="2:22" ht="32">
      <c r="B696" s="29" t="s">
        <v>3985</v>
      </c>
      <c r="C696" s="12" t="s">
        <v>20</v>
      </c>
      <c r="D696" s="30" t="s">
        <v>231</v>
      </c>
      <c r="E696" s="31">
        <v>100</v>
      </c>
      <c r="F696" s="32" t="e">
        <f>Table2[[#This Row],[Price]]/Table2[[#This Row],[Tot Ht Area]]</f>
        <v>#DIV/0!</v>
      </c>
      <c r="G696" s="33"/>
      <c r="H696" s="33">
        <v>63579</v>
      </c>
      <c r="I696" s="34" t="s">
        <v>3986</v>
      </c>
      <c r="J696" s="35">
        <v>1986</v>
      </c>
      <c r="K696" s="30" t="s">
        <v>1716</v>
      </c>
      <c r="L696" s="30"/>
      <c r="M696" s="30" t="s">
        <v>3987</v>
      </c>
      <c r="N696" s="20" t="s">
        <v>1598</v>
      </c>
      <c r="O696" s="20" t="s">
        <v>27</v>
      </c>
      <c r="P696" s="21" t="s">
        <v>3988</v>
      </c>
      <c r="Q696" s="20"/>
      <c r="R696" s="20" t="s">
        <v>3989</v>
      </c>
      <c r="S696" s="20"/>
      <c r="T696" s="20" t="s">
        <v>6318</v>
      </c>
      <c r="U696" s="20"/>
      <c r="V696" s="20"/>
    </row>
    <row r="697" spans="2:22" ht="32">
      <c r="B697" s="29" t="s">
        <v>3990</v>
      </c>
      <c r="C697" s="12" t="s">
        <v>20</v>
      </c>
      <c r="D697" s="30" t="s">
        <v>55</v>
      </c>
      <c r="E697" s="31">
        <v>425000</v>
      </c>
      <c r="F697" s="32">
        <f>Table2[[#This Row],[Price]]/Table2[[#This Row],[Tot Ht Area]]</f>
        <v>212.5</v>
      </c>
      <c r="G697" s="33">
        <v>2000</v>
      </c>
      <c r="H697" s="33">
        <v>2000</v>
      </c>
      <c r="I697" s="34" t="s">
        <v>3991</v>
      </c>
      <c r="J697" s="35">
        <v>1988</v>
      </c>
      <c r="K697" s="30" t="s">
        <v>172</v>
      </c>
      <c r="L697" s="30"/>
      <c r="M697" s="30" t="s">
        <v>3992</v>
      </c>
      <c r="N697" s="20" t="s">
        <v>1598</v>
      </c>
      <c r="O697" s="20" t="s">
        <v>27</v>
      </c>
      <c r="P697" s="21" t="s">
        <v>3993</v>
      </c>
      <c r="Q697" s="20"/>
      <c r="R697" s="20" t="s">
        <v>3994</v>
      </c>
      <c r="S697" s="20"/>
      <c r="T697" s="20"/>
      <c r="U697" s="20"/>
      <c r="V697" s="20"/>
    </row>
    <row r="698" spans="2:22" ht="34">
      <c r="B698" s="29" t="s">
        <v>3995</v>
      </c>
      <c r="C698" s="12" t="s">
        <v>20</v>
      </c>
      <c r="D698" s="30" t="s">
        <v>591</v>
      </c>
      <c r="E698" s="31">
        <v>385000</v>
      </c>
      <c r="F698" s="32">
        <f>Table2[[#This Row],[Price]]/Table2[[#This Row],[Tot Ht Area]]</f>
        <v>192.5</v>
      </c>
      <c r="G698" s="33">
        <v>2000</v>
      </c>
      <c r="H698" s="33">
        <v>2000</v>
      </c>
      <c r="I698" s="34" t="s">
        <v>3996</v>
      </c>
      <c r="J698" s="35">
        <v>1988</v>
      </c>
      <c r="K698" s="30" t="s">
        <v>172</v>
      </c>
      <c r="L698" s="30"/>
      <c r="M698" s="30" t="s">
        <v>3997</v>
      </c>
      <c r="N698" s="20" t="s">
        <v>1598</v>
      </c>
      <c r="O698" s="20" t="s">
        <v>27</v>
      </c>
      <c r="P698" s="21" t="s">
        <v>3998</v>
      </c>
      <c r="Q698" s="20"/>
      <c r="R698" s="20" t="s">
        <v>3999</v>
      </c>
      <c r="S698" s="20"/>
      <c r="T698" s="20"/>
      <c r="U698" s="20"/>
      <c r="V698" s="20"/>
    </row>
    <row r="699" spans="2:22" ht="32">
      <c r="B699" s="29" t="s">
        <v>4000</v>
      </c>
      <c r="C699" s="12" t="s">
        <v>20</v>
      </c>
      <c r="D699" s="30" t="s">
        <v>474</v>
      </c>
      <c r="E699" s="31">
        <v>382500</v>
      </c>
      <c r="F699" s="32">
        <f>Table2[[#This Row],[Price]]/Table2[[#This Row],[Tot Ht Area]]</f>
        <v>191.25</v>
      </c>
      <c r="G699" s="33">
        <v>2000</v>
      </c>
      <c r="H699" s="33">
        <v>2000</v>
      </c>
      <c r="I699" s="34" t="s">
        <v>4001</v>
      </c>
      <c r="J699" s="35">
        <v>1988</v>
      </c>
      <c r="K699" s="30" t="s">
        <v>172</v>
      </c>
      <c r="L699" s="30"/>
      <c r="M699" s="30" t="s">
        <v>4002</v>
      </c>
      <c r="N699" s="20" t="s">
        <v>1598</v>
      </c>
      <c r="O699" s="20" t="s">
        <v>27</v>
      </c>
      <c r="P699" s="21" t="s">
        <v>4003</v>
      </c>
      <c r="Q699" s="20"/>
      <c r="R699" s="20" t="s">
        <v>4004</v>
      </c>
      <c r="S699" s="20"/>
      <c r="T699" s="20"/>
      <c r="U699" s="20"/>
      <c r="V699" s="20"/>
    </row>
    <row r="700" spans="2:22" ht="48">
      <c r="B700" s="29" t="s">
        <v>4005</v>
      </c>
      <c r="C700" s="12" t="s">
        <v>20</v>
      </c>
      <c r="D700" s="30" t="s">
        <v>215</v>
      </c>
      <c r="E700" s="31">
        <v>1900000</v>
      </c>
      <c r="F700" s="32" t="e">
        <f>Table2[[#This Row],[Price]]/Table2[[#This Row],[Tot Ht Area]]</f>
        <v>#DIV/0!</v>
      </c>
      <c r="G700" s="33"/>
      <c r="H700" s="33">
        <v>18000</v>
      </c>
      <c r="I700" s="34" t="s">
        <v>4006</v>
      </c>
      <c r="J700" s="35">
        <v>1991</v>
      </c>
      <c r="K700" s="30" t="s">
        <v>1716</v>
      </c>
      <c r="L700" s="30"/>
      <c r="M700" s="30" t="s">
        <v>4007</v>
      </c>
      <c r="N700" s="20" t="s">
        <v>1598</v>
      </c>
      <c r="O700" s="20" t="s">
        <v>27</v>
      </c>
      <c r="P700" s="21" t="s">
        <v>3835</v>
      </c>
      <c r="Q700" s="20"/>
      <c r="R700" s="20" t="s">
        <v>4008</v>
      </c>
      <c r="S700" s="20"/>
      <c r="T700" s="20"/>
      <c r="U700" s="20"/>
      <c r="V700" s="20"/>
    </row>
    <row r="701" spans="2:22" ht="32">
      <c r="B701" s="29" t="s">
        <v>4009</v>
      </c>
      <c r="C701" s="12" t="s">
        <v>20</v>
      </c>
      <c r="D701" s="30" t="s">
        <v>231</v>
      </c>
      <c r="E701" s="31">
        <v>100</v>
      </c>
      <c r="F701" s="32" t="e">
        <f>Table2[[#This Row],[Price]]/Table2[[#This Row],[Tot Ht Area]]</f>
        <v>#DIV/0!</v>
      </c>
      <c r="G701" s="33"/>
      <c r="H701" s="33">
        <v>118563</v>
      </c>
      <c r="I701" s="34" t="s">
        <v>3986</v>
      </c>
      <c r="J701" s="35">
        <v>1998</v>
      </c>
      <c r="K701" s="30" t="s">
        <v>1716</v>
      </c>
      <c r="L701" s="30"/>
      <c r="M701" s="30" t="s">
        <v>4010</v>
      </c>
      <c r="N701" s="20" t="s">
        <v>1598</v>
      </c>
      <c r="O701" s="20" t="s">
        <v>27</v>
      </c>
      <c r="P701" s="21" t="s">
        <v>4011</v>
      </c>
      <c r="Q701" s="20"/>
      <c r="R701" s="20" t="s">
        <v>4012</v>
      </c>
      <c r="S701" s="20"/>
      <c r="T701" s="20" t="s">
        <v>6318</v>
      </c>
      <c r="U701" s="20"/>
      <c r="V701" s="20"/>
    </row>
    <row r="702" spans="2:22" ht="34">
      <c r="B702" s="29" t="s">
        <v>4013</v>
      </c>
      <c r="C702" s="12" t="s">
        <v>20</v>
      </c>
      <c r="D702" s="30" t="s">
        <v>372</v>
      </c>
      <c r="E702" s="31">
        <v>100</v>
      </c>
      <c r="F702" s="32">
        <f>Table2[[#This Row],[Price]]/Table2[[#This Row],[Tot Ht Area]]</f>
        <v>2.2665457842248413E-2</v>
      </c>
      <c r="G702" s="33">
        <v>4412</v>
      </c>
      <c r="H702" s="33">
        <v>5412</v>
      </c>
      <c r="I702" s="34" t="s">
        <v>4014</v>
      </c>
      <c r="J702" s="35">
        <v>1992</v>
      </c>
      <c r="K702" s="30" t="s">
        <v>172</v>
      </c>
      <c r="L702" s="30"/>
      <c r="M702" s="30" t="s">
        <v>4015</v>
      </c>
      <c r="N702" s="20" t="s">
        <v>1598</v>
      </c>
      <c r="O702" s="20" t="s">
        <v>27</v>
      </c>
      <c r="P702" s="21" t="s">
        <v>4016</v>
      </c>
      <c r="Q702" s="20"/>
      <c r="R702" s="20" t="s">
        <v>4017</v>
      </c>
      <c r="S702" s="20"/>
      <c r="T702" s="20" t="s">
        <v>6318</v>
      </c>
      <c r="U702" s="20"/>
      <c r="V702" s="20"/>
    </row>
    <row r="703" spans="2:22" ht="32">
      <c r="B703" s="29" t="s">
        <v>4018</v>
      </c>
      <c r="C703" s="12" t="s">
        <v>20</v>
      </c>
      <c r="D703" s="30" t="s">
        <v>108</v>
      </c>
      <c r="E703" s="31">
        <v>1435000</v>
      </c>
      <c r="F703" s="32" t="e">
        <f>Table2[[#This Row],[Price]]/Table2[[#This Row],[Tot Ht Area]]</f>
        <v>#DIV/0!</v>
      </c>
      <c r="G703" s="33"/>
      <c r="H703" s="33">
        <v>5400</v>
      </c>
      <c r="I703" s="34" t="s">
        <v>4019</v>
      </c>
      <c r="J703" s="35">
        <v>1995</v>
      </c>
      <c r="K703" s="30" t="s">
        <v>172</v>
      </c>
      <c r="L703" s="30"/>
      <c r="M703" s="30" t="s">
        <v>4020</v>
      </c>
      <c r="N703" s="20" t="s">
        <v>1598</v>
      </c>
      <c r="O703" s="20" t="s">
        <v>27</v>
      </c>
      <c r="P703" s="21" t="s">
        <v>4021</v>
      </c>
      <c r="Q703" s="20"/>
      <c r="R703" s="20" t="s">
        <v>4022</v>
      </c>
      <c r="S703" s="20"/>
      <c r="T703" s="20"/>
      <c r="U703" s="20"/>
      <c r="V703" s="20"/>
    </row>
    <row r="704" spans="2:22" ht="17">
      <c r="B704" s="29" t="s">
        <v>4023</v>
      </c>
      <c r="C704" s="12" t="s">
        <v>20</v>
      </c>
      <c r="D704" s="30" t="s">
        <v>571</v>
      </c>
      <c r="E704" s="31">
        <v>1250000</v>
      </c>
      <c r="F704" s="32" t="e">
        <f>Table2[[#This Row],[Price]]/Table2[[#This Row],[Tot Ht Area]]</f>
        <v>#DIV/0!</v>
      </c>
      <c r="G704" s="33"/>
      <c r="H704" s="33">
        <v>5000</v>
      </c>
      <c r="I704" s="34" t="s">
        <v>4024</v>
      </c>
      <c r="J704" s="35">
        <v>1996</v>
      </c>
      <c r="K704" s="30" t="s">
        <v>172</v>
      </c>
      <c r="L704" s="30"/>
      <c r="M704" s="30" t="s">
        <v>4025</v>
      </c>
      <c r="N704" s="20" t="s">
        <v>1598</v>
      </c>
      <c r="O704" s="20" t="s">
        <v>27</v>
      </c>
      <c r="P704" s="21" t="s">
        <v>4026</v>
      </c>
      <c r="Q704" s="20"/>
      <c r="R704" s="20" t="s">
        <v>4027</v>
      </c>
      <c r="S704" s="20"/>
      <c r="T704" s="20"/>
      <c r="U704" s="20"/>
      <c r="V704" s="20"/>
    </row>
    <row r="705" spans="2:22" ht="32">
      <c r="B705" s="29" t="s">
        <v>4028</v>
      </c>
      <c r="C705" s="12" t="s">
        <v>20</v>
      </c>
      <c r="D705" s="30" t="s">
        <v>231</v>
      </c>
      <c r="E705" s="31">
        <v>100</v>
      </c>
      <c r="F705" s="32" t="e">
        <f>Table2[[#This Row],[Price]]/Table2[[#This Row],[Tot Ht Area]]</f>
        <v>#DIV/0!</v>
      </c>
      <c r="G705" s="33"/>
      <c r="H705" s="33">
        <v>69750</v>
      </c>
      <c r="I705" s="34" t="s">
        <v>3986</v>
      </c>
      <c r="J705" s="35">
        <v>1999</v>
      </c>
      <c r="K705" s="30" t="s">
        <v>1716</v>
      </c>
      <c r="L705" s="30"/>
      <c r="M705" s="30" t="s">
        <v>4029</v>
      </c>
      <c r="N705" s="20" t="s">
        <v>1598</v>
      </c>
      <c r="O705" s="20" t="s">
        <v>27</v>
      </c>
      <c r="P705" s="21" t="s">
        <v>4030</v>
      </c>
      <c r="Q705" s="20"/>
      <c r="R705" s="20" t="s">
        <v>4031</v>
      </c>
      <c r="S705" s="20"/>
      <c r="T705" s="20" t="s">
        <v>6318</v>
      </c>
      <c r="U705" s="20"/>
      <c r="V705" s="20"/>
    </row>
    <row r="706" spans="2:22" ht="32">
      <c r="B706" s="29" t="s">
        <v>4032</v>
      </c>
      <c r="C706" s="12" t="s">
        <v>20</v>
      </c>
      <c r="D706" s="30" t="s">
        <v>231</v>
      </c>
      <c r="E706" s="31">
        <v>100</v>
      </c>
      <c r="F706" s="32" t="e">
        <f>Table2[[#This Row],[Price]]/Table2[[#This Row],[Tot Ht Area]]</f>
        <v>#DIV/0!</v>
      </c>
      <c r="G706" s="33"/>
      <c r="H706" s="33">
        <v>45885</v>
      </c>
      <c r="I706" s="34" t="s">
        <v>3986</v>
      </c>
      <c r="J706" s="35">
        <v>1999</v>
      </c>
      <c r="K706" s="30" t="s">
        <v>1716</v>
      </c>
      <c r="L706" s="30"/>
      <c r="M706" s="30" t="s">
        <v>4033</v>
      </c>
      <c r="N706" s="20" t="s">
        <v>1598</v>
      </c>
      <c r="O706" s="20" t="s">
        <v>27</v>
      </c>
      <c r="P706" s="21" t="s">
        <v>4034</v>
      </c>
      <c r="Q706" s="20"/>
      <c r="R706" s="20" t="s">
        <v>4035</v>
      </c>
      <c r="S706" s="20"/>
      <c r="T706" s="20" t="s">
        <v>6318</v>
      </c>
      <c r="U706" s="20"/>
      <c r="V706" s="20"/>
    </row>
    <row r="707" spans="2:22" ht="34">
      <c r="B707" s="29" t="s">
        <v>4036</v>
      </c>
      <c r="C707" s="12" t="s">
        <v>20</v>
      </c>
      <c r="D707" s="30" t="s">
        <v>64</v>
      </c>
      <c r="E707" s="31">
        <v>699000</v>
      </c>
      <c r="F707" s="32" t="e">
        <f>Table2[[#This Row],[Price]]/Table2[[#This Row],[Tot Ht Area]]</f>
        <v>#DIV/0!</v>
      </c>
      <c r="G707" s="33"/>
      <c r="H707" s="33">
        <v>4731</v>
      </c>
      <c r="I707" s="34" t="s">
        <v>4037</v>
      </c>
      <c r="J707" s="35">
        <v>2005</v>
      </c>
      <c r="K707" s="30" t="s">
        <v>172</v>
      </c>
      <c r="L707" s="30"/>
      <c r="M707" s="30" t="s">
        <v>4038</v>
      </c>
      <c r="N707" s="20" t="s">
        <v>1598</v>
      </c>
      <c r="O707" s="20" t="s">
        <v>27</v>
      </c>
      <c r="P707" s="21" t="s">
        <v>4039</v>
      </c>
      <c r="Q707" s="20"/>
      <c r="R707" s="20" t="s">
        <v>4040</v>
      </c>
      <c r="S707" s="20"/>
      <c r="T707" s="20"/>
      <c r="U707" s="20"/>
      <c r="V707" s="20"/>
    </row>
    <row r="708" spans="2:22" ht="17">
      <c r="B708" s="29" t="s">
        <v>4041</v>
      </c>
      <c r="C708" s="12" t="s">
        <v>20</v>
      </c>
      <c r="D708" s="30" t="s">
        <v>1399</v>
      </c>
      <c r="E708" s="31">
        <v>100</v>
      </c>
      <c r="F708" s="32" t="e">
        <f>Table2[[#This Row],[Price]]/Table2[[#This Row],[Tot Ht Area]]</f>
        <v>#DIV/0!</v>
      </c>
      <c r="G708" s="33"/>
      <c r="H708" s="33">
        <v>2910</v>
      </c>
      <c r="I708" s="34" t="s">
        <v>4042</v>
      </c>
      <c r="J708" s="35">
        <v>2005</v>
      </c>
      <c r="K708" s="30" t="s">
        <v>172</v>
      </c>
      <c r="L708" s="30"/>
      <c r="M708" s="30" t="s">
        <v>4043</v>
      </c>
      <c r="N708" s="20" t="s">
        <v>1598</v>
      </c>
      <c r="O708" s="20" t="s">
        <v>27</v>
      </c>
      <c r="P708" s="21" t="s">
        <v>4044</v>
      </c>
      <c r="Q708" s="20"/>
      <c r="R708" s="20" t="s">
        <v>4045</v>
      </c>
      <c r="S708" s="20"/>
      <c r="T708" s="20" t="s">
        <v>6318</v>
      </c>
      <c r="U708" s="20"/>
      <c r="V708" s="20"/>
    </row>
    <row r="709" spans="2:22" ht="17">
      <c r="B709" s="29" t="s">
        <v>4046</v>
      </c>
      <c r="C709" s="12" t="s">
        <v>20</v>
      </c>
      <c r="D709" s="30" t="s">
        <v>2642</v>
      </c>
      <c r="E709" s="31">
        <v>544000</v>
      </c>
      <c r="F709" s="32" t="e">
        <f>Table2[[#This Row],[Price]]/Table2[[#This Row],[Tot Ht Area]]</f>
        <v>#DIV/0!</v>
      </c>
      <c r="G709" s="33"/>
      <c r="H709" s="33">
        <v>3000</v>
      </c>
      <c r="I709" s="34" t="s">
        <v>4047</v>
      </c>
      <c r="J709" s="35">
        <v>2004</v>
      </c>
      <c r="K709" s="30" t="s">
        <v>172</v>
      </c>
      <c r="L709" s="30"/>
      <c r="M709" s="30" t="s">
        <v>4048</v>
      </c>
      <c r="N709" s="20" t="s">
        <v>1598</v>
      </c>
      <c r="O709" s="20" t="s">
        <v>27</v>
      </c>
      <c r="P709" s="21" t="s">
        <v>4049</v>
      </c>
      <c r="Q709" s="20"/>
      <c r="R709" s="20" t="s">
        <v>4050</v>
      </c>
      <c r="S709" s="20"/>
      <c r="T709" s="20"/>
      <c r="U709" s="20"/>
      <c r="V709" s="20"/>
    </row>
    <row r="710" spans="2:22" ht="34">
      <c r="B710" s="29" t="s">
        <v>4051</v>
      </c>
      <c r="C710" s="12" t="s">
        <v>20</v>
      </c>
      <c r="D710" s="30" t="s">
        <v>336</v>
      </c>
      <c r="E710" s="31">
        <v>240000</v>
      </c>
      <c r="F710" s="32">
        <f>Table2[[#This Row],[Price]]/Table2[[#This Row],[Tot Ht Area]]</f>
        <v>111.94029850746269</v>
      </c>
      <c r="G710" s="33">
        <v>2144</v>
      </c>
      <c r="H710" s="33">
        <v>2144</v>
      </c>
      <c r="I710" s="34" t="s">
        <v>4052</v>
      </c>
      <c r="J710" s="35">
        <v>2022</v>
      </c>
      <c r="K710" s="30" t="s">
        <v>172</v>
      </c>
      <c r="L710" s="30"/>
      <c r="M710" s="30" t="s">
        <v>4053</v>
      </c>
      <c r="N710" s="20" t="s">
        <v>1598</v>
      </c>
      <c r="O710" s="20" t="s">
        <v>27</v>
      </c>
      <c r="P710" s="21" t="s">
        <v>4054</v>
      </c>
      <c r="Q710" s="20"/>
      <c r="R710" s="20" t="s">
        <v>4055</v>
      </c>
      <c r="S710" s="20"/>
      <c r="T710" s="20"/>
      <c r="U710" s="20"/>
      <c r="V710" s="20"/>
    </row>
    <row r="711" spans="2:22" ht="17">
      <c r="B711" s="29" t="s">
        <v>4056</v>
      </c>
      <c r="C711" s="12" t="s">
        <v>20</v>
      </c>
      <c r="D711" s="30" t="s">
        <v>982</v>
      </c>
      <c r="E711" s="31">
        <v>769500</v>
      </c>
      <c r="F711" s="32">
        <f>Table2[[#This Row],[Price]]/Table2[[#This Row],[Tot Ht Area]]</f>
        <v>285</v>
      </c>
      <c r="G711" s="33">
        <v>2700</v>
      </c>
      <c r="H711" s="33">
        <v>2700</v>
      </c>
      <c r="I711" s="34" t="s">
        <v>4057</v>
      </c>
      <c r="J711" s="35">
        <v>2008</v>
      </c>
      <c r="K711" s="30" t="s">
        <v>172</v>
      </c>
      <c r="L711" s="30"/>
      <c r="M711" s="30" t="s">
        <v>4058</v>
      </c>
      <c r="N711" s="20" t="s">
        <v>1598</v>
      </c>
      <c r="O711" s="20" t="s">
        <v>27</v>
      </c>
      <c r="P711" s="21" t="s">
        <v>4059</v>
      </c>
      <c r="Q711" s="20"/>
      <c r="R711" s="20" t="s">
        <v>4060</v>
      </c>
      <c r="S711" s="20"/>
      <c r="T711" s="20"/>
      <c r="U711" s="20"/>
      <c r="V711" s="20"/>
    </row>
    <row r="712" spans="2:22" ht="17">
      <c r="B712" s="29" t="s">
        <v>4061</v>
      </c>
      <c r="C712" s="12" t="s">
        <v>20</v>
      </c>
      <c r="D712" s="30" t="s">
        <v>215</v>
      </c>
      <c r="E712" s="31">
        <v>970000</v>
      </c>
      <c r="F712" s="32">
        <f>Table2[[#This Row],[Price]]/Table2[[#This Row],[Tot Ht Area]]</f>
        <v>228.77358490566039</v>
      </c>
      <c r="G712" s="33">
        <v>4240</v>
      </c>
      <c r="H712" s="33">
        <v>12376</v>
      </c>
      <c r="I712" s="34" t="s">
        <v>4062</v>
      </c>
      <c r="J712" s="35">
        <v>2022</v>
      </c>
      <c r="K712" s="30" t="s">
        <v>1320</v>
      </c>
      <c r="L712" s="30"/>
      <c r="M712" s="30" t="s">
        <v>4063</v>
      </c>
      <c r="N712" s="20" t="s">
        <v>1598</v>
      </c>
      <c r="O712" s="20" t="s">
        <v>27</v>
      </c>
      <c r="P712" s="21" t="s">
        <v>4064</v>
      </c>
      <c r="Q712" s="20"/>
      <c r="R712" s="20" t="s">
        <v>4065</v>
      </c>
      <c r="S712" s="20"/>
      <c r="T712" s="20"/>
      <c r="U712" s="20"/>
      <c r="V712" s="20"/>
    </row>
    <row r="713" spans="2:22" ht="34">
      <c r="B713" s="29" t="s">
        <v>4066</v>
      </c>
      <c r="C713" s="12" t="s">
        <v>20</v>
      </c>
      <c r="D713" s="30" t="s">
        <v>450</v>
      </c>
      <c r="E713" s="31">
        <v>675000</v>
      </c>
      <c r="F713" s="32" t="e">
        <f>Table2[[#This Row],[Price]]/Table2[[#This Row],[Tot Ht Area]]</f>
        <v>#DIV/0!</v>
      </c>
      <c r="G713" s="33"/>
      <c r="H713" s="33">
        <v>11845</v>
      </c>
      <c r="I713" s="34" t="s">
        <v>4067</v>
      </c>
      <c r="J713" s="35">
        <v>1989</v>
      </c>
      <c r="K713" s="30" t="s">
        <v>1716</v>
      </c>
      <c r="L713" s="30"/>
      <c r="M713" s="30" t="s">
        <v>4068</v>
      </c>
      <c r="N713" s="20" t="s">
        <v>1598</v>
      </c>
      <c r="O713" s="20" t="s">
        <v>27</v>
      </c>
      <c r="P713" s="21" t="s">
        <v>4069</v>
      </c>
      <c r="Q713" s="20"/>
      <c r="R713" s="20" t="s">
        <v>4070</v>
      </c>
      <c r="S713" s="20"/>
      <c r="T713" s="20"/>
      <c r="U713" s="20"/>
      <c r="V713" s="20"/>
    </row>
    <row r="714" spans="2:22" ht="32">
      <c r="B714" s="29" t="s">
        <v>4071</v>
      </c>
      <c r="C714" s="12" t="s">
        <v>20</v>
      </c>
      <c r="D714" s="30" t="s">
        <v>686</v>
      </c>
      <c r="E714" s="31">
        <v>6000000</v>
      </c>
      <c r="F714" s="32">
        <f>Table2[[#This Row],[Price]]/Table2[[#This Row],[Tot Ht Area]]</f>
        <v>462.03603881102725</v>
      </c>
      <c r="G714" s="33">
        <v>12986</v>
      </c>
      <c r="H714" s="33">
        <v>12986</v>
      </c>
      <c r="I714" s="34" t="s">
        <v>2577</v>
      </c>
      <c r="J714" s="35">
        <v>1989</v>
      </c>
      <c r="K714" s="30" t="s">
        <v>172</v>
      </c>
      <c r="L714" s="30"/>
      <c r="M714" s="30" t="s">
        <v>4072</v>
      </c>
      <c r="N714" s="20" t="s">
        <v>1598</v>
      </c>
      <c r="O714" s="20" t="s">
        <v>27</v>
      </c>
      <c r="P714" s="21" t="s">
        <v>4073</v>
      </c>
      <c r="Q714" s="20"/>
      <c r="R714" s="20" t="s">
        <v>4074</v>
      </c>
      <c r="S714" s="20"/>
      <c r="T714" s="20"/>
      <c r="U714" s="20"/>
      <c r="V714" s="20"/>
    </row>
    <row r="715" spans="2:22" ht="17">
      <c r="B715" s="11" t="s">
        <v>4075</v>
      </c>
      <c r="C715" s="12" t="s">
        <v>184</v>
      </c>
      <c r="D715" s="13" t="s">
        <v>133</v>
      </c>
      <c r="E715" s="24">
        <v>3430000</v>
      </c>
      <c r="F715" s="25">
        <f>Table2[[#This Row],[Price]]/Table2[[#This Row],[Tot Ht Area]]</f>
        <v>333.07438337541271</v>
      </c>
      <c r="G715" s="16">
        <v>10298</v>
      </c>
      <c r="H715" s="16">
        <v>10954</v>
      </c>
      <c r="I715" s="17" t="s">
        <v>4076</v>
      </c>
      <c r="J715" s="18" t="s">
        <v>1138</v>
      </c>
      <c r="K715" s="19" t="s">
        <v>48</v>
      </c>
      <c r="L715" s="19"/>
      <c r="M715" s="19" t="s">
        <v>4077</v>
      </c>
      <c r="N715" s="20" t="s">
        <v>1598</v>
      </c>
      <c r="O715" s="20" t="s">
        <v>27</v>
      </c>
      <c r="P715" s="21" t="s">
        <v>4078</v>
      </c>
      <c r="Q715" s="20"/>
      <c r="R715" s="20" t="s">
        <v>4079</v>
      </c>
      <c r="S715" s="20"/>
      <c r="T715" s="20"/>
      <c r="U715" s="20"/>
      <c r="V715" s="20"/>
    </row>
    <row r="716" spans="2:22" ht="17">
      <c r="B716" s="11" t="s">
        <v>4080</v>
      </c>
      <c r="C716" s="12" t="s">
        <v>184</v>
      </c>
      <c r="D716" s="13" t="s">
        <v>436</v>
      </c>
      <c r="E716" s="24">
        <v>3170000</v>
      </c>
      <c r="F716" s="25">
        <f>Table2[[#This Row],[Price]]/Table2[[#This Row],[Tot Ht Area]]</f>
        <v>123.828125</v>
      </c>
      <c r="G716" s="16">
        <v>25600</v>
      </c>
      <c r="H716" s="16">
        <v>25648</v>
      </c>
      <c r="I716" s="17" t="s">
        <v>4081</v>
      </c>
      <c r="J716" s="18" t="s">
        <v>415</v>
      </c>
      <c r="K716" s="19" t="s">
        <v>37</v>
      </c>
      <c r="L716" s="19"/>
      <c r="M716" s="19" t="s">
        <v>4082</v>
      </c>
      <c r="N716" s="20" t="s">
        <v>1598</v>
      </c>
      <c r="O716" s="20" t="s">
        <v>27</v>
      </c>
      <c r="P716" s="21" t="s">
        <v>4083</v>
      </c>
      <c r="Q716" s="20"/>
      <c r="R716" s="20" t="s">
        <v>4084</v>
      </c>
      <c r="S716" s="20"/>
      <c r="T716" s="20"/>
      <c r="U716" s="20"/>
      <c r="V716" s="20"/>
    </row>
    <row r="717" spans="2:22" ht="34">
      <c r="B717" s="11" t="s">
        <v>4085</v>
      </c>
      <c r="C717" s="12" t="s">
        <v>184</v>
      </c>
      <c r="D717" s="13" t="s">
        <v>285</v>
      </c>
      <c r="E717" s="24">
        <v>600000</v>
      </c>
      <c r="F717" s="25">
        <f>Table2[[#This Row],[Price]]/Table2[[#This Row],[Tot Ht Area]]</f>
        <v>166.66666666666666</v>
      </c>
      <c r="G717" s="16">
        <v>3600</v>
      </c>
      <c r="H717" s="16">
        <v>3600</v>
      </c>
      <c r="I717" s="17" t="s">
        <v>4086</v>
      </c>
      <c r="J717" s="18" t="s">
        <v>1754</v>
      </c>
      <c r="K717" s="19" t="s">
        <v>37</v>
      </c>
      <c r="L717" s="19"/>
      <c r="M717" s="19" t="s">
        <v>4087</v>
      </c>
      <c r="N717" s="20" t="s">
        <v>1598</v>
      </c>
      <c r="O717" s="20" t="s">
        <v>1812</v>
      </c>
      <c r="P717" s="21" t="s">
        <v>4088</v>
      </c>
      <c r="Q717" s="20" t="s">
        <v>4089</v>
      </c>
      <c r="R717" s="20" t="s">
        <v>4090</v>
      </c>
      <c r="S717" s="20"/>
      <c r="T717" s="20"/>
      <c r="U717" s="20"/>
      <c r="V717" s="20"/>
    </row>
    <row r="718" spans="2:22" ht="34">
      <c r="B718" s="11" t="s">
        <v>4091</v>
      </c>
      <c r="C718" s="12" t="s">
        <v>184</v>
      </c>
      <c r="D718" s="13" t="s">
        <v>2642</v>
      </c>
      <c r="E718" s="24">
        <v>225000</v>
      </c>
      <c r="F718" s="25">
        <f>Table2[[#This Row],[Price]]/Table2[[#This Row],[Tot Ht Area]]</f>
        <v>57.692307692307693</v>
      </c>
      <c r="G718" s="16">
        <v>3900</v>
      </c>
      <c r="H718" s="16">
        <v>3930</v>
      </c>
      <c r="I718" s="17" t="s">
        <v>4092</v>
      </c>
      <c r="J718" s="18" t="s">
        <v>287</v>
      </c>
      <c r="K718" s="19" t="s">
        <v>48</v>
      </c>
      <c r="L718" s="19"/>
      <c r="M718" s="19" t="s">
        <v>4093</v>
      </c>
      <c r="N718" s="20" t="s">
        <v>1598</v>
      </c>
      <c r="O718" s="20" t="s">
        <v>27</v>
      </c>
      <c r="P718" s="21" t="s">
        <v>4094</v>
      </c>
      <c r="Q718" s="20"/>
      <c r="R718" s="20" t="s">
        <v>4095</v>
      </c>
      <c r="S718" s="20"/>
      <c r="T718" s="20"/>
      <c r="U718" s="20"/>
      <c r="V718" s="20"/>
    </row>
    <row r="719" spans="2:22" ht="17">
      <c r="B719" s="11" t="s">
        <v>4096</v>
      </c>
      <c r="C719" s="12" t="s">
        <v>184</v>
      </c>
      <c r="D719" s="13" t="s">
        <v>792</v>
      </c>
      <c r="E719" s="24">
        <v>672000</v>
      </c>
      <c r="F719" s="25">
        <f>Table2[[#This Row],[Price]]/Table2[[#This Row],[Tot Ht Area]]</f>
        <v>210</v>
      </c>
      <c r="G719" s="16">
        <v>3200</v>
      </c>
      <c r="H719" s="16">
        <v>3360</v>
      </c>
      <c r="I719" s="17" t="s">
        <v>4097</v>
      </c>
      <c r="J719" s="18" t="s">
        <v>415</v>
      </c>
      <c r="K719" s="19" t="s">
        <v>37</v>
      </c>
      <c r="L719" s="19"/>
      <c r="M719" s="19" t="s">
        <v>4098</v>
      </c>
      <c r="N719" s="20" t="s">
        <v>1598</v>
      </c>
      <c r="O719" s="20" t="s">
        <v>27</v>
      </c>
      <c r="P719" s="21" t="s">
        <v>4099</v>
      </c>
      <c r="Q719" s="20"/>
      <c r="R719" s="20" t="s">
        <v>4100</v>
      </c>
      <c r="S719" s="20"/>
      <c r="T719" s="20"/>
      <c r="U719" s="20"/>
      <c r="V719" s="20"/>
    </row>
    <row r="720" spans="2:22" ht="34">
      <c r="B720" s="11" t="s">
        <v>4101</v>
      </c>
      <c r="C720" s="12" t="s">
        <v>184</v>
      </c>
      <c r="D720" s="13" t="s">
        <v>170</v>
      </c>
      <c r="E720" s="24">
        <v>1000000</v>
      </c>
      <c r="F720" s="25">
        <f>Table2[[#This Row],[Price]]/Table2[[#This Row],[Tot Ht Area]]</f>
        <v>222.22222222222223</v>
      </c>
      <c r="G720" s="16">
        <v>4500</v>
      </c>
      <c r="H720" s="16">
        <v>5025</v>
      </c>
      <c r="I720" s="17" t="s">
        <v>4102</v>
      </c>
      <c r="J720" s="18" t="s">
        <v>83</v>
      </c>
      <c r="K720" s="19" t="s">
        <v>48</v>
      </c>
      <c r="L720" s="19"/>
      <c r="M720" s="19" t="s">
        <v>4103</v>
      </c>
      <c r="N720" s="20" t="s">
        <v>1598</v>
      </c>
      <c r="O720" s="20" t="s">
        <v>27</v>
      </c>
      <c r="P720" s="21" t="s">
        <v>4104</v>
      </c>
      <c r="Q720" s="20"/>
      <c r="R720" s="20" t="s">
        <v>4105</v>
      </c>
      <c r="S720" s="20"/>
      <c r="T720" s="20"/>
      <c r="U720" s="20"/>
      <c r="V720" s="20"/>
    </row>
    <row r="721" spans="2:22" ht="34">
      <c r="B721" s="11" t="s">
        <v>4106</v>
      </c>
      <c r="C721" s="12" t="s">
        <v>184</v>
      </c>
      <c r="D721" s="13" t="s">
        <v>90</v>
      </c>
      <c r="E721" s="24">
        <v>720000</v>
      </c>
      <c r="F721" s="25">
        <f>Table2[[#This Row],[Price]]/Table2[[#This Row],[Tot Ht Area]]</f>
        <v>375</v>
      </c>
      <c r="G721" s="16">
        <v>1920</v>
      </c>
      <c r="H721" s="16">
        <v>2144</v>
      </c>
      <c r="I721" s="17" t="s">
        <v>4107</v>
      </c>
      <c r="J721" s="18" t="s">
        <v>83</v>
      </c>
      <c r="K721" s="19" t="s">
        <v>48</v>
      </c>
      <c r="L721" s="19"/>
      <c r="M721" s="19" t="s">
        <v>4108</v>
      </c>
      <c r="N721" s="20" t="s">
        <v>1598</v>
      </c>
      <c r="O721" s="20" t="s">
        <v>27</v>
      </c>
      <c r="P721" s="21" t="s">
        <v>4109</v>
      </c>
      <c r="Q721" s="20"/>
      <c r="R721" s="20" t="s">
        <v>4110</v>
      </c>
      <c r="S721" s="20"/>
      <c r="T721" s="20"/>
      <c r="U721" s="20"/>
      <c r="V721" s="20"/>
    </row>
    <row r="722" spans="2:22" ht="34">
      <c r="B722" s="11" t="s">
        <v>4111</v>
      </c>
      <c r="C722" s="12" t="s">
        <v>184</v>
      </c>
      <c r="D722" s="13" t="s">
        <v>982</v>
      </c>
      <c r="E722" s="24">
        <v>1200000</v>
      </c>
      <c r="F722" s="25">
        <f>Table2[[#This Row],[Price]]/Table2[[#This Row],[Tot Ht Area]]</f>
        <v>298.50746268656718</v>
      </c>
      <c r="G722" s="16">
        <v>4020</v>
      </c>
      <c r="H722" s="16">
        <v>4489</v>
      </c>
      <c r="I722" s="17" t="s">
        <v>4112</v>
      </c>
      <c r="J722" s="18" t="s">
        <v>83</v>
      </c>
      <c r="K722" s="19" t="s">
        <v>48</v>
      </c>
      <c r="L722" s="19"/>
      <c r="M722" s="19" t="s">
        <v>4113</v>
      </c>
      <c r="N722" s="20" t="s">
        <v>1598</v>
      </c>
      <c r="O722" s="20" t="s">
        <v>27</v>
      </c>
      <c r="P722" s="21" t="s">
        <v>4114</v>
      </c>
      <c r="Q722" s="20" t="s">
        <v>4115</v>
      </c>
      <c r="R722" s="20" t="s">
        <v>4116</v>
      </c>
      <c r="S722" s="20"/>
      <c r="T722" s="20"/>
      <c r="U722" s="20"/>
      <c r="V722" s="20"/>
    </row>
    <row r="723" spans="2:22" ht="17">
      <c r="B723" s="11" t="s">
        <v>4117</v>
      </c>
      <c r="C723" s="12" t="s">
        <v>184</v>
      </c>
      <c r="D723" s="13" t="s">
        <v>1255</v>
      </c>
      <c r="E723" s="24">
        <v>610000</v>
      </c>
      <c r="F723" s="25">
        <f>Table2[[#This Row],[Price]]/Table2[[#This Row],[Tot Ht Area]]</f>
        <v>288.55250709555344</v>
      </c>
      <c r="G723" s="16">
        <v>2114</v>
      </c>
      <c r="H723" s="16">
        <v>2190</v>
      </c>
      <c r="I723" s="17" t="s">
        <v>4118</v>
      </c>
      <c r="J723" s="18" t="s">
        <v>518</v>
      </c>
      <c r="K723" s="19" t="s">
        <v>37</v>
      </c>
      <c r="L723" s="19"/>
      <c r="M723" s="19" t="s">
        <v>4119</v>
      </c>
      <c r="N723" s="20" t="s">
        <v>1598</v>
      </c>
      <c r="O723" s="20" t="s">
        <v>27</v>
      </c>
      <c r="P723" s="21" t="s">
        <v>4120</v>
      </c>
      <c r="Q723" s="20"/>
      <c r="R723" s="20" t="s">
        <v>4121</v>
      </c>
      <c r="S723" s="20"/>
      <c r="T723" s="20"/>
      <c r="U723" s="20"/>
      <c r="V723" s="20"/>
    </row>
    <row r="724" spans="2:22" ht="17">
      <c r="B724" s="11" t="s">
        <v>4122</v>
      </c>
      <c r="C724" s="12" t="s">
        <v>184</v>
      </c>
      <c r="D724" s="13" t="s">
        <v>1418</v>
      </c>
      <c r="E724" s="24">
        <v>650000</v>
      </c>
      <c r="F724" s="25">
        <f>Table2[[#This Row],[Price]]/Table2[[#This Row],[Tot Ht Area]]</f>
        <v>86.666666666666671</v>
      </c>
      <c r="G724" s="16">
        <v>7500</v>
      </c>
      <c r="H724" s="16">
        <v>8244</v>
      </c>
      <c r="I724" s="17" t="s">
        <v>4123</v>
      </c>
      <c r="J724" s="18" t="s">
        <v>747</v>
      </c>
      <c r="K724" s="19" t="s">
        <v>37</v>
      </c>
      <c r="L724" s="19"/>
      <c r="M724" s="19" t="s">
        <v>4124</v>
      </c>
      <c r="N724" s="20" t="s">
        <v>1598</v>
      </c>
      <c r="O724" s="20" t="s">
        <v>27</v>
      </c>
      <c r="P724" s="21" t="s">
        <v>4125</v>
      </c>
      <c r="Q724" s="20"/>
      <c r="R724" s="20" t="s">
        <v>4126</v>
      </c>
      <c r="S724" s="20"/>
      <c r="T724" s="20"/>
      <c r="U724" s="20"/>
      <c r="V724" s="20"/>
    </row>
    <row r="725" spans="2:22" ht="17">
      <c r="B725" s="11" t="s">
        <v>4127</v>
      </c>
      <c r="C725" s="12" t="s">
        <v>184</v>
      </c>
      <c r="D725" s="13" t="s">
        <v>428</v>
      </c>
      <c r="E725" s="24">
        <v>1071200</v>
      </c>
      <c r="F725" s="25">
        <f>Table2[[#This Row],[Price]]/Table2[[#This Row],[Tot Ht Area]]</f>
        <v>440.8230452674897</v>
      </c>
      <c r="G725" s="16">
        <v>2430</v>
      </c>
      <c r="H725" s="16">
        <v>2508</v>
      </c>
      <c r="I725" s="17" t="s">
        <v>4128</v>
      </c>
      <c r="J725" s="18" t="s">
        <v>1138</v>
      </c>
      <c r="K725" s="19" t="s">
        <v>48</v>
      </c>
      <c r="L725" s="19"/>
      <c r="M725" s="19" t="s">
        <v>4129</v>
      </c>
      <c r="N725" s="20" t="s">
        <v>1598</v>
      </c>
      <c r="O725" s="20" t="s">
        <v>27</v>
      </c>
      <c r="P725" s="21" t="s">
        <v>4130</v>
      </c>
      <c r="Q725" s="20"/>
      <c r="R725" s="20" t="s">
        <v>4131</v>
      </c>
      <c r="S725" s="20"/>
      <c r="T725" s="20"/>
      <c r="U725" s="20"/>
      <c r="V725" s="20"/>
    </row>
    <row r="726" spans="2:22" ht="17">
      <c r="B726" s="11" t="s">
        <v>4132</v>
      </c>
      <c r="C726" s="12" t="s">
        <v>184</v>
      </c>
      <c r="D726" s="13" t="s">
        <v>285</v>
      </c>
      <c r="E726" s="24"/>
      <c r="F726" s="25">
        <f>Table2[[#This Row],[Price]]/Table2[[#This Row],[Tot Ht Area]]</f>
        <v>0</v>
      </c>
      <c r="G726" s="16">
        <v>3416</v>
      </c>
      <c r="H726" s="16">
        <v>3861</v>
      </c>
      <c r="I726" s="17" t="s">
        <v>3866</v>
      </c>
      <c r="J726" s="18" t="s">
        <v>83</v>
      </c>
      <c r="K726" s="19" t="s">
        <v>48</v>
      </c>
      <c r="L726" s="19"/>
      <c r="M726" s="19" t="s">
        <v>4133</v>
      </c>
      <c r="N726" s="20" t="s">
        <v>1598</v>
      </c>
      <c r="O726" s="20" t="s">
        <v>27</v>
      </c>
      <c r="P726" s="21" t="s">
        <v>3868</v>
      </c>
      <c r="Q726" s="20"/>
      <c r="R726" s="20" t="s">
        <v>4134</v>
      </c>
      <c r="S726" s="20"/>
      <c r="T726" s="20"/>
      <c r="U726" s="20"/>
      <c r="V726" s="20"/>
    </row>
    <row r="727" spans="2:22" ht="17">
      <c r="B727" s="11" t="s">
        <v>4135</v>
      </c>
      <c r="C727" s="12" t="s">
        <v>184</v>
      </c>
      <c r="D727" s="13" t="s">
        <v>108</v>
      </c>
      <c r="E727" s="24">
        <v>100</v>
      </c>
      <c r="F727" s="25">
        <f>Table2[[#This Row],[Price]]/Table2[[#This Row],[Tot Ht Area]]</f>
        <v>2.0242914979757085E-2</v>
      </c>
      <c r="G727" s="16">
        <v>4940</v>
      </c>
      <c r="H727" s="16">
        <v>4940</v>
      </c>
      <c r="I727" s="17" t="s">
        <v>4136</v>
      </c>
      <c r="J727" s="18" t="s">
        <v>135</v>
      </c>
      <c r="K727" s="19" t="s">
        <v>37</v>
      </c>
      <c r="L727" s="19"/>
      <c r="M727" s="19" t="s">
        <v>4137</v>
      </c>
      <c r="N727" s="20" t="s">
        <v>1598</v>
      </c>
      <c r="O727" s="20" t="s">
        <v>27</v>
      </c>
      <c r="P727" s="21" t="s">
        <v>4138</v>
      </c>
      <c r="Q727" s="20"/>
      <c r="R727" s="20" t="s">
        <v>4139</v>
      </c>
      <c r="S727" s="20"/>
      <c r="T727" s="20" t="s">
        <v>6318</v>
      </c>
      <c r="U727" s="20"/>
      <c r="V727" s="20"/>
    </row>
    <row r="728" spans="2:22" ht="17">
      <c r="B728" s="11" t="s">
        <v>4140</v>
      </c>
      <c r="C728" s="12" t="s">
        <v>184</v>
      </c>
      <c r="D728" s="13" t="s">
        <v>90</v>
      </c>
      <c r="E728" s="24">
        <v>800000</v>
      </c>
      <c r="F728" s="25">
        <f>Table2[[#This Row],[Price]]/Table2[[#This Row],[Tot Ht Area]]</f>
        <v>420.16806722689074</v>
      </c>
      <c r="G728" s="16">
        <v>1904</v>
      </c>
      <c r="H728" s="16">
        <v>2086</v>
      </c>
      <c r="I728" s="17" t="s">
        <v>4141</v>
      </c>
      <c r="J728" s="18" t="s">
        <v>278</v>
      </c>
      <c r="K728" s="19" t="s">
        <v>37</v>
      </c>
      <c r="L728" s="19"/>
      <c r="M728" s="19" t="s">
        <v>4142</v>
      </c>
      <c r="N728" s="20" t="s">
        <v>1598</v>
      </c>
      <c r="O728" s="20" t="s">
        <v>27</v>
      </c>
      <c r="P728" s="21" t="s">
        <v>4143</v>
      </c>
      <c r="Q728" s="20"/>
      <c r="R728" s="20" t="s">
        <v>4144</v>
      </c>
      <c r="S728" s="20"/>
      <c r="T728" s="20"/>
      <c r="U728" s="20"/>
      <c r="V728" s="20"/>
    </row>
    <row r="729" spans="2:22" ht="34">
      <c r="B729" s="11" t="s">
        <v>4145</v>
      </c>
      <c r="C729" s="12" t="s">
        <v>184</v>
      </c>
      <c r="D729" s="13" t="s">
        <v>260</v>
      </c>
      <c r="E729" s="24">
        <v>100</v>
      </c>
      <c r="F729" s="25">
        <f>Table2[[#This Row],[Price]]/Table2[[#This Row],[Tot Ht Area]]</f>
        <v>3.3967391304347824E-2</v>
      </c>
      <c r="G729" s="16">
        <v>2944</v>
      </c>
      <c r="H729" s="16">
        <v>3064</v>
      </c>
      <c r="I729" s="17" t="s">
        <v>4146</v>
      </c>
      <c r="J729" s="18" t="s">
        <v>688</v>
      </c>
      <c r="K729" s="19" t="s">
        <v>37</v>
      </c>
      <c r="L729" s="19"/>
      <c r="M729" s="19" t="s">
        <v>4147</v>
      </c>
      <c r="N729" s="20" t="s">
        <v>1598</v>
      </c>
      <c r="O729" s="20" t="s">
        <v>27</v>
      </c>
      <c r="P729" s="21" t="s">
        <v>4148</v>
      </c>
      <c r="Q729" s="20"/>
      <c r="R729" s="20" t="s">
        <v>4149</v>
      </c>
      <c r="S729" s="20"/>
      <c r="T729" s="20" t="s">
        <v>6318</v>
      </c>
      <c r="U729" s="20"/>
      <c r="V729" s="20"/>
    </row>
    <row r="730" spans="2:22" ht="17">
      <c r="B730" s="11" t="s">
        <v>4150</v>
      </c>
      <c r="C730" s="12" t="s">
        <v>184</v>
      </c>
      <c r="D730" s="13" t="s">
        <v>398</v>
      </c>
      <c r="E730" s="24">
        <v>575000</v>
      </c>
      <c r="F730" s="25">
        <f>Table2[[#This Row],[Price]]/Table2[[#This Row],[Tot Ht Area]]</f>
        <v>110.57692307692308</v>
      </c>
      <c r="G730" s="16">
        <v>5200</v>
      </c>
      <c r="H730" s="16">
        <v>5781</v>
      </c>
      <c r="I730" s="17" t="s">
        <v>4151</v>
      </c>
      <c r="J730" s="18" t="s">
        <v>135</v>
      </c>
      <c r="K730" s="19" t="s">
        <v>37</v>
      </c>
      <c r="L730" s="19"/>
      <c r="M730" s="19" t="s">
        <v>4152</v>
      </c>
      <c r="N730" s="20" t="s">
        <v>1598</v>
      </c>
      <c r="O730" s="20" t="s">
        <v>27</v>
      </c>
      <c r="P730" s="21" t="s">
        <v>4153</v>
      </c>
      <c r="Q730" s="20"/>
      <c r="R730" s="20" t="s">
        <v>4154</v>
      </c>
      <c r="S730" s="20"/>
      <c r="T730" s="20"/>
      <c r="U730" s="20"/>
      <c r="V730" s="20"/>
    </row>
    <row r="731" spans="2:22" ht="34">
      <c r="B731" s="11" t="s">
        <v>4155</v>
      </c>
      <c r="C731" s="12" t="s">
        <v>184</v>
      </c>
      <c r="D731" s="13" t="s">
        <v>1641</v>
      </c>
      <c r="E731" s="24">
        <v>1675000</v>
      </c>
      <c r="F731" s="25">
        <f>Table2[[#This Row],[Price]]/Table2[[#This Row],[Tot Ht Area]]</f>
        <v>232.12305986696231</v>
      </c>
      <c r="G731" s="16">
        <v>7216</v>
      </c>
      <c r="H731" s="16">
        <v>7296</v>
      </c>
      <c r="I731" s="17" t="s">
        <v>4156</v>
      </c>
      <c r="J731" s="18" t="s">
        <v>75</v>
      </c>
      <c r="K731" s="19" t="s">
        <v>48</v>
      </c>
      <c r="L731" s="19"/>
      <c r="M731" s="19" t="s">
        <v>4157</v>
      </c>
      <c r="N731" s="20" t="s">
        <v>1598</v>
      </c>
      <c r="O731" s="20" t="s">
        <v>27</v>
      </c>
      <c r="P731" s="21" t="s">
        <v>4158</v>
      </c>
      <c r="Q731" s="20"/>
      <c r="R731" s="20" t="s">
        <v>4159</v>
      </c>
      <c r="S731" s="20"/>
      <c r="T731" s="20"/>
      <c r="U731" s="20"/>
      <c r="V731" s="20"/>
    </row>
    <row r="732" spans="2:22" ht="17">
      <c r="B732" s="11" t="s">
        <v>4160</v>
      </c>
      <c r="C732" s="12" t="s">
        <v>184</v>
      </c>
      <c r="D732" s="13" t="s">
        <v>428</v>
      </c>
      <c r="E732" s="24">
        <v>2310000</v>
      </c>
      <c r="F732" s="25">
        <f>Table2[[#This Row],[Price]]/Table2[[#This Row],[Tot Ht Area]]</f>
        <v>565.20675311964771</v>
      </c>
      <c r="G732" s="16">
        <v>4087</v>
      </c>
      <c r="H732" s="16">
        <v>4112</v>
      </c>
      <c r="I732" s="17" t="s">
        <v>4161</v>
      </c>
      <c r="J732" s="18" t="s">
        <v>4162</v>
      </c>
      <c r="K732" s="19" t="s">
        <v>48</v>
      </c>
      <c r="L732" s="19"/>
      <c r="M732" s="19" t="s">
        <v>4163</v>
      </c>
      <c r="N732" s="20" t="s">
        <v>1598</v>
      </c>
      <c r="O732" s="20" t="s">
        <v>1812</v>
      </c>
      <c r="P732" s="21" t="s">
        <v>3042</v>
      </c>
      <c r="Q732" s="20" t="s">
        <v>4164</v>
      </c>
      <c r="R732" s="20" t="s">
        <v>4165</v>
      </c>
      <c r="S732" s="20"/>
      <c r="T732" s="20"/>
      <c r="U732" s="20"/>
      <c r="V732" s="20"/>
    </row>
    <row r="733" spans="2:22" ht="17">
      <c r="B733" s="11" t="s">
        <v>4166</v>
      </c>
      <c r="C733" s="12" t="s">
        <v>184</v>
      </c>
      <c r="D733" s="13" t="s">
        <v>398</v>
      </c>
      <c r="E733" s="24">
        <v>2000000</v>
      </c>
      <c r="F733" s="25">
        <f>Table2[[#This Row],[Price]]/Table2[[#This Row],[Tot Ht Area]]</f>
        <v>1200.4801920768307</v>
      </c>
      <c r="G733" s="16">
        <v>1666</v>
      </c>
      <c r="H733" s="16">
        <v>2000</v>
      </c>
      <c r="I733" s="17" t="s">
        <v>4167</v>
      </c>
      <c r="J733" s="18" t="s">
        <v>2133</v>
      </c>
      <c r="K733" s="19" t="s">
        <v>37</v>
      </c>
      <c r="L733" s="19"/>
      <c r="M733" s="19" t="s">
        <v>4168</v>
      </c>
      <c r="N733" s="20" t="s">
        <v>1598</v>
      </c>
      <c r="O733" s="20" t="s">
        <v>27</v>
      </c>
      <c r="P733" s="21" t="s">
        <v>4169</v>
      </c>
      <c r="Q733" s="20"/>
      <c r="R733" s="20" t="s">
        <v>4170</v>
      </c>
      <c r="S733" s="20"/>
      <c r="T733" s="20"/>
      <c r="U733" s="20"/>
      <c r="V733" s="20"/>
    </row>
    <row r="734" spans="2:22" ht="17">
      <c r="B734" s="11" t="s">
        <v>4171</v>
      </c>
      <c r="C734" s="12" t="s">
        <v>184</v>
      </c>
      <c r="D734" s="13" t="s">
        <v>398</v>
      </c>
      <c r="E734" s="24">
        <v>2000000</v>
      </c>
      <c r="F734" s="25">
        <f>Table2[[#This Row],[Price]]/Table2[[#This Row],[Tot Ht Area]]</f>
        <v>1132.5028312570782</v>
      </c>
      <c r="G734" s="16">
        <v>1766</v>
      </c>
      <c r="H734" s="16">
        <v>2296</v>
      </c>
      <c r="I734" s="17" t="s">
        <v>4167</v>
      </c>
      <c r="J734" s="18" t="s">
        <v>2133</v>
      </c>
      <c r="K734" s="19" t="s">
        <v>37</v>
      </c>
      <c r="L734" s="19"/>
      <c r="M734" s="19" t="s">
        <v>4172</v>
      </c>
      <c r="N734" s="20" t="s">
        <v>1598</v>
      </c>
      <c r="O734" s="20" t="s">
        <v>27</v>
      </c>
      <c r="P734" s="21" t="s">
        <v>4173</v>
      </c>
      <c r="Q734" s="20"/>
      <c r="R734" s="20" t="s">
        <v>4174</v>
      </c>
      <c r="S734" s="20"/>
      <c r="T734" s="20"/>
      <c r="U734" s="20"/>
      <c r="V734" s="20"/>
    </row>
    <row r="735" spans="2:22" ht="17">
      <c r="B735" s="11" t="s">
        <v>4175</v>
      </c>
      <c r="C735" s="12" t="s">
        <v>184</v>
      </c>
      <c r="D735" s="13" t="s">
        <v>474</v>
      </c>
      <c r="E735" s="24">
        <v>100</v>
      </c>
      <c r="F735" s="25">
        <f>Table2[[#This Row],[Price]]/Table2[[#This Row],[Tot Ht Area]]</f>
        <v>2.9904306220095694E-2</v>
      </c>
      <c r="G735" s="16">
        <v>3344</v>
      </c>
      <c r="H735" s="16">
        <v>3604</v>
      </c>
      <c r="I735" s="17" t="s">
        <v>4176</v>
      </c>
      <c r="J735" s="18" t="s">
        <v>415</v>
      </c>
      <c r="K735" s="19" t="s">
        <v>37</v>
      </c>
      <c r="L735" s="19"/>
      <c r="M735" s="19" t="s">
        <v>4177</v>
      </c>
      <c r="N735" s="20" t="s">
        <v>1598</v>
      </c>
      <c r="O735" s="20" t="s">
        <v>27</v>
      </c>
      <c r="P735" s="21" t="s">
        <v>2926</v>
      </c>
      <c r="Q735" s="20"/>
      <c r="R735" s="20" t="s">
        <v>4178</v>
      </c>
      <c r="S735" s="20"/>
      <c r="T735" s="20" t="s">
        <v>6318</v>
      </c>
      <c r="U735" s="20"/>
      <c r="V735" s="20"/>
    </row>
    <row r="736" spans="2:22" ht="17">
      <c r="B736" s="11" t="s">
        <v>4179</v>
      </c>
      <c r="C736" s="12" t="s">
        <v>184</v>
      </c>
      <c r="D736" s="13" t="s">
        <v>436</v>
      </c>
      <c r="E736" s="24">
        <v>300000</v>
      </c>
      <c r="F736" s="25">
        <f>Table2[[#This Row],[Price]]/Table2[[#This Row],[Tot Ht Area]]</f>
        <v>76.92307692307692</v>
      </c>
      <c r="G736" s="16">
        <v>3900</v>
      </c>
      <c r="H736" s="16">
        <v>4160</v>
      </c>
      <c r="I736" s="17" t="s">
        <v>4180</v>
      </c>
      <c r="J736" s="18" t="s">
        <v>415</v>
      </c>
      <c r="K736" s="19" t="s">
        <v>37</v>
      </c>
      <c r="L736" s="19"/>
      <c r="M736" s="19" t="s">
        <v>4181</v>
      </c>
      <c r="N736" s="20" t="s">
        <v>1598</v>
      </c>
      <c r="O736" s="20" t="s">
        <v>27</v>
      </c>
      <c r="P736" s="21" t="s">
        <v>4182</v>
      </c>
      <c r="Q736" s="20"/>
      <c r="R736" s="20" t="s">
        <v>4183</v>
      </c>
      <c r="S736" s="20"/>
      <c r="T736" s="20"/>
      <c r="U736" s="20"/>
      <c r="V736" s="20"/>
    </row>
    <row r="737" spans="2:22" ht="34">
      <c r="B737" s="11" t="s">
        <v>4184</v>
      </c>
      <c r="C737" s="12" t="s">
        <v>184</v>
      </c>
      <c r="D737" s="13" t="s">
        <v>253</v>
      </c>
      <c r="E737" s="24">
        <v>395800</v>
      </c>
      <c r="F737" s="25">
        <f>Table2[[#This Row],[Price]]/Table2[[#This Row],[Tot Ht Area]]</f>
        <v>200.30364372469634</v>
      </c>
      <c r="G737" s="16">
        <v>1976</v>
      </c>
      <c r="H737" s="16">
        <v>2236</v>
      </c>
      <c r="I737" s="17" t="s">
        <v>4185</v>
      </c>
      <c r="J737" s="18" t="s">
        <v>415</v>
      </c>
      <c r="K737" s="19" t="s">
        <v>37</v>
      </c>
      <c r="L737" s="19"/>
      <c r="M737" s="19" t="s">
        <v>4186</v>
      </c>
      <c r="N737" s="20" t="s">
        <v>1598</v>
      </c>
      <c r="O737" s="20" t="s">
        <v>27</v>
      </c>
      <c r="P737" s="21" t="s">
        <v>4187</v>
      </c>
      <c r="Q737" s="20"/>
      <c r="R737" s="20" t="s">
        <v>4188</v>
      </c>
      <c r="S737" s="20"/>
      <c r="T737" s="20"/>
      <c r="U737" s="20"/>
      <c r="V737" s="20"/>
    </row>
    <row r="738" spans="2:22" ht="34">
      <c r="B738" s="11" t="s">
        <v>4189</v>
      </c>
      <c r="C738" s="12" t="s">
        <v>184</v>
      </c>
      <c r="D738" s="13" t="s">
        <v>253</v>
      </c>
      <c r="E738" s="24">
        <v>395800</v>
      </c>
      <c r="F738" s="25">
        <f>Table2[[#This Row],[Price]]/Table2[[#This Row],[Tot Ht Area]]</f>
        <v>200.30364372469634</v>
      </c>
      <c r="G738" s="16">
        <v>1976</v>
      </c>
      <c r="H738" s="16">
        <v>2288</v>
      </c>
      <c r="I738" s="17" t="s">
        <v>4185</v>
      </c>
      <c r="J738" s="18" t="s">
        <v>415</v>
      </c>
      <c r="K738" s="19" t="s">
        <v>37</v>
      </c>
      <c r="L738" s="19"/>
      <c r="M738" s="19" t="s">
        <v>4190</v>
      </c>
      <c r="N738" s="20" t="s">
        <v>1598</v>
      </c>
      <c r="O738" s="20" t="s">
        <v>27</v>
      </c>
      <c r="P738" s="21" t="s">
        <v>4187</v>
      </c>
      <c r="Q738" s="20"/>
      <c r="R738" s="20" t="s">
        <v>4191</v>
      </c>
      <c r="S738" s="20"/>
      <c r="T738" s="20"/>
      <c r="U738" s="20"/>
      <c r="V738" s="20"/>
    </row>
    <row r="739" spans="2:22" ht="17">
      <c r="B739" s="11" t="s">
        <v>4192</v>
      </c>
      <c r="C739" s="12" t="s">
        <v>184</v>
      </c>
      <c r="D739" s="13" t="s">
        <v>709</v>
      </c>
      <c r="E739" s="24">
        <v>225000</v>
      </c>
      <c r="F739" s="25">
        <f>Table2[[#This Row],[Price]]/Table2[[#This Row],[Tot Ht Area]]</f>
        <v>113.8663967611336</v>
      </c>
      <c r="G739" s="16">
        <v>1976</v>
      </c>
      <c r="H739" s="16">
        <v>2236</v>
      </c>
      <c r="I739" s="17" t="s">
        <v>4193</v>
      </c>
      <c r="J739" s="18" t="s">
        <v>415</v>
      </c>
      <c r="K739" s="19" t="s">
        <v>37</v>
      </c>
      <c r="L739" s="19"/>
      <c r="M739" s="19" t="s">
        <v>4194</v>
      </c>
      <c r="N739" s="20" t="s">
        <v>1598</v>
      </c>
      <c r="O739" s="20" t="s">
        <v>27</v>
      </c>
      <c r="P739" s="21" t="s">
        <v>4195</v>
      </c>
      <c r="Q739" s="20"/>
      <c r="R739" s="20" t="s">
        <v>4196</v>
      </c>
      <c r="S739" s="20"/>
      <c r="T739" s="20"/>
      <c r="U739" s="20"/>
      <c r="V739" s="20"/>
    </row>
    <row r="740" spans="2:22" ht="17">
      <c r="B740" s="11" t="s">
        <v>4197</v>
      </c>
      <c r="C740" s="12" t="s">
        <v>184</v>
      </c>
      <c r="D740" s="13" t="s">
        <v>124</v>
      </c>
      <c r="E740" s="24">
        <v>100</v>
      </c>
      <c r="F740" s="25">
        <f>Table2[[#This Row],[Price]]/Table2[[#This Row],[Tot Ht Area]]</f>
        <v>3.8819875776397512E-2</v>
      </c>
      <c r="G740" s="16">
        <v>2576</v>
      </c>
      <c r="H740" s="16">
        <v>2836</v>
      </c>
      <c r="I740" s="17" t="s">
        <v>4198</v>
      </c>
      <c r="J740" s="18" t="s">
        <v>415</v>
      </c>
      <c r="K740" s="19" t="s">
        <v>37</v>
      </c>
      <c r="L740" s="19"/>
      <c r="M740" s="19" t="s">
        <v>4199</v>
      </c>
      <c r="N740" s="20" t="s">
        <v>1598</v>
      </c>
      <c r="O740" s="20" t="s">
        <v>1812</v>
      </c>
      <c r="P740" s="21" t="s">
        <v>3042</v>
      </c>
      <c r="Q740" s="20" t="s">
        <v>4200</v>
      </c>
      <c r="R740" s="20" t="s">
        <v>4201</v>
      </c>
      <c r="S740" s="20"/>
      <c r="T740" s="20" t="s">
        <v>6318</v>
      </c>
      <c r="U740" s="20"/>
      <c r="V740" s="20"/>
    </row>
    <row r="741" spans="2:22" ht="34">
      <c r="B741" s="11" t="s">
        <v>4202</v>
      </c>
      <c r="C741" s="12" t="s">
        <v>184</v>
      </c>
      <c r="D741" s="13" t="s">
        <v>64</v>
      </c>
      <c r="E741" s="24">
        <v>100</v>
      </c>
      <c r="F741" s="25">
        <f>Table2[[#This Row],[Price]]/Table2[[#This Row],[Tot Ht Area]]</f>
        <v>5.0607287449392711E-2</v>
      </c>
      <c r="G741" s="16">
        <v>1976</v>
      </c>
      <c r="H741" s="16">
        <v>2136</v>
      </c>
      <c r="I741" s="17" t="s">
        <v>4203</v>
      </c>
      <c r="J741" s="18" t="s">
        <v>415</v>
      </c>
      <c r="K741" s="19" t="s">
        <v>37</v>
      </c>
      <c r="L741" s="19"/>
      <c r="M741" s="19" t="s">
        <v>4204</v>
      </c>
      <c r="N741" s="20" t="s">
        <v>1598</v>
      </c>
      <c r="O741" s="20" t="s">
        <v>27</v>
      </c>
      <c r="P741" s="21" t="s">
        <v>4205</v>
      </c>
      <c r="Q741" s="20"/>
      <c r="R741" s="20" t="s">
        <v>4206</v>
      </c>
      <c r="S741" s="20"/>
      <c r="T741" s="20" t="s">
        <v>6318</v>
      </c>
      <c r="U741" s="20"/>
      <c r="V741" s="20"/>
    </row>
    <row r="742" spans="2:22" ht="34">
      <c r="B742" s="11" t="s">
        <v>4207</v>
      </c>
      <c r="C742" s="12" t="s">
        <v>184</v>
      </c>
      <c r="D742" s="13" t="s">
        <v>1255</v>
      </c>
      <c r="E742" s="24">
        <v>675500</v>
      </c>
      <c r="F742" s="25">
        <f>Table2[[#This Row],[Price]]/Table2[[#This Row],[Tot Ht Area]]</f>
        <v>341.85222672064776</v>
      </c>
      <c r="G742" s="16">
        <v>1976</v>
      </c>
      <c r="H742" s="16">
        <v>2136</v>
      </c>
      <c r="I742" s="17" t="s">
        <v>4208</v>
      </c>
      <c r="J742" s="18" t="s">
        <v>316</v>
      </c>
      <c r="K742" s="19" t="s">
        <v>37</v>
      </c>
      <c r="L742" s="19"/>
      <c r="M742" s="19" t="s">
        <v>4209</v>
      </c>
      <c r="N742" s="20" t="s">
        <v>1598</v>
      </c>
      <c r="O742" s="20" t="s">
        <v>27</v>
      </c>
      <c r="P742" s="21" t="s">
        <v>4210</v>
      </c>
      <c r="Q742" s="20"/>
      <c r="R742" s="20" t="s">
        <v>4211</v>
      </c>
      <c r="S742" s="20"/>
      <c r="T742" s="20"/>
      <c r="U742" s="20"/>
      <c r="V742" s="20"/>
    </row>
    <row r="743" spans="2:22" ht="34">
      <c r="B743" s="11" t="s">
        <v>4212</v>
      </c>
      <c r="C743" s="12" t="s">
        <v>184</v>
      </c>
      <c r="D743" s="13" t="s">
        <v>1255</v>
      </c>
      <c r="E743" s="24">
        <v>675500</v>
      </c>
      <c r="F743" s="25">
        <f>Table2[[#This Row],[Price]]/Table2[[#This Row],[Tot Ht Area]]</f>
        <v>341.85222672064776</v>
      </c>
      <c r="G743" s="16">
        <v>1976</v>
      </c>
      <c r="H743" s="16">
        <v>2136</v>
      </c>
      <c r="I743" s="17" t="s">
        <v>4208</v>
      </c>
      <c r="J743" s="18" t="s">
        <v>316</v>
      </c>
      <c r="K743" s="19" t="s">
        <v>37</v>
      </c>
      <c r="L743" s="19"/>
      <c r="M743" s="19" t="s">
        <v>4213</v>
      </c>
      <c r="N743" s="20" t="s">
        <v>1598</v>
      </c>
      <c r="O743" s="20" t="s">
        <v>27</v>
      </c>
      <c r="P743" s="21" t="s">
        <v>4210</v>
      </c>
      <c r="Q743" s="20"/>
      <c r="R743" s="20" t="s">
        <v>4214</v>
      </c>
      <c r="S743" s="20"/>
      <c r="T743" s="20"/>
      <c r="U743" s="20"/>
      <c r="V743" s="20"/>
    </row>
    <row r="744" spans="2:22" ht="34">
      <c r="B744" s="11" t="s">
        <v>4215</v>
      </c>
      <c r="C744" s="12" t="s">
        <v>184</v>
      </c>
      <c r="D744" s="13" t="s">
        <v>356</v>
      </c>
      <c r="E744" s="24">
        <v>380000</v>
      </c>
      <c r="F744" s="25">
        <f>Table2[[#This Row],[Price]]/Table2[[#This Row],[Tot Ht Area]]</f>
        <v>128.72628726287263</v>
      </c>
      <c r="G744" s="16">
        <v>2952</v>
      </c>
      <c r="H744" s="16">
        <v>3016</v>
      </c>
      <c r="I744" s="17" t="s">
        <v>4216</v>
      </c>
      <c r="J744" s="18" t="s">
        <v>1170</v>
      </c>
      <c r="K744" s="19" t="s">
        <v>37</v>
      </c>
      <c r="L744" s="19"/>
      <c r="M744" s="19" t="s">
        <v>4217</v>
      </c>
      <c r="N744" s="20" t="s">
        <v>1598</v>
      </c>
      <c r="O744" s="20" t="s">
        <v>27</v>
      </c>
      <c r="P744" s="21" t="s">
        <v>4218</v>
      </c>
      <c r="Q744" s="20"/>
      <c r="R744" s="20" t="s">
        <v>4219</v>
      </c>
      <c r="S744" s="20"/>
      <c r="T744" s="20"/>
      <c r="U744" s="20"/>
      <c r="V744" s="20"/>
    </row>
    <row r="745" spans="2:22" ht="34">
      <c r="B745" s="11" t="s">
        <v>4220</v>
      </c>
      <c r="C745" s="12" t="s">
        <v>184</v>
      </c>
      <c r="D745" s="13" t="s">
        <v>1641</v>
      </c>
      <c r="E745" s="24">
        <v>1200000</v>
      </c>
      <c r="F745" s="25">
        <f>Table2[[#This Row],[Price]]/Table2[[#This Row],[Tot Ht Area]]</f>
        <v>155.03875968992247</v>
      </c>
      <c r="G745" s="16">
        <v>7740</v>
      </c>
      <c r="H745" s="16">
        <v>7935</v>
      </c>
      <c r="I745" s="17" t="s">
        <v>4221</v>
      </c>
      <c r="J745" s="18" t="s">
        <v>1057</v>
      </c>
      <c r="K745" s="19" t="s">
        <v>37</v>
      </c>
      <c r="L745" s="19"/>
      <c r="M745" s="19" t="s">
        <v>4222</v>
      </c>
      <c r="N745" s="20" t="s">
        <v>1598</v>
      </c>
      <c r="O745" s="20" t="s">
        <v>27</v>
      </c>
      <c r="P745" s="21" t="s">
        <v>4223</v>
      </c>
      <c r="Q745" s="20"/>
      <c r="R745" s="20" t="s">
        <v>4224</v>
      </c>
      <c r="S745" s="20"/>
      <c r="T745" s="20"/>
      <c r="U745" s="20"/>
      <c r="V745" s="20"/>
    </row>
    <row r="746" spans="2:22" ht="17">
      <c r="B746" s="11" t="s">
        <v>4225</v>
      </c>
      <c r="C746" s="12" t="s">
        <v>184</v>
      </c>
      <c r="D746" s="13" t="s">
        <v>407</v>
      </c>
      <c r="E746" s="24">
        <v>2367700</v>
      </c>
      <c r="F746" s="25">
        <f>Table2[[#This Row],[Price]]/Table2[[#This Row],[Tot Ht Area]]</f>
        <v>791.07918476445036</v>
      </c>
      <c r="G746" s="16">
        <v>2993</v>
      </c>
      <c r="H746" s="16">
        <v>3588</v>
      </c>
      <c r="I746" s="17" t="s">
        <v>4226</v>
      </c>
      <c r="J746" s="18" t="s">
        <v>483</v>
      </c>
      <c r="K746" s="19" t="s">
        <v>48</v>
      </c>
      <c r="L746" s="19"/>
      <c r="M746" s="19" t="s">
        <v>4227</v>
      </c>
      <c r="N746" s="20" t="s">
        <v>1598</v>
      </c>
      <c r="O746" s="20" t="s">
        <v>27</v>
      </c>
      <c r="P746" s="21" t="s">
        <v>4228</v>
      </c>
      <c r="Q746" s="20"/>
      <c r="R746" s="20" t="s">
        <v>4229</v>
      </c>
      <c r="S746" s="20"/>
      <c r="T746" s="20"/>
      <c r="U746" s="20"/>
      <c r="V746" s="20"/>
    </row>
    <row r="747" spans="2:22" ht="17">
      <c r="B747" s="11" t="s">
        <v>4230</v>
      </c>
      <c r="C747" s="12" t="s">
        <v>184</v>
      </c>
      <c r="D747" s="13" t="s">
        <v>177</v>
      </c>
      <c r="E747" s="24">
        <v>3225000</v>
      </c>
      <c r="F747" s="25">
        <f>Table2[[#This Row],[Price]]/Table2[[#This Row],[Tot Ht Area]]</f>
        <v>64.925913995812536</v>
      </c>
      <c r="G747" s="16">
        <v>49672</v>
      </c>
      <c r="H747" s="16">
        <v>51511</v>
      </c>
      <c r="I747" s="17" t="s">
        <v>4231</v>
      </c>
      <c r="J747" s="18" t="s">
        <v>468</v>
      </c>
      <c r="K747" s="19" t="s">
        <v>101</v>
      </c>
      <c r="L747" s="19"/>
      <c r="M747" s="19" t="s">
        <v>4232</v>
      </c>
      <c r="N747" s="20" t="s">
        <v>1598</v>
      </c>
      <c r="O747" s="20" t="s">
        <v>27</v>
      </c>
      <c r="P747" s="21" t="s">
        <v>4233</v>
      </c>
      <c r="Q747" s="20"/>
      <c r="R747" s="20" t="s">
        <v>4234</v>
      </c>
      <c r="S747" s="20"/>
      <c r="T747" s="20"/>
      <c r="U747" s="20"/>
      <c r="V747" s="20"/>
    </row>
    <row r="748" spans="2:22" ht="17">
      <c r="B748" s="11" t="s">
        <v>4235</v>
      </c>
      <c r="C748" s="12" t="s">
        <v>184</v>
      </c>
      <c r="D748" s="13" t="s">
        <v>141</v>
      </c>
      <c r="E748" s="24">
        <v>282500</v>
      </c>
      <c r="F748" s="25">
        <f>Table2[[#This Row],[Price]]/Table2[[#This Row],[Tot Ht Area]]</f>
        <v>130.36455929856945</v>
      </c>
      <c r="G748" s="16">
        <v>2167</v>
      </c>
      <c r="H748" s="16">
        <v>2259</v>
      </c>
      <c r="I748" s="17" t="s">
        <v>4236</v>
      </c>
      <c r="J748" s="18" t="s">
        <v>1484</v>
      </c>
      <c r="K748" s="19" t="s">
        <v>48</v>
      </c>
      <c r="L748" s="19"/>
      <c r="M748" s="19" t="s">
        <v>4237</v>
      </c>
      <c r="N748" s="20" t="s">
        <v>1598</v>
      </c>
      <c r="O748" s="20" t="s">
        <v>27</v>
      </c>
      <c r="P748" s="21" t="s">
        <v>4238</v>
      </c>
      <c r="Q748" s="20"/>
      <c r="R748" s="20" t="s">
        <v>4239</v>
      </c>
      <c r="S748" s="20"/>
      <c r="T748" s="20"/>
      <c r="U748" s="20"/>
      <c r="V748" s="20"/>
    </row>
    <row r="749" spans="2:22" ht="34">
      <c r="B749" s="11" t="s">
        <v>4240</v>
      </c>
      <c r="C749" s="12" t="s">
        <v>184</v>
      </c>
      <c r="D749" s="13" t="s">
        <v>792</v>
      </c>
      <c r="E749" s="24">
        <v>100</v>
      </c>
      <c r="F749" s="25">
        <f>Table2[[#This Row],[Price]]/Table2[[#This Row],[Tot Ht Area]]</f>
        <v>3.2637075718015669E-2</v>
      </c>
      <c r="G749" s="16">
        <v>3064</v>
      </c>
      <c r="H749" s="16">
        <v>3200</v>
      </c>
      <c r="I749" s="17" t="s">
        <v>4241</v>
      </c>
      <c r="J749" s="18" t="s">
        <v>652</v>
      </c>
      <c r="K749" s="19" t="s">
        <v>37</v>
      </c>
      <c r="L749" s="19"/>
      <c r="M749" s="19" t="s">
        <v>4242</v>
      </c>
      <c r="N749" s="20" t="s">
        <v>1598</v>
      </c>
      <c r="O749" s="20" t="s">
        <v>27</v>
      </c>
      <c r="P749" s="21" t="s">
        <v>4243</v>
      </c>
      <c r="Q749" s="20"/>
      <c r="R749" s="20" t="s">
        <v>4244</v>
      </c>
      <c r="S749" s="20"/>
      <c r="T749" s="20" t="s">
        <v>6318</v>
      </c>
      <c r="U749" s="20"/>
      <c r="V749" s="20"/>
    </row>
    <row r="750" spans="2:22" ht="34">
      <c r="B750" s="11" t="s">
        <v>4245</v>
      </c>
      <c r="C750" s="12" t="s">
        <v>184</v>
      </c>
      <c r="D750" s="13" t="s">
        <v>1399</v>
      </c>
      <c r="E750" s="24">
        <v>220000</v>
      </c>
      <c r="F750" s="25">
        <f>Table2[[#This Row],[Price]]/Table2[[#This Row],[Tot Ht Area]]</f>
        <v>109.67098703888335</v>
      </c>
      <c r="G750" s="16">
        <v>2006</v>
      </c>
      <c r="H750" s="16">
        <v>2182</v>
      </c>
      <c r="I750" s="17" t="s">
        <v>4246</v>
      </c>
      <c r="J750" s="18" t="s">
        <v>126</v>
      </c>
      <c r="K750" s="19" t="s">
        <v>37</v>
      </c>
      <c r="L750" s="19"/>
      <c r="M750" s="19" t="s">
        <v>4247</v>
      </c>
      <c r="N750" s="20" t="s">
        <v>1598</v>
      </c>
      <c r="O750" s="20" t="s">
        <v>27</v>
      </c>
      <c r="P750" s="21" t="s">
        <v>4248</v>
      </c>
      <c r="Q750" s="20"/>
      <c r="R750" s="20" t="s">
        <v>4249</v>
      </c>
      <c r="S750" s="20"/>
      <c r="T750" s="20"/>
      <c r="U750" s="20"/>
      <c r="V750" s="20"/>
    </row>
    <row r="751" spans="2:22" ht="17">
      <c r="B751" s="11" t="s">
        <v>4250</v>
      </c>
      <c r="C751" s="12" t="s">
        <v>184</v>
      </c>
      <c r="D751" s="13" t="s">
        <v>591</v>
      </c>
      <c r="E751" s="24">
        <v>375000</v>
      </c>
      <c r="F751" s="25">
        <f>Table2[[#This Row],[Price]]/Table2[[#This Row],[Tot Ht Area]]</f>
        <v>126.47554806070826</v>
      </c>
      <c r="G751" s="16">
        <v>2965</v>
      </c>
      <c r="H751" s="16">
        <v>3200</v>
      </c>
      <c r="I751" s="17" t="s">
        <v>4251</v>
      </c>
      <c r="J751" s="18" t="s">
        <v>468</v>
      </c>
      <c r="K751" s="19" t="s">
        <v>37</v>
      </c>
      <c r="L751" s="19"/>
      <c r="M751" s="19" t="s">
        <v>4252</v>
      </c>
      <c r="N751" s="20" t="s">
        <v>1598</v>
      </c>
      <c r="O751" s="20" t="s">
        <v>27</v>
      </c>
      <c r="P751" s="21" t="s">
        <v>2676</v>
      </c>
      <c r="Q751" s="20" t="s">
        <v>4253</v>
      </c>
      <c r="R751" s="20" t="s">
        <v>4254</v>
      </c>
      <c r="S751" s="20"/>
      <c r="T751" s="20"/>
      <c r="U751" s="20"/>
      <c r="V751" s="20"/>
    </row>
    <row r="752" spans="2:22" ht="34">
      <c r="B752" s="11" t="s">
        <v>4255</v>
      </c>
      <c r="C752" s="12" t="s">
        <v>184</v>
      </c>
      <c r="D752" s="13" t="s">
        <v>253</v>
      </c>
      <c r="E752" s="24">
        <v>905000</v>
      </c>
      <c r="F752" s="25">
        <f>Table2[[#This Row],[Price]]/Table2[[#This Row],[Tot Ht Area]]</f>
        <v>59.150326797385624</v>
      </c>
      <c r="G752" s="16">
        <v>15300</v>
      </c>
      <c r="H752" s="16">
        <v>15300</v>
      </c>
      <c r="I752" s="17" t="s">
        <v>4256</v>
      </c>
      <c r="J752" s="18" t="s">
        <v>415</v>
      </c>
      <c r="K752" s="19" t="s">
        <v>48</v>
      </c>
      <c r="L752" s="19"/>
      <c r="M752" s="19" t="s">
        <v>4257</v>
      </c>
      <c r="N752" s="20" t="s">
        <v>1598</v>
      </c>
      <c r="O752" s="20" t="s">
        <v>27</v>
      </c>
      <c r="P752" s="21" t="s">
        <v>4258</v>
      </c>
      <c r="Q752" s="20"/>
      <c r="R752" s="20" t="s">
        <v>4259</v>
      </c>
      <c r="S752" s="20"/>
      <c r="T752" s="20"/>
      <c r="U752" s="20"/>
      <c r="V752" s="20"/>
    </row>
    <row r="753" spans="2:22" ht="17">
      <c r="B753" s="11" t="s">
        <v>4260</v>
      </c>
      <c r="C753" s="12" t="s">
        <v>184</v>
      </c>
      <c r="D753" s="13" t="s">
        <v>658</v>
      </c>
      <c r="E753" s="24">
        <v>100</v>
      </c>
      <c r="F753" s="25">
        <f>Table2[[#This Row],[Price]]/Table2[[#This Row],[Tot Ht Area]]</f>
        <v>3.7481259370314844E-2</v>
      </c>
      <c r="G753" s="16">
        <v>2668</v>
      </c>
      <c r="H753" s="16">
        <v>2768</v>
      </c>
      <c r="I753" s="17" t="s">
        <v>4261</v>
      </c>
      <c r="J753" s="18" t="s">
        <v>560</v>
      </c>
      <c r="K753" s="19" t="s">
        <v>48</v>
      </c>
      <c r="L753" s="19"/>
      <c r="M753" s="19" t="s">
        <v>4262</v>
      </c>
      <c r="N753" s="20" t="s">
        <v>1598</v>
      </c>
      <c r="O753" s="20" t="s">
        <v>1812</v>
      </c>
      <c r="P753" s="21" t="s">
        <v>4263</v>
      </c>
      <c r="Q753" s="20" t="s">
        <v>4264</v>
      </c>
      <c r="R753" s="20" t="s">
        <v>4265</v>
      </c>
      <c r="S753" s="20"/>
      <c r="T753" s="20" t="s">
        <v>6318</v>
      </c>
      <c r="U753" s="20"/>
      <c r="V753" s="20"/>
    </row>
    <row r="754" spans="2:22" ht="17">
      <c r="B754" s="11" t="s">
        <v>4266</v>
      </c>
      <c r="C754" s="12" t="s">
        <v>184</v>
      </c>
      <c r="D754" s="13" t="s">
        <v>1399</v>
      </c>
      <c r="E754" s="24">
        <v>100</v>
      </c>
      <c r="F754" s="25">
        <f>Table2[[#This Row],[Price]]/Table2[[#This Row],[Tot Ht Area]]</f>
        <v>3.8744672607516469E-2</v>
      </c>
      <c r="G754" s="16">
        <v>2581</v>
      </c>
      <c r="H754" s="16">
        <v>2737</v>
      </c>
      <c r="I754" s="17" t="s">
        <v>4267</v>
      </c>
      <c r="J754" s="18" t="s">
        <v>652</v>
      </c>
      <c r="K754" s="19" t="s">
        <v>48</v>
      </c>
      <c r="L754" s="19"/>
      <c r="M754" s="19" t="s">
        <v>4268</v>
      </c>
      <c r="N754" s="20" t="s">
        <v>1598</v>
      </c>
      <c r="O754" s="20" t="s">
        <v>27</v>
      </c>
      <c r="P754" s="21" t="s">
        <v>4269</v>
      </c>
      <c r="Q754" s="20"/>
      <c r="R754" s="20" t="s">
        <v>4270</v>
      </c>
      <c r="S754" s="20"/>
      <c r="T754" s="20" t="s">
        <v>6318</v>
      </c>
      <c r="U754" s="20"/>
      <c r="V754" s="20"/>
    </row>
    <row r="755" spans="2:22" ht="17">
      <c r="B755" s="11" t="s">
        <v>4271</v>
      </c>
      <c r="C755" s="12" t="s">
        <v>184</v>
      </c>
      <c r="D755" s="13" t="s">
        <v>4272</v>
      </c>
      <c r="E755" s="24"/>
      <c r="F755" s="25">
        <f>Table2[[#This Row],[Price]]/Table2[[#This Row],[Tot Ht Area]]</f>
        <v>0</v>
      </c>
      <c r="G755" s="16">
        <v>3217</v>
      </c>
      <c r="H755" s="16">
        <v>4044</v>
      </c>
      <c r="I755" s="17" t="s">
        <v>4273</v>
      </c>
      <c r="J755" s="18" t="s">
        <v>36</v>
      </c>
      <c r="K755" s="19" t="s">
        <v>37</v>
      </c>
      <c r="L755" s="19"/>
      <c r="M755" s="19" t="s">
        <v>4274</v>
      </c>
      <c r="N755" s="20" t="s">
        <v>1598</v>
      </c>
      <c r="O755" s="20" t="s">
        <v>27</v>
      </c>
      <c r="P755" s="21" t="s">
        <v>4275</v>
      </c>
      <c r="Q755" s="20" t="s">
        <v>4276</v>
      </c>
      <c r="R755" s="20" t="s">
        <v>4277</v>
      </c>
      <c r="S755" s="20"/>
      <c r="T755" s="20"/>
      <c r="U755" s="20"/>
      <c r="V755" s="20"/>
    </row>
    <row r="756" spans="2:22" ht="34">
      <c r="B756" s="11" t="s">
        <v>4278</v>
      </c>
      <c r="C756" s="12" t="s">
        <v>184</v>
      </c>
      <c r="D756" s="13" t="s">
        <v>398</v>
      </c>
      <c r="E756" s="24">
        <v>100</v>
      </c>
      <c r="F756" s="25">
        <f>Table2[[#This Row],[Price]]/Table2[[#This Row],[Tot Ht Area]]</f>
        <v>1.7208742040956806E-2</v>
      </c>
      <c r="G756" s="16">
        <v>5811</v>
      </c>
      <c r="H756" s="16">
        <v>6301</v>
      </c>
      <c r="I756" s="17" t="s">
        <v>4279</v>
      </c>
      <c r="J756" s="18" t="s">
        <v>518</v>
      </c>
      <c r="K756" s="19" t="s">
        <v>37</v>
      </c>
      <c r="L756" s="19"/>
      <c r="M756" s="19" t="s">
        <v>4280</v>
      </c>
      <c r="N756" s="20" t="s">
        <v>1598</v>
      </c>
      <c r="O756" s="20" t="s">
        <v>27</v>
      </c>
      <c r="P756" s="21" t="s">
        <v>4281</v>
      </c>
      <c r="Q756" s="20"/>
      <c r="R756" s="20" t="s">
        <v>4282</v>
      </c>
      <c r="S756" s="20"/>
      <c r="T756" s="20" t="s">
        <v>6318</v>
      </c>
      <c r="U756" s="20"/>
      <c r="V756" s="20"/>
    </row>
    <row r="757" spans="2:22" ht="17">
      <c r="B757" s="11" t="s">
        <v>4283</v>
      </c>
      <c r="C757" s="12" t="s">
        <v>184</v>
      </c>
      <c r="D757" s="13" t="s">
        <v>260</v>
      </c>
      <c r="E757" s="24">
        <v>1400000</v>
      </c>
      <c r="F757" s="25">
        <f>Table2[[#This Row],[Price]]/Table2[[#This Row],[Tot Ht Area]]</f>
        <v>186.39328984156572</v>
      </c>
      <c r="G757" s="16">
        <v>7511</v>
      </c>
      <c r="H757" s="16">
        <v>8189</v>
      </c>
      <c r="I757" s="17" t="s">
        <v>4284</v>
      </c>
      <c r="J757" s="18" t="s">
        <v>566</v>
      </c>
      <c r="K757" s="19" t="s">
        <v>48</v>
      </c>
      <c r="L757" s="19"/>
      <c r="M757" s="19" t="s">
        <v>4285</v>
      </c>
      <c r="N757" s="20" t="s">
        <v>1598</v>
      </c>
      <c r="O757" s="20" t="s">
        <v>27</v>
      </c>
      <c r="P757" s="21" t="s">
        <v>1967</v>
      </c>
      <c r="Q757" s="20" t="s">
        <v>4286</v>
      </c>
      <c r="R757" s="20" t="s">
        <v>4287</v>
      </c>
      <c r="S757" s="20"/>
      <c r="T757" s="20"/>
      <c r="U757" s="20"/>
      <c r="V757" s="20"/>
    </row>
    <row r="758" spans="2:22" ht="17">
      <c r="B758" s="11" t="s">
        <v>4288</v>
      </c>
      <c r="C758" s="12" t="s">
        <v>184</v>
      </c>
      <c r="D758" s="13" t="s">
        <v>177</v>
      </c>
      <c r="E758" s="24">
        <v>600000</v>
      </c>
      <c r="F758" s="25">
        <f>Table2[[#This Row],[Price]]/Table2[[#This Row],[Tot Ht Area]]</f>
        <v>38.570326562098224</v>
      </c>
      <c r="G758" s="16">
        <v>15556</v>
      </c>
      <c r="H758" s="16">
        <v>16141</v>
      </c>
      <c r="I758" s="17" t="s">
        <v>4289</v>
      </c>
      <c r="J758" s="18" t="s">
        <v>187</v>
      </c>
      <c r="K758" s="19" t="s">
        <v>37</v>
      </c>
      <c r="L758" s="19"/>
      <c r="M758" s="19" t="s">
        <v>4290</v>
      </c>
      <c r="N758" s="20" t="s">
        <v>1598</v>
      </c>
      <c r="O758" s="20" t="s">
        <v>27</v>
      </c>
      <c r="P758" s="21" t="s">
        <v>4291</v>
      </c>
      <c r="Q758" s="20" t="s">
        <v>4292</v>
      </c>
      <c r="R758" s="20" t="s">
        <v>4293</v>
      </c>
      <c r="S758" s="20"/>
      <c r="T758" s="20"/>
      <c r="U758" s="20"/>
      <c r="V758" s="20"/>
    </row>
    <row r="759" spans="2:22" ht="34">
      <c r="B759" s="11" t="s">
        <v>4294</v>
      </c>
      <c r="C759" s="12" t="s">
        <v>184</v>
      </c>
      <c r="D759" s="13" t="s">
        <v>729</v>
      </c>
      <c r="E759" s="24">
        <v>950000</v>
      </c>
      <c r="F759" s="25">
        <f>Table2[[#This Row],[Price]]/Table2[[#This Row],[Tot Ht Area]]</f>
        <v>144.61866341908967</v>
      </c>
      <c r="G759" s="16">
        <v>6569</v>
      </c>
      <c r="H759" s="16">
        <v>6734</v>
      </c>
      <c r="I759" s="17" t="s">
        <v>4295</v>
      </c>
      <c r="J759" s="18" t="s">
        <v>278</v>
      </c>
      <c r="K759" s="19" t="s">
        <v>37</v>
      </c>
      <c r="L759" s="19"/>
      <c r="M759" s="19" t="s">
        <v>4296</v>
      </c>
      <c r="N759" s="20" t="s">
        <v>1598</v>
      </c>
      <c r="O759" s="20" t="s">
        <v>27</v>
      </c>
      <c r="P759" s="21" t="s">
        <v>4297</v>
      </c>
      <c r="Q759" s="20" t="s">
        <v>4298</v>
      </c>
      <c r="R759" s="20" t="s">
        <v>4299</v>
      </c>
      <c r="S759" s="20"/>
      <c r="T759" s="20"/>
      <c r="U759" s="20"/>
      <c r="V759" s="20"/>
    </row>
    <row r="760" spans="2:22" ht="34">
      <c r="B760" s="11" t="s">
        <v>4300</v>
      </c>
      <c r="C760" s="12" t="s">
        <v>184</v>
      </c>
      <c r="D760" s="13" t="s">
        <v>398</v>
      </c>
      <c r="E760" s="24"/>
      <c r="F760" s="25">
        <f>Table2[[#This Row],[Price]]/Table2[[#This Row],[Tot Ht Area]]</f>
        <v>0</v>
      </c>
      <c r="G760" s="16">
        <v>4008</v>
      </c>
      <c r="H760" s="16">
        <v>4863</v>
      </c>
      <c r="I760" s="17" t="s">
        <v>4301</v>
      </c>
      <c r="J760" s="18" t="s">
        <v>1057</v>
      </c>
      <c r="K760" s="19" t="s">
        <v>37</v>
      </c>
      <c r="L760" s="19"/>
      <c r="M760" s="19" t="s">
        <v>4302</v>
      </c>
      <c r="N760" s="20" t="s">
        <v>1598</v>
      </c>
      <c r="O760" s="20" t="s">
        <v>27</v>
      </c>
      <c r="P760" s="21" t="s">
        <v>4303</v>
      </c>
      <c r="Q760" s="20"/>
      <c r="R760" s="20" t="s">
        <v>4304</v>
      </c>
      <c r="S760" s="20"/>
      <c r="T760" s="20"/>
      <c r="U760" s="20"/>
      <c r="V760" s="20"/>
    </row>
    <row r="761" spans="2:22" ht="34">
      <c r="B761" s="11" t="s">
        <v>4305</v>
      </c>
      <c r="C761" s="12" t="s">
        <v>184</v>
      </c>
      <c r="D761" s="13" t="s">
        <v>108</v>
      </c>
      <c r="E761" s="24">
        <v>100</v>
      </c>
      <c r="F761" s="25">
        <f>Table2[[#This Row],[Price]]/Table2[[#This Row],[Tot Ht Area]]</f>
        <v>4.1666666666666664E-2</v>
      </c>
      <c r="G761" s="16">
        <v>2400</v>
      </c>
      <c r="H761" s="16">
        <v>3300</v>
      </c>
      <c r="I761" s="17" t="s">
        <v>4306</v>
      </c>
      <c r="J761" s="18" t="s">
        <v>75</v>
      </c>
      <c r="K761" s="19" t="s">
        <v>37</v>
      </c>
      <c r="L761" s="19"/>
      <c r="M761" s="19" t="s">
        <v>4307</v>
      </c>
      <c r="N761" s="20" t="s">
        <v>1598</v>
      </c>
      <c r="O761" s="20" t="s">
        <v>27</v>
      </c>
      <c r="P761" s="21" t="s">
        <v>4308</v>
      </c>
      <c r="Q761" s="20"/>
      <c r="R761" s="20" t="s">
        <v>4309</v>
      </c>
      <c r="S761" s="20"/>
      <c r="T761" s="20" t="s">
        <v>6318</v>
      </c>
      <c r="U761" s="20"/>
      <c r="V761" s="20"/>
    </row>
    <row r="762" spans="2:22" ht="34">
      <c r="B762" s="11" t="s">
        <v>4310</v>
      </c>
      <c r="C762" s="12" t="s">
        <v>184</v>
      </c>
      <c r="D762" s="13" t="s">
        <v>1441</v>
      </c>
      <c r="E762" s="24"/>
      <c r="F762" s="25">
        <f>Table2[[#This Row],[Price]]/Table2[[#This Row],[Tot Ht Area]]</f>
        <v>0</v>
      </c>
      <c r="G762" s="16">
        <v>3474</v>
      </c>
      <c r="H762" s="16">
        <v>3528</v>
      </c>
      <c r="I762" s="17" t="s">
        <v>1442</v>
      </c>
      <c r="J762" s="18" t="s">
        <v>278</v>
      </c>
      <c r="K762" s="19" t="s">
        <v>48</v>
      </c>
      <c r="L762" s="19"/>
      <c r="M762" s="19" t="s">
        <v>4311</v>
      </c>
      <c r="N762" s="20" t="s">
        <v>1598</v>
      </c>
      <c r="O762" s="20" t="s">
        <v>27</v>
      </c>
      <c r="P762" s="21" t="s">
        <v>4312</v>
      </c>
      <c r="Q762" s="20" t="s">
        <v>4313</v>
      </c>
      <c r="R762" s="20" t="s">
        <v>4314</v>
      </c>
      <c r="S762" s="20"/>
      <c r="T762" s="20"/>
      <c r="U762" s="20"/>
      <c r="V762" s="20"/>
    </row>
    <row r="763" spans="2:22" ht="34">
      <c r="B763" s="11" t="s">
        <v>4315</v>
      </c>
      <c r="C763" s="12" t="s">
        <v>184</v>
      </c>
      <c r="D763" s="13" t="s">
        <v>223</v>
      </c>
      <c r="E763" s="24">
        <v>290000</v>
      </c>
      <c r="F763" s="25">
        <f>Table2[[#This Row],[Price]]/Table2[[#This Row],[Tot Ht Area]]</f>
        <v>134.50834879406307</v>
      </c>
      <c r="G763" s="16">
        <v>2156</v>
      </c>
      <c r="H763" s="16">
        <v>2156</v>
      </c>
      <c r="I763" s="17" t="s">
        <v>4316</v>
      </c>
      <c r="J763" s="18" t="s">
        <v>422</v>
      </c>
      <c r="K763" s="19" t="s">
        <v>37</v>
      </c>
      <c r="L763" s="19"/>
      <c r="M763" s="19" t="s">
        <v>4317</v>
      </c>
      <c r="N763" s="20" t="s">
        <v>1598</v>
      </c>
      <c r="O763" s="20" t="s">
        <v>27</v>
      </c>
      <c r="P763" s="21" t="s">
        <v>4318</v>
      </c>
      <c r="Q763" s="20"/>
      <c r="R763" s="20" t="s">
        <v>4319</v>
      </c>
      <c r="S763" s="20"/>
      <c r="T763" s="20"/>
      <c r="U763" s="20"/>
      <c r="V763" s="20"/>
    </row>
    <row r="764" spans="2:22" ht="34">
      <c r="B764" s="11" t="s">
        <v>4320</v>
      </c>
      <c r="C764" s="12" t="s">
        <v>184</v>
      </c>
      <c r="D764" s="13" t="s">
        <v>1490</v>
      </c>
      <c r="E764" s="24">
        <v>1150000</v>
      </c>
      <c r="F764" s="25">
        <f>Table2[[#This Row],[Price]]/Table2[[#This Row],[Tot Ht Area]]</f>
        <v>285.5014895729891</v>
      </c>
      <c r="G764" s="16">
        <v>4028</v>
      </c>
      <c r="H764" s="16">
        <v>4140</v>
      </c>
      <c r="I764" s="17" t="s">
        <v>4321</v>
      </c>
      <c r="J764" s="18" t="s">
        <v>566</v>
      </c>
      <c r="K764" s="19" t="s">
        <v>48</v>
      </c>
      <c r="L764" s="19"/>
      <c r="M764" s="19" t="s">
        <v>4322</v>
      </c>
      <c r="N764" s="20" t="s">
        <v>1598</v>
      </c>
      <c r="O764" s="20" t="s">
        <v>27</v>
      </c>
      <c r="P764" s="21" t="s">
        <v>4323</v>
      </c>
      <c r="Q764" s="20" t="s">
        <v>4324</v>
      </c>
      <c r="R764" s="20" t="s">
        <v>4325</v>
      </c>
      <c r="S764" s="20"/>
      <c r="T764" s="20"/>
      <c r="U764" s="20"/>
      <c r="V764" s="20"/>
    </row>
    <row r="765" spans="2:22" ht="34">
      <c r="B765" s="11" t="s">
        <v>4326</v>
      </c>
      <c r="C765" s="12" t="s">
        <v>184</v>
      </c>
      <c r="D765" s="13" t="s">
        <v>307</v>
      </c>
      <c r="E765" s="24">
        <v>530000</v>
      </c>
      <c r="F765" s="25">
        <f>Table2[[#This Row],[Price]]/Table2[[#This Row],[Tot Ht Area]]</f>
        <v>62.721893491124263</v>
      </c>
      <c r="G765" s="16">
        <v>8450</v>
      </c>
      <c r="H765" s="16">
        <v>9656</v>
      </c>
      <c r="I765" s="17" t="s">
        <v>4327</v>
      </c>
      <c r="J765" s="18" t="s">
        <v>566</v>
      </c>
      <c r="K765" s="19" t="s">
        <v>48</v>
      </c>
      <c r="L765" s="19"/>
      <c r="M765" s="19" t="s">
        <v>4328</v>
      </c>
      <c r="N765" s="20" t="s">
        <v>1598</v>
      </c>
      <c r="O765" s="20" t="s">
        <v>1812</v>
      </c>
      <c r="P765" s="21" t="s">
        <v>2501</v>
      </c>
      <c r="Q765" s="20" t="s">
        <v>4329</v>
      </c>
      <c r="R765" s="20" t="s">
        <v>4330</v>
      </c>
      <c r="S765" s="20"/>
      <c r="T765" s="20"/>
      <c r="U765" s="20"/>
      <c r="V765" s="20"/>
    </row>
    <row r="766" spans="2:22" ht="17">
      <c r="B766" s="11" t="s">
        <v>4331</v>
      </c>
      <c r="C766" s="12" t="s">
        <v>184</v>
      </c>
      <c r="D766" s="13" t="s">
        <v>336</v>
      </c>
      <c r="E766" s="24">
        <v>100</v>
      </c>
      <c r="F766" s="25">
        <f>Table2[[#This Row],[Price]]/Table2[[#This Row],[Tot Ht Area]]</f>
        <v>8.0314834149867488E-3</v>
      </c>
      <c r="G766" s="16">
        <v>12451</v>
      </c>
      <c r="H766" s="16">
        <v>12926</v>
      </c>
      <c r="I766" s="17" t="s">
        <v>4332</v>
      </c>
      <c r="J766" s="18" t="s">
        <v>2133</v>
      </c>
      <c r="K766" s="19" t="s">
        <v>37</v>
      </c>
      <c r="L766" s="19"/>
      <c r="M766" s="19" t="s">
        <v>4333</v>
      </c>
      <c r="N766" s="20" t="s">
        <v>1598</v>
      </c>
      <c r="O766" s="20" t="s">
        <v>27</v>
      </c>
      <c r="P766" s="21" t="s">
        <v>4334</v>
      </c>
      <c r="Q766" s="20"/>
      <c r="R766" s="20" t="s">
        <v>4335</v>
      </c>
      <c r="S766" s="20"/>
      <c r="T766" s="20" t="s">
        <v>6318</v>
      </c>
      <c r="U766" s="20"/>
      <c r="V766" s="20"/>
    </row>
    <row r="767" spans="2:22" ht="34">
      <c r="B767" s="11" t="s">
        <v>4336</v>
      </c>
      <c r="C767" s="12" t="s">
        <v>184</v>
      </c>
      <c r="D767" s="13" t="s">
        <v>702</v>
      </c>
      <c r="E767" s="24">
        <v>100</v>
      </c>
      <c r="F767" s="25">
        <f>Table2[[#This Row],[Price]]/Table2[[#This Row],[Tot Ht Area]]</f>
        <v>1.8821757952192736E-2</v>
      </c>
      <c r="G767" s="16">
        <v>5313</v>
      </c>
      <c r="H767" s="16">
        <v>6011</v>
      </c>
      <c r="I767" s="17" t="s">
        <v>4337</v>
      </c>
      <c r="J767" s="18" t="s">
        <v>483</v>
      </c>
      <c r="K767" s="19" t="s">
        <v>37</v>
      </c>
      <c r="L767" s="19"/>
      <c r="M767" s="19" t="s">
        <v>4338</v>
      </c>
      <c r="N767" s="20" t="s">
        <v>1598</v>
      </c>
      <c r="O767" s="20" t="s">
        <v>27</v>
      </c>
      <c r="P767" s="21" t="s">
        <v>4339</v>
      </c>
      <c r="Q767" s="20"/>
      <c r="R767" s="20" t="s">
        <v>4340</v>
      </c>
      <c r="S767" s="20"/>
      <c r="T767" s="20" t="s">
        <v>6318</v>
      </c>
      <c r="U767" s="20"/>
      <c r="V767" s="20"/>
    </row>
    <row r="768" spans="2:22" ht="17">
      <c r="B768" s="11" t="s">
        <v>4341</v>
      </c>
      <c r="C768" s="12" t="s">
        <v>184</v>
      </c>
      <c r="D768" s="13" t="s">
        <v>516</v>
      </c>
      <c r="E768" s="24">
        <v>100</v>
      </c>
      <c r="F768" s="25">
        <f>Table2[[#This Row],[Price]]/Table2[[#This Row],[Tot Ht Area]]</f>
        <v>3.8865137971239798E-2</v>
      </c>
      <c r="G768" s="16">
        <v>2573</v>
      </c>
      <c r="H768" s="16">
        <v>2693</v>
      </c>
      <c r="I768" s="17" t="s">
        <v>4342</v>
      </c>
      <c r="J768" s="18" t="s">
        <v>358</v>
      </c>
      <c r="K768" s="19" t="s">
        <v>37</v>
      </c>
      <c r="L768" s="19"/>
      <c r="M768" s="19" t="s">
        <v>4343</v>
      </c>
      <c r="N768" s="20" t="s">
        <v>1598</v>
      </c>
      <c r="O768" s="20" t="s">
        <v>27</v>
      </c>
      <c r="P768" s="21" t="s">
        <v>3042</v>
      </c>
      <c r="Q768" s="20"/>
      <c r="R768" s="20" t="s">
        <v>4344</v>
      </c>
      <c r="S768" s="20"/>
      <c r="T768" s="20" t="s">
        <v>6318</v>
      </c>
      <c r="U768" s="20"/>
      <c r="V768" s="20"/>
    </row>
    <row r="769" spans="2:22" ht="34">
      <c r="B769" s="11" t="s">
        <v>4345</v>
      </c>
      <c r="C769" s="12" t="s">
        <v>184</v>
      </c>
      <c r="D769" s="13" t="s">
        <v>1490</v>
      </c>
      <c r="E769" s="24">
        <v>360000</v>
      </c>
      <c r="F769" s="25">
        <f>Table2[[#This Row],[Price]]/Table2[[#This Row],[Tot Ht Area]]</f>
        <v>60.606060606060609</v>
      </c>
      <c r="G769" s="16">
        <v>5940</v>
      </c>
      <c r="H769" s="16">
        <v>6214</v>
      </c>
      <c r="I769" s="17" t="s">
        <v>4346</v>
      </c>
      <c r="J769" s="18" t="s">
        <v>3217</v>
      </c>
      <c r="K769" s="19" t="s">
        <v>48</v>
      </c>
      <c r="L769" s="19"/>
      <c r="M769" s="19" t="s">
        <v>4347</v>
      </c>
      <c r="N769" s="20" t="s">
        <v>1598</v>
      </c>
      <c r="O769" s="20" t="s">
        <v>27</v>
      </c>
      <c r="P769" s="21" t="s">
        <v>4348</v>
      </c>
      <c r="Q769" s="20"/>
      <c r="R769" s="20" t="s">
        <v>4349</v>
      </c>
      <c r="S769" s="20"/>
      <c r="T769" s="20"/>
      <c r="U769" s="20"/>
      <c r="V769" s="20"/>
    </row>
    <row r="770" spans="2:22" ht="34">
      <c r="B770" s="11" t="s">
        <v>4350</v>
      </c>
      <c r="C770" s="12" t="s">
        <v>184</v>
      </c>
      <c r="D770" s="13" t="s">
        <v>336</v>
      </c>
      <c r="E770" s="24">
        <v>225000</v>
      </c>
      <c r="F770" s="25">
        <f>Table2[[#This Row],[Price]]/Table2[[#This Row],[Tot Ht Area]]</f>
        <v>107.55258126195028</v>
      </c>
      <c r="G770" s="16">
        <v>2092</v>
      </c>
      <c r="H770" s="16">
        <v>3326</v>
      </c>
      <c r="I770" s="17" t="s">
        <v>4351</v>
      </c>
      <c r="J770" s="18" t="s">
        <v>1925</v>
      </c>
      <c r="K770" s="19" t="s">
        <v>37</v>
      </c>
      <c r="L770" s="19"/>
      <c r="M770" s="19" t="s">
        <v>4352</v>
      </c>
      <c r="N770" s="20" t="s">
        <v>1598</v>
      </c>
      <c r="O770" s="20" t="s">
        <v>27</v>
      </c>
      <c r="P770" s="21" t="s">
        <v>4353</v>
      </c>
      <c r="Q770" s="20" t="s">
        <v>4354</v>
      </c>
      <c r="R770" s="20" t="s">
        <v>4355</v>
      </c>
      <c r="S770" s="20"/>
      <c r="T770" s="20"/>
      <c r="U770" s="20"/>
      <c r="V770" s="20"/>
    </row>
    <row r="771" spans="2:22" ht="34">
      <c r="B771" s="11" t="s">
        <v>4356</v>
      </c>
      <c r="C771" s="12" t="s">
        <v>184</v>
      </c>
      <c r="D771" s="13" t="s">
        <v>170</v>
      </c>
      <c r="E771" s="24">
        <v>100</v>
      </c>
      <c r="F771" s="25">
        <f>Table2[[#This Row],[Price]]/Table2[[#This Row],[Tot Ht Area]]</f>
        <v>4.967709885742673E-2</v>
      </c>
      <c r="G771" s="16">
        <v>2013</v>
      </c>
      <c r="H771" s="16">
        <v>2139</v>
      </c>
      <c r="I771" s="17" t="s">
        <v>4357</v>
      </c>
      <c r="J771" s="18" t="s">
        <v>476</v>
      </c>
      <c r="K771" s="19" t="s">
        <v>37</v>
      </c>
      <c r="L771" s="19"/>
      <c r="M771" s="19" t="s">
        <v>4358</v>
      </c>
      <c r="N771" s="20" t="s">
        <v>1598</v>
      </c>
      <c r="O771" s="20" t="s">
        <v>27</v>
      </c>
      <c r="P771" s="21" t="s">
        <v>4359</v>
      </c>
      <c r="Q771" s="20"/>
      <c r="R771" s="20" t="s">
        <v>4360</v>
      </c>
      <c r="S771" s="20"/>
      <c r="T771" s="20" t="s">
        <v>6318</v>
      </c>
      <c r="U771" s="20"/>
      <c r="V771" s="20"/>
    </row>
    <row r="772" spans="2:22" ht="34">
      <c r="B772" s="11" t="s">
        <v>4361</v>
      </c>
      <c r="C772" s="12" t="s">
        <v>184</v>
      </c>
      <c r="D772" s="13" t="s">
        <v>995</v>
      </c>
      <c r="E772" s="24">
        <v>459000</v>
      </c>
      <c r="F772" s="25">
        <f>Table2[[#This Row],[Price]]/Table2[[#This Row],[Tot Ht Area]]</f>
        <v>171.78143712574851</v>
      </c>
      <c r="G772" s="16">
        <v>2672</v>
      </c>
      <c r="H772" s="16">
        <v>2808</v>
      </c>
      <c r="I772" s="17" t="s">
        <v>4362</v>
      </c>
      <c r="J772" s="18" t="s">
        <v>430</v>
      </c>
      <c r="K772" s="19" t="s">
        <v>48</v>
      </c>
      <c r="L772" s="19"/>
      <c r="M772" s="19" t="s">
        <v>4363</v>
      </c>
      <c r="N772" s="20" t="s">
        <v>1598</v>
      </c>
      <c r="O772" s="20" t="s">
        <v>27</v>
      </c>
      <c r="P772" s="21" t="s">
        <v>4364</v>
      </c>
      <c r="Q772" s="20"/>
      <c r="R772" s="20" t="s">
        <v>4365</v>
      </c>
      <c r="S772" s="20"/>
      <c r="T772" s="20"/>
      <c r="U772" s="20"/>
      <c r="V772" s="20"/>
    </row>
    <row r="773" spans="2:22" ht="17">
      <c r="B773" s="11" t="s">
        <v>4366</v>
      </c>
      <c r="C773" s="12" t="s">
        <v>184</v>
      </c>
      <c r="D773" s="13" t="s">
        <v>1641</v>
      </c>
      <c r="E773" s="24">
        <v>100</v>
      </c>
      <c r="F773" s="25">
        <f>Table2[[#This Row],[Price]]/Table2[[#This Row],[Tot Ht Area]]</f>
        <v>2.5477707006369428E-2</v>
      </c>
      <c r="G773" s="16">
        <v>3925</v>
      </c>
      <c r="H773" s="16">
        <v>3925</v>
      </c>
      <c r="I773" s="17" t="s">
        <v>4367</v>
      </c>
      <c r="J773" s="18" t="s">
        <v>483</v>
      </c>
      <c r="K773" s="19" t="s">
        <v>37</v>
      </c>
      <c r="L773" s="19"/>
      <c r="M773" s="19" t="s">
        <v>4368</v>
      </c>
      <c r="N773" s="20" t="s">
        <v>1598</v>
      </c>
      <c r="O773" s="20" t="s">
        <v>1812</v>
      </c>
      <c r="P773" s="21" t="s">
        <v>4369</v>
      </c>
      <c r="Q773" s="20" t="s">
        <v>4370</v>
      </c>
      <c r="R773" s="20" t="s">
        <v>4371</v>
      </c>
      <c r="S773" s="20"/>
      <c r="T773" s="20" t="s">
        <v>6318</v>
      </c>
      <c r="U773" s="20"/>
      <c r="V773" s="20"/>
    </row>
    <row r="774" spans="2:22" ht="17">
      <c r="B774" s="11" t="s">
        <v>4372</v>
      </c>
      <c r="C774" s="12" t="s">
        <v>184</v>
      </c>
      <c r="D774" s="13" t="s">
        <v>428</v>
      </c>
      <c r="E774" s="24">
        <v>299000</v>
      </c>
      <c r="F774" s="25">
        <f>Table2[[#This Row],[Price]]/Table2[[#This Row],[Tot Ht Area]]</f>
        <v>131.5442146942367</v>
      </c>
      <c r="G774" s="16">
        <v>2273</v>
      </c>
      <c r="H774" s="16">
        <v>2273</v>
      </c>
      <c r="I774" s="17" t="s">
        <v>4373</v>
      </c>
      <c r="J774" s="18" t="s">
        <v>4374</v>
      </c>
      <c r="K774" s="19" t="s">
        <v>48</v>
      </c>
      <c r="L774" s="19"/>
      <c r="M774" s="19" t="s">
        <v>4375</v>
      </c>
      <c r="N774" s="20" t="s">
        <v>1598</v>
      </c>
      <c r="O774" s="20" t="s">
        <v>27</v>
      </c>
      <c r="P774" s="21" t="s">
        <v>4376</v>
      </c>
      <c r="Q774" s="20"/>
      <c r="R774" s="20" t="s">
        <v>4377</v>
      </c>
      <c r="S774" s="20"/>
      <c r="T774" s="20"/>
      <c r="U774" s="20"/>
      <c r="V774" s="20"/>
    </row>
    <row r="775" spans="2:22" ht="17">
      <c r="B775" s="11" t="s">
        <v>4378</v>
      </c>
      <c r="C775" s="12" t="s">
        <v>184</v>
      </c>
      <c r="D775" s="13" t="s">
        <v>779</v>
      </c>
      <c r="E775" s="24">
        <v>350000</v>
      </c>
      <c r="F775" s="25">
        <f>Table2[[#This Row],[Price]]/Table2[[#This Row],[Tot Ht Area]]</f>
        <v>98.619329388560161</v>
      </c>
      <c r="G775" s="16">
        <v>3549</v>
      </c>
      <c r="H775" s="16">
        <v>3549</v>
      </c>
      <c r="I775" s="17" t="s">
        <v>4379</v>
      </c>
      <c r="J775" s="18" t="s">
        <v>187</v>
      </c>
      <c r="K775" s="19" t="s">
        <v>37</v>
      </c>
      <c r="L775" s="19"/>
      <c r="M775" s="19" t="s">
        <v>4380</v>
      </c>
      <c r="N775" s="20" t="s">
        <v>1598</v>
      </c>
      <c r="O775" s="20" t="s">
        <v>27</v>
      </c>
      <c r="P775" s="21" t="s">
        <v>4381</v>
      </c>
      <c r="Q775" s="20"/>
      <c r="R775" s="20" t="s">
        <v>4382</v>
      </c>
      <c r="S775" s="20"/>
      <c r="T775" s="20"/>
      <c r="U775" s="20"/>
      <c r="V775" s="20"/>
    </row>
    <row r="776" spans="2:22" ht="17">
      <c r="B776" s="11" t="s">
        <v>4383</v>
      </c>
      <c r="C776" s="12" t="s">
        <v>184</v>
      </c>
      <c r="D776" s="13" t="s">
        <v>722</v>
      </c>
      <c r="E776" s="24">
        <v>1181500</v>
      </c>
      <c r="F776" s="25">
        <f>Table2[[#This Row],[Price]]/Table2[[#This Row],[Tot Ht Area]]</f>
        <v>214.81818181818181</v>
      </c>
      <c r="G776" s="16">
        <v>5500</v>
      </c>
      <c r="H776" s="16">
        <v>5500</v>
      </c>
      <c r="I776" s="17" t="s">
        <v>4384</v>
      </c>
      <c r="J776" s="18" t="s">
        <v>4385</v>
      </c>
      <c r="K776" s="19" t="s">
        <v>48</v>
      </c>
      <c r="L776" s="19"/>
      <c r="M776" s="19" t="s">
        <v>4386</v>
      </c>
      <c r="N776" s="20" t="s">
        <v>1598</v>
      </c>
      <c r="O776" s="20" t="s">
        <v>27</v>
      </c>
      <c r="P776" s="21" t="s">
        <v>2676</v>
      </c>
      <c r="Q776" s="20" t="s">
        <v>4387</v>
      </c>
      <c r="R776" s="20" t="s">
        <v>4388</v>
      </c>
      <c r="S776" s="20"/>
      <c r="T776" s="20"/>
      <c r="U776" s="20"/>
      <c r="V776" s="20"/>
    </row>
    <row r="777" spans="2:22" ht="17">
      <c r="B777" s="11" t="s">
        <v>4389</v>
      </c>
      <c r="C777" s="12" t="s">
        <v>184</v>
      </c>
      <c r="D777" s="13" t="s">
        <v>124</v>
      </c>
      <c r="E777" s="24">
        <v>280000</v>
      </c>
      <c r="F777" s="25">
        <f>Table2[[#This Row],[Price]]/Table2[[#This Row],[Tot Ht Area]]</f>
        <v>83.632019115890088</v>
      </c>
      <c r="G777" s="16">
        <v>3348</v>
      </c>
      <c r="H777" s="16">
        <v>3348</v>
      </c>
      <c r="I777" s="17" t="s">
        <v>4390</v>
      </c>
      <c r="J777" s="18" t="s">
        <v>4374</v>
      </c>
      <c r="K777" s="19" t="s">
        <v>37</v>
      </c>
      <c r="L777" s="19"/>
      <c r="M777" s="19" t="s">
        <v>4391</v>
      </c>
      <c r="N777" s="20" t="s">
        <v>1598</v>
      </c>
      <c r="O777" s="20" t="s">
        <v>27</v>
      </c>
      <c r="P777" s="21" t="s">
        <v>4392</v>
      </c>
      <c r="Q777" s="20"/>
      <c r="R777" s="20" t="s">
        <v>4393</v>
      </c>
      <c r="S777" s="20"/>
      <c r="T777" s="20"/>
      <c r="U777" s="20"/>
      <c r="V777" s="20"/>
    </row>
    <row r="778" spans="2:22" ht="17">
      <c r="B778" s="11" t="s">
        <v>4394</v>
      </c>
      <c r="C778" s="12" t="s">
        <v>184</v>
      </c>
      <c r="D778" s="13" t="s">
        <v>21</v>
      </c>
      <c r="E778" s="24">
        <v>690000</v>
      </c>
      <c r="F778" s="25">
        <f>Table2[[#This Row],[Price]]/Table2[[#This Row],[Tot Ht Area]]</f>
        <v>76.880222841225631</v>
      </c>
      <c r="G778" s="16">
        <v>8975</v>
      </c>
      <c r="H778" s="16">
        <v>9870</v>
      </c>
      <c r="I778" s="17" t="s">
        <v>4395</v>
      </c>
      <c r="J778" s="18" t="s">
        <v>4374</v>
      </c>
      <c r="K778" s="19" t="s">
        <v>37</v>
      </c>
      <c r="L778" s="19"/>
      <c r="M778" s="19" t="s">
        <v>4396</v>
      </c>
      <c r="N778" s="20" t="s">
        <v>1598</v>
      </c>
      <c r="O778" s="20" t="s">
        <v>27</v>
      </c>
      <c r="P778" s="21" t="s">
        <v>4397</v>
      </c>
      <c r="Q778" s="20"/>
      <c r="R778" s="20" t="s">
        <v>4398</v>
      </c>
      <c r="S778" s="20"/>
      <c r="T778" s="20"/>
      <c r="U778" s="20"/>
      <c r="V778" s="20"/>
    </row>
    <row r="779" spans="2:22" ht="34">
      <c r="B779" s="11" t="s">
        <v>4399</v>
      </c>
      <c r="C779" s="12" t="s">
        <v>184</v>
      </c>
      <c r="D779" s="13" t="s">
        <v>185</v>
      </c>
      <c r="E779" s="24">
        <v>690000</v>
      </c>
      <c r="F779" s="25">
        <f>Table2[[#This Row],[Price]]/Table2[[#This Row],[Tot Ht Area]]</f>
        <v>51.251578400059422</v>
      </c>
      <c r="G779" s="16">
        <v>13463</v>
      </c>
      <c r="H779" s="16">
        <v>14093</v>
      </c>
      <c r="I779" s="17" t="s">
        <v>4400</v>
      </c>
      <c r="J779" s="18" t="s">
        <v>560</v>
      </c>
      <c r="K779" s="19" t="s">
        <v>37</v>
      </c>
      <c r="L779" s="19"/>
      <c r="M779" s="19" t="s">
        <v>4401</v>
      </c>
      <c r="N779" s="20" t="s">
        <v>1598</v>
      </c>
      <c r="O779" s="20" t="s">
        <v>27</v>
      </c>
      <c r="P779" s="21" t="s">
        <v>4400</v>
      </c>
      <c r="Q779" s="20"/>
      <c r="R779" s="20" t="s">
        <v>4402</v>
      </c>
      <c r="S779" s="20"/>
      <c r="T779" s="20"/>
      <c r="U779" s="20"/>
      <c r="V779" s="20"/>
    </row>
    <row r="780" spans="2:22" ht="34">
      <c r="B780" s="11" t="s">
        <v>4403</v>
      </c>
      <c r="C780" s="12" t="s">
        <v>184</v>
      </c>
      <c r="D780" s="13" t="s">
        <v>322</v>
      </c>
      <c r="E780" s="24"/>
      <c r="F780" s="25">
        <f>Table2[[#This Row],[Price]]/Table2[[#This Row],[Tot Ht Area]]</f>
        <v>0</v>
      </c>
      <c r="G780" s="16">
        <v>2818</v>
      </c>
      <c r="H780" s="16">
        <v>2848</v>
      </c>
      <c r="I780" s="17" t="s">
        <v>4404</v>
      </c>
      <c r="J780" s="18" t="s">
        <v>1624</v>
      </c>
      <c r="K780" s="19" t="s">
        <v>37</v>
      </c>
      <c r="L780" s="19"/>
      <c r="M780" s="19" t="s">
        <v>4405</v>
      </c>
      <c r="N780" s="20" t="s">
        <v>1598</v>
      </c>
      <c r="O780" s="20" t="s">
        <v>27</v>
      </c>
      <c r="P780" s="21" t="s">
        <v>3042</v>
      </c>
      <c r="Q780" s="20"/>
      <c r="R780" s="20" t="s">
        <v>4406</v>
      </c>
      <c r="S780" s="20"/>
      <c r="T780" s="20"/>
      <c r="U780" s="20"/>
      <c r="V780" s="20"/>
    </row>
    <row r="781" spans="2:22" ht="17">
      <c r="B781" s="11" t="s">
        <v>4407</v>
      </c>
      <c r="C781" s="12" t="s">
        <v>184</v>
      </c>
      <c r="D781" s="13" t="s">
        <v>398</v>
      </c>
      <c r="E781" s="24">
        <v>1200000</v>
      </c>
      <c r="F781" s="25">
        <f>Table2[[#This Row],[Price]]/Table2[[#This Row],[Tot Ht Area]]</f>
        <v>45.334340763128068</v>
      </c>
      <c r="G781" s="16">
        <v>26470</v>
      </c>
      <c r="H781" s="16">
        <v>29232</v>
      </c>
      <c r="I781" s="17" t="s">
        <v>4408</v>
      </c>
      <c r="J781" s="18" t="s">
        <v>2797</v>
      </c>
      <c r="K781" s="19" t="s">
        <v>37</v>
      </c>
      <c r="L781" s="19"/>
      <c r="M781" s="19" t="s">
        <v>4409</v>
      </c>
      <c r="N781" s="20" t="s">
        <v>1598</v>
      </c>
      <c r="O781" s="20" t="s">
        <v>27</v>
      </c>
      <c r="P781" s="21" t="s">
        <v>4410</v>
      </c>
      <c r="Q781" s="20"/>
      <c r="R781" s="20" t="s">
        <v>4411</v>
      </c>
      <c r="S781" s="20"/>
      <c r="T781" s="20"/>
      <c r="U781" s="20"/>
      <c r="V781" s="20"/>
    </row>
    <row r="782" spans="2:22" ht="17">
      <c r="B782" s="11" t="s">
        <v>4412</v>
      </c>
      <c r="C782" s="12" t="s">
        <v>184</v>
      </c>
      <c r="D782" s="13" t="s">
        <v>428</v>
      </c>
      <c r="E782" s="24">
        <v>339400</v>
      </c>
      <c r="F782" s="25">
        <f>Table2[[#This Row],[Price]]/Table2[[#This Row],[Tot Ht Area]]</f>
        <v>167.27451946771808</v>
      </c>
      <c r="G782" s="16">
        <v>2029</v>
      </c>
      <c r="H782" s="16">
        <v>2079</v>
      </c>
      <c r="I782" s="17" t="s">
        <v>4413</v>
      </c>
      <c r="J782" s="18" t="s">
        <v>2637</v>
      </c>
      <c r="K782" s="19" t="s">
        <v>48</v>
      </c>
      <c r="L782" s="19"/>
      <c r="M782" s="19" t="s">
        <v>4414</v>
      </c>
      <c r="N782" s="20" t="s">
        <v>1598</v>
      </c>
      <c r="O782" s="20" t="s">
        <v>27</v>
      </c>
      <c r="P782" s="21" t="s">
        <v>4415</v>
      </c>
      <c r="Q782" s="20"/>
      <c r="R782" s="20" t="s">
        <v>4416</v>
      </c>
      <c r="S782" s="20"/>
      <c r="T782" s="20"/>
      <c r="U782" s="20"/>
      <c r="V782" s="20"/>
    </row>
    <row r="783" spans="2:22" ht="17">
      <c r="B783" s="11" t="s">
        <v>4417</v>
      </c>
      <c r="C783" s="12" t="s">
        <v>184</v>
      </c>
      <c r="D783" s="13" t="s">
        <v>474</v>
      </c>
      <c r="E783" s="24">
        <v>100</v>
      </c>
      <c r="F783" s="25">
        <f>Table2[[#This Row],[Price]]/Table2[[#This Row],[Tot Ht Area]]</f>
        <v>2.7063599458728011E-2</v>
      </c>
      <c r="G783" s="16">
        <v>3695</v>
      </c>
      <c r="H783" s="16">
        <v>3955</v>
      </c>
      <c r="I783" s="17" t="s">
        <v>4418</v>
      </c>
      <c r="J783" s="18" t="s">
        <v>491</v>
      </c>
      <c r="K783" s="19" t="s">
        <v>37</v>
      </c>
      <c r="L783" s="19"/>
      <c r="M783" s="19" t="s">
        <v>4419</v>
      </c>
      <c r="N783" s="20" t="s">
        <v>1598</v>
      </c>
      <c r="O783" s="20" t="s">
        <v>27</v>
      </c>
      <c r="P783" s="21" t="s">
        <v>4420</v>
      </c>
      <c r="Q783" s="20"/>
      <c r="R783" s="20" t="s">
        <v>4421</v>
      </c>
      <c r="S783" s="20"/>
      <c r="T783" s="20" t="s">
        <v>6318</v>
      </c>
      <c r="U783" s="20"/>
      <c r="V783" s="20"/>
    </row>
    <row r="784" spans="2:22" ht="34">
      <c r="B784" s="11" t="s">
        <v>4422</v>
      </c>
      <c r="C784" s="12" t="s">
        <v>184</v>
      </c>
      <c r="D784" s="13" t="s">
        <v>73</v>
      </c>
      <c r="E784" s="24">
        <v>375000</v>
      </c>
      <c r="F784" s="25">
        <f>Table2[[#This Row],[Price]]/Table2[[#This Row],[Tot Ht Area]]</f>
        <v>132.41525423728814</v>
      </c>
      <c r="G784" s="16">
        <v>2832</v>
      </c>
      <c r="H784" s="16">
        <v>2992</v>
      </c>
      <c r="I784" s="17" t="s">
        <v>4423</v>
      </c>
      <c r="J784" s="18" t="s">
        <v>48</v>
      </c>
      <c r="K784" s="19" t="s">
        <v>37</v>
      </c>
      <c r="L784" s="19"/>
      <c r="M784" s="19" t="s">
        <v>4424</v>
      </c>
      <c r="N784" s="20" t="s">
        <v>1598</v>
      </c>
      <c r="O784" s="20" t="s">
        <v>27</v>
      </c>
      <c r="P784" s="21" t="s">
        <v>4425</v>
      </c>
      <c r="Q784" s="20"/>
      <c r="R784" s="20" t="s">
        <v>4426</v>
      </c>
      <c r="S784" s="20"/>
      <c r="T784" s="20"/>
      <c r="U784" s="20"/>
      <c r="V784" s="20"/>
    </row>
    <row r="785" spans="2:22" ht="17">
      <c r="B785" s="11" t="s">
        <v>4427</v>
      </c>
      <c r="C785" s="12" t="s">
        <v>184</v>
      </c>
      <c r="D785" s="13" t="s">
        <v>4272</v>
      </c>
      <c r="E785" s="24">
        <v>100</v>
      </c>
      <c r="F785" s="25">
        <f>Table2[[#This Row],[Price]]/Table2[[#This Row],[Tot Ht Area]]</f>
        <v>1.849112426035503E-2</v>
      </c>
      <c r="G785" s="16">
        <v>5408</v>
      </c>
      <c r="H785" s="16">
        <v>5408</v>
      </c>
      <c r="I785" s="17" t="s">
        <v>4428</v>
      </c>
      <c r="J785" s="18" t="s">
        <v>241</v>
      </c>
      <c r="K785" s="19" t="s">
        <v>48</v>
      </c>
      <c r="L785" s="19"/>
      <c r="M785" s="19" t="s">
        <v>4429</v>
      </c>
      <c r="N785" s="20" t="s">
        <v>1598</v>
      </c>
      <c r="O785" s="20" t="s">
        <v>27</v>
      </c>
      <c r="P785" s="21" t="s">
        <v>4430</v>
      </c>
      <c r="Q785" s="20"/>
      <c r="R785" s="20" t="s">
        <v>4431</v>
      </c>
      <c r="S785" s="20"/>
      <c r="T785" s="20" t="s">
        <v>6318</v>
      </c>
      <c r="U785" s="20"/>
      <c r="V785" s="20"/>
    </row>
    <row r="786" spans="2:22" ht="34">
      <c r="B786" s="11" t="s">
        <v>4432</v>
      </c>
      <c r="C786" s="12" t="s">
        <v>184</v>
      </c>
      <c r="D786" s="13" t="s">
        <v>21</v>
      </c>
      <c r="E786" s="24">
        <v>264000</v>
      </c>
      <c r="F786" s="25">
        <f>Table2[[#This Row],[Price]]/Table2[[#This Row],[Tot Ht Area]]</f>
        <v>103.52941176470588</v>
      </c>
      <c r="G786" s="16">
        <v>2550</v>
      </c>
      <c r="H786" s="16">
        <v>2550</v>
      </c>
      <c r="I786" s="17" t="s">
        <v>4433</v>
      </c>
      <c r="J786" s="18" t="s">
        <v>430</v>
      </c>
      <c r="K786" s="19" t="s">
        <v>37</v>
      </c>
      <c r="L786" s="19"/>
      <c r="M786" s="19" t="s">
        <v>4434</v>
      </c>
      <c r="N786" s="20" t="s">
        <v>1598</v>
      </c>
      <c r="O786" s="20" t="s">
        <v>27</v>
      </c>
      <c r="P786" s="21" t="s">
        <v>4369</v>
      </c>
      <c r="Q786" s="20"/>
      <c r="R786" s="20" t="s">
        <v>4435</v>
      </c>
      <c r="S786" s="20"/>
      <c r="T786" s="20"/>
      <c r="U786" s="20"/>
      <c r="V786" s="20"/>
    </row>
    <row r="787" spans="2:22" ht="34">
      <c r="B787" s="11" t="s">
        <v>4436</v>
      </c>
      <c r="C787" s="12" t="s">
        <v>184</v>
      </c>
      <c r="D787" s="13" t="s">
        <v>149</v>
      </c>
      <c r="E787" s="24">
        <v>350000</v>
      </c>
      <c r="F787" s="25">
        <f>Table2[[#This Row],[Price]]/Table2[[#This Row],[Tot Ht Area]]</f>
        <v>187.56698821007504</v>
      </c>
      <c r="G787" s="16">
        <v>1866</v>
      </c>
      <c r="H787" s="16">
        <v>2194</v>
      </c>
      <c r="I787" s="17" t="s">
        <v>4437</v>
      </c>
      <c r="J787" s="18" t="s">
        <v>652</v>
      </c>
      <c r="K787" s="19" t="s">
        <v>37</v>
      </c>
      <c r="L787" s="19"/>
      <c r="M787" s="19" t="s">
        <v>4438</v>
      </c>
      <c r="N787" s="20" t="s">
        <v>1598</v>
      </c>
      <c r="O787" s="20" t="s">
        <v>27</v>
      </c>
      <c r="P787" s="21" t="s">
        <v>4439</v>
      </c>
      <c r="Q787" s="20"/>
      <c r="R787" s="20" t="s">
        <v>4440</v>
      </c>
      <c r="S787" s="20"/>
      <c r="T787" s="20"/>
      <c r="U787" s="20"/>
      <c r="V787" s="20"/>
    </row>
    <row r="788" spans="2:22" ht="17">
      <c r="B788" s="11" t="s">
        <v>4441</v>
      </c>
      <c r="C788" s="12" t="s">
        <v>184</v>
      </c>
      <c r="D788" s="13" t="s">
        <v>428</v>
      </c>
      <c r="E788" s="24">
        <v>3250000</v>
      </c>
      <c r="F788" s="25">
        <f>Table2[[#This Row],[Price]]/Table2[[#This Row],[Tot Ht Area]]</f>
        <v>164.2409541136042</v>
      </c>
      <c r="G788" s="16">
        <v>19788</v>
      </c>
      <c r="H788" s="16">
        <v>22806</v>
      </c>
      <c r="I788" s="17" t="s">
        <v>4442</v>
      </c>
      <c r="J788" s="18" t="s">
        <v>100</v>
      </c>
      <c r="K788" s="19" t="s">
        <v>48</v>
      </c>
      <c r="L788" s="19"/>
      <c r="M788" s="19" t="s">
        <v>4443</v>
      </c>
      <c r="N788" s="20" t="s">
        <v>1598</v>
      </c>
      <c r="O788" s="20" t="s">
        <v>27</v>
      </c>
      <c r="P788" s="21" t="s">
        <v>4444</v>
      </c>
      <c r="Q788" s="20"/>
      <c r="R788" s="20" t="s">
        <v>4445</v>
      </c>
      <c r="S788" s="20"/>
      <c r="T788" s="20"/>
      <c r="U788" s="20"/>
      <c r="V788" s="20"/>
    </row>
    <row r="789" spans="2:22" ht="17">
      <c r="B789" s="11" t="s">
        <v>4446</v>
      </c>
      <c r="C789" s="12" t="s">
        <v>184</v>
      </c>
      <c r="D789" s="13" t="s">
        <v>170</v>
      </c>
      <c r="E789" s="24"/>
      <c r="F789" s="25">
        <f>Table2[[#This Row],[Price]]/Table2[[#This Row],[Tot Ht Area]]</f>
        <v>0</v>
      </c>
      <c r="G789" s="16">
        <v>2980</v>
      </c>
      <c r="H789" s="16">
        <v>3034</v>
      </c>
      <c r="I789" s="17" t="s">
        <v>4447</v>
      </c>
      <c r="J789" s="18" t="s">
        <v>2218</v>
      </c>
      <c r="K789" s="19" t="s">
        <v>37</v>
      </c>
      <c r="L789" s="19"/>
      <c r="M789" s="19" t="s">
        <v>4448</v>
      </c>
      <c r="N789" s="20" t="s">
        <v>1598</v>
      </c>
      <c r="O789" s="20" t="s">
        <v>27</v>
      </c>
      <c r="P789" s="21" t="s">
        <v>4449</v>
      </c>
      <c r="Q789" s="20"/>
      <c r="R789" s="20" t="s">
        <v>4450</v>
      </c>
      <c r="S789" s="20"/>
      <c r="T789" s="20"/>
      <c r="U789" s="20"/>
      <c r="V789" s="20"/>
    </row>
    <row r="790" spans="2:22" ht="17">
      <c r="B790" s="11" t="s">
        <v>4451</v>
      </c>
      <c r="C790" s="12" t="s">
        <v>184</v>
      </c>
      <c r="D790" s="13" t="s">
        <v>995</v>
      </c>
      <c r="E790" s="24">
        <v>125000</v>
      </c>
      <c r="F790" s="25">
        <f>Table2[[#This Row],[Price]]/Table2[[#This Row],[Tot Ht Area]]</f>
        <v>63.840653728294178</v>
      </c>
      <c r="G790" s="16">
        <v>1958</v>
      </c>
      <c r="H790" s="16">
        <v>2421</v>
      </c>
      <c r="I790" s="17" t="s">
        <v>4452</v>
      </c>
      <c r="J790" s="18" t="s">
        <v>36</v>
      </c>
      <c r="K790" s="19" t="s">
        <v>37</v>
      </c>
      <c r="L790" s="19"/>
      <c r="M790" s="19" t="s">
        <v>4453</v>
      </c>
      <c r="N790" s="20" t="s">
        <v>1598</v>
      </c>
      <c r="O790" s="20" t="s">
        <v>27</v>
      </c>
      <c r="P790" s="21" t="s">
        <v>4454</v>
      </c>
      <c r="Q790" s="20"/>
      <c r="R790" s="20" t="s">
        <v>4455</v>
      </c>
      <c r="S790" s="20"/>
      <c r="T790" s="20"/>
      <c r="U790" s="20"/>
      <c r="V790" s="20"/>
    </row>
    <row r="791" spans="2:22" ht="17">
      <c r="B791" s="11" t="s">
        <v>4456</v>
      </c>
      <c r="C791" s="12" t="s">
        <v>184</v>
      </c>
      <c r="D791" s="13" t="s">
        <v>516</v>
      </c>
      <c r="E791" s="24">
        <v>275000</v>
      </c>
      <c r="F791" s="25">
        <f>Table2[[#This Row],[Price]]/Table2[[#This Row],[Tot Ht Area]]</f>
        <v>153.28874024526198</v>
      </c>
      <c r="G791" s="16">
        <v>1794</v>
      </c>
      <c r="H791" s="16">
        <v>2100</v>
      </c>
      <c r="I791" s="17" t="s">
        <v>4457</v>
      </c>
      <c r="J791" s="18" t="s">
        <v>1163</v>
      </c>
      <c r="K791" s="19" t="s">
        <v>37</v>
      </c>
      <c r="L791" s="19"/>
      <c r="M791" s="19" t="s">
        <v>4458</v>
      </c>
      <c r="N791" s="20" t="s">
        <v>1598</v>
      </c>
      <c r="O791" s="20" t="s">
        <v>27</v>
      </c>
      <c r="P791" s="21" t="s">
        <v>4459</v>
      </c>
      <c r="Q791" s="20"/>
      <c r="R791" s="20" t="s">
        <v>4460</v>
      </c>
      <c r="S791" s="20"/>
      <c r="T791" s="20"/>
      <c r="U791" s="20"/>
      <c r="V791" s="20"/>
    </row>
    <row r="792" spans="2:22" ht="34">
      <c r="B792" s="11" t="s">
        <v>4461</v>
      </c>
      <c r="C792" s="12" t="s">
        <v>184</v>
      </c>
      <c r="D792" s="13" t="s">
        <v>450</v>
      </c>
      <c r="E792" s="24">
        <v>1000000</v>
      </c>
      <c r="F792" s="25">
        <f>Table2[[#This Row],[Price]]/Table2[[#This Row],[Tot Ht Area]]</f>
        <v>237.41690408357076</v>
      </c>
      <c r="G792" s="16">
        <v>4212</v>
      </c>
      <c r="H792" s="16">
        <v>4562</v>
      </c>
      <c r="I792" s="17" t="s">
        <v>4462</v>
      </c>
      <c r="J792" s="18" t="s">
        <v>100</v>
      </c>
      <c r="K792" s="19" t="s">
        <v>37</v>
      </c>
      <c r="L792" s="19"/>
      <c r="M792" s="19" t="s">
        <v>4463</v>
      </c>
      <c r="N792" s="20" t="s">
        <v>1598</v>
      </c>
      <c r="O792" s="20" t="s">
        <v>27</v>
      </c>
      <c r="P792" s="21" t="s">
        <v>4464</v>
      </c>
      <c r="Q792" s="20"/>
      <c r="R792" s="20" t="s">
        <v>4465</v>
      </c>
      <c r="S792" s="20"/>
      <c r="T792" s="20"/>
      <c r="U792" s="20"/>
      <c r="V792" s="20"/>
    </row>
    <row r="793" spans="2:22" ht="34">
      <c r="B793" s="11" t="s">
        <v>4466</v>
      </c>
      <c r="C793" s="12" t="s">
        <v>184</v>
      </c>
      <c r="D793" s="13" t="s">
        <v>450</v>
      </c>
      <c r="E793" s="24">
        <v>1000000</v>
      </c>
      <c r="F793" s="25">
        <f>Table2[[#This Row],[Price]]/Table2[[#This Row],[Tot Ht Area]]</f>
        <v>237.41690408357076</v>
      </c>
      <c r="G793" s="16">
        <v>4212</v>
      </c>
      <c r="H793" s="16">
        <v>4562</v>
      </c>
      <c r="I793" s="17" t="s">
        <v>4462</v>
      </c>
      <c r="J793" s="18" t="s">
        <v>415</v>
      </c>
      <c r="K793" s="19" t="s">
        <v>37</v>
      </c>
      <c r="L793" s="19"/>
      <c r="M793" s="19" t="s">
        <v>4467</v>
      </c>
      <c r="N793" s="20" t="s">
        <v>1598</v>
      </c>
      <c r="O793" s="20" t="s">
        <v>27</v>
      </c>
      <c r="P793" s="21" t="s">
        <v>4464</v>
      </c>
      <c r="Q793" s="20"/>
      <c r="R793" s="20" t="s">
        <v>4468</v>
      </c>
      <c r="S793" s="20"/>
      <c r="T793" s="20"/>
      <c r="U793" s="20"/>
      <c r="V793" s="20"/>
    </row>
    <row r="794" spans="2:22" ht="17">
      <c r="B794" s="11" t="s">
        <v>4469</v>
      </c>
      <c r="C794" s="12" t="s">
        <v>184</v>
      </c>
      <c r="D794" s="13" t="s">
        <v>450</v>
      </c>
      <c r="E794" s="24">
        <v>135900</v>
      </c>
      <c r="F794" s="25">
        <f>Table2[[#This Row],[Price]]/Table2[[#This Row],[Tot Ht Area]]</f>
        <v>42.152605459057071</v>
      </c>
      <c r="G794" s="16">
        <v>3224</v>
      </c>
      <c r="H794" s="16">
        <v>3272</v>
      </c>
      <c r="I794" s="17" t="s">
        <v>4470</v>
      </c>
      <c r="J794" s="18" t="s">
        <v>2588</v>
      </c>
      <c r="K794" s="19" t="s">
        <v>37</v>
      </c>
      <c r="L794" s="19"/>
      <c r="M794" s="19" t="s">
        <v>4471</v>
      </c>
      <c r="N794" s="20" t="s">
        <v>1598</v>
      </c>
      <c r="O794" s="20" t="s">
        <v>27</v>
      </c>
      <c r="P794" s="21" t="s">
        <v>3042</v>
      </c>
      <c r="Q794" s="20"/>
      <c r="R794" s="20" t="s">
        <v>4472</v>
      </c>
      <c r="S794" s="20"/>
      <c r="T794" s="20"/>
      <c r="U794" s="20"/>
      <c r="V794" s="20"/>
    </row>
    <row r="795" spans="2:22" ht="17">
      <c r="B795" s="11" t="s">
        <v>4473</v>
      </c>
      <c r="C795" s="12" t="s">
        <v>184</v>
      </c>
      <c r="D795" s="13" t="s">
        <v>356</v>
      </c>
      <c r="E795" s="24">
        <v>350000</v>
      </c>
      <c r="F795" s="25">
        <f>Table2[[#This Row],[Price]]/Table2[[#This Row],[Tot Ht Area]]</f>
        <v>142.27642276422765</v>
      </c>
      <c r="G795" s="16">
        <v>2460</v>
      </c>
      <c r="H795" s="16">
        <v>2748</v>
      </c>
      <c r="I795" s="17" t="s">
        <v>4474</v>
      </c>
      <c r="J795" s="18" t="s">
        <v>23</v>
      </c>
      <c r="K795" s="19" t="s">
        <v>37</v>
      </c>
      <c r="L795" s="19"/>
      <c r="M795" s="19" t="s">
        <v>4475</v>
      </c>
      <c r="N795" s="20" t="s">
        <v>1598</v>
      </c>
      <c r="O795" s="20" t="s">
        <v>27</v>
      </c>
      <c r="P795" s="21" t="s">
        <v>3042</v>
      </c>
      <c r="Q795" s="20"/>
      <c r="R795" s="20" t="s">
        <v>4476</v>
      </c>
      <c r="S795" s="20"/>
      <c r="T795" s="20"/>
      <c r="U795" s="20"/>
      <c r="V795" s="20"/>
    </row>
    <row r="796" spans="2:22" ht="34">
      <c r="B796" s="11" t="s">
        <v>4477</v>
      </c>
      <c r="C796" s="12" t="s">
        <v>184</v>
      </c>
      <c r="D796" s="13" t="s">
        <v>4272</v>
      </c>
      <c r="E796" s="24">
        <v>100</v>
      </c>
      <c r="F796" s="25">
        <f>Table2[[#This Row],[Price]]/Table2[[#This Row],[Tot Ht Area]]</f>
        <v>1.8518518518518517E-2</v>
      </c>
      <c r="G796" s="16">
        <v>5400</v>
      </c>
      <c r="H796" s="16">
        <v>5400</v>
      </c>
      <c r="I796" s="17" t="s">
        <v>4478</v>
      </c>
      <c r="J796" s="18" t="s">
        <v>652</v>
      </c>
      <c r="K796" s="19" t="s">
        <v>37</v>
      </c>
      <c r="L796" s="19"/>
      <c r="M796" s="19" t="s">
        <v>4479</v>
      </c>
      <c r="N796" s="20" t="s">
        <v>1598</v>
      </c>
      <c r="O796" s="20" t="s">
        <v>27</v>
      </c>
      <c r="P796" s="21" t="s">
        <v>3042</v>
      </c>
      <c r="Q796" s="20"/>
      <c r="R796" s="20" t="s">
        <v>4480</v>
      </c>
      <c r="S796" s="20"/>
      <c r="T796" s="20" t="s">
        <v>6318</v>
      </c>
      <c r="U796" s="20"/>
      <c r="V796" s="20"/>
    </row>
    <row r="797" spans="2:22" ht="34">
      <c r="B797" s="11" t="s">
        <v>4481</v>
      </c>
      <c r="C797" s="12" t="s">
        <v>184</v>
      </c>
      <c r="D797" s="13" t="s">
        <v>1860</v>
      </c>
      <c r="E797" s="24">
        <v>100</v>
      </c>
      <c r="F797" s="25">
        <f>Table2[[#This Row],[Price]]/Table2[[#This Row],[Tot Ht Area]]</f>
        <v>1.9642506383814574E-2</v>
      </c>
      <c r="G797" s="16">
        <v>5091</v>
      </c>
      <c r="H797" s="16">
        <v>5271</v>
      </c>
      <c r="I797" s="17" t="s">
        <v>4482</v>
      </c>
      <c r="J797" s="18" t="s">
        <v>652</v>
      </c>
      <c r="K797" s="19" t="s">
        <v>37</v>
      </c>
      <c r="L797" s="19"/>
      <c r="M797" s="19" t="s">
        <v>4483</v>
      </c>
      <c r="N797" s="20" t="s">
        <v>1598</v>
      </c>
      <c r="O797" s="20" t="s">
        <v>27</v>
      </c>
      <c r="P797" s="21" t="s">
        <v>4484</v>
      </c>
      <c r="Q797" s="20"/>
      <c r="R797" s="20" t="s">
        <v>4485</v>
      </c>
      <c r="S797" s="20"/>
      <c r="T797" s="20" t="s">
        <v>6318</v>
      </c>
      <c r="U797" s="20"/>
      <c r="V797" s="20"/>
    </row>
    <row r="798" spans="2:22" ht="34">
      <c r="B798" s="11" t="s">
        <v>4486</v>
      </c>
      <c r="C798" s="12" t="s">
        <v>184</v>
      </c>
      <c r="D798" s="13" t="s">
        <v>658</v>
      </c>
      <c r="E798" s="24">
        <v>1910000</v>
      </c>
      <c r="F798" s="25">
        <f>Table2[[#This Row],[Price]]/Table2[[#This Row],[Tot Ht Area]]</f>
        <v>936.27450980392155</v>
      </c>
      <c r="G798" s="16">
        <v>2040</v>
      </c>
      <c r="H798" s="16">
        <v>2040</v>
      </c>
      <c r="I798" s="17" t="s">
        <v>4487</v>
      </c>
      <c r="J798" s="18" t="s">
        <v>83</v>
      </c>
      <c r="K798" s="19" t="s">
        <v>37</v>
      </c>
      <c r="L798" s="19"/>
      <c r="M798" s="19" t="s">
        <v>4488</v>
      </c>
      <c r="N798" s="20" t="s">
        <v>1598</v>
      </c>
      <c r="O798" s="20" t="s">
        <v>27</v>
      </c>
      <c r="P798" s="21" t="s">
        <v>4489</v>
      </c>
      <c r="Q798" s="20"/>
      <c r="R798" s="20" t="s">
        <v>4490</v>
      </c>
      <c r="S798" s="20"/>
      <c r="T798" s="20"/>
      <c r="U798" s="20"/>
      <c r="V798" s="20"/>
    </row>
    <row r="799" spans="2:22" ht="17">
      <c r="B799" s="11" t="s">
        <v>4491</v>
      </c>
      <c r="C799" s="12" t="s">
        <v>184</v>
      </c>
      <c r="D799" s="13" t="s">
        <v>73</v>
      </c>
      <c r="E799" s="24">
        <v>100</v>
      </c>
      <c r="F799" s="25">
        <f>Table2[[#This Row],[Price]]/Table2[[#This Row],[Tot Ht Area]]</f>
        <v>2.8571428571428571E-2</v>
      </c>
      <c r="G799" s="16">
        <v>3500</v>
      </c>
      <c r="H799" s="16">
        <v>3500</v>
      </c>
      <c r="I799" s="17" t="s">
        <v>4492</v>
      </c>
      <c r="J799" s="18" t="s">
        <v>100</v>
      </c>
      <c r="K799" s="19" t="s">
        <v>37</v>
      </c>
      <c r="L799" s="19"/>
      <c r="M799" s="19" t="s">
        <v>4493</v>
      </c>
      <c r="N799" s="20" t="s">
        <v>1598</v>
      </c>
      <c r="O799" s="20" t="s">
        <v>27</v>
      </c>
      <c r="P799" s="21" t="s">
        <v>4494</v>
      </c>
      <c r="Q799" s="20"/>
      <c r="R799" s="20" t="s">
        <v>4495</v>
      </c>
      <c r="S799" s="20"/>
      <c r="T799" s="20" t="s">
        <v>6318</v>
      </c>
      <c r="U799" s="20"/>
      <c r="V799" s="20"/>
    </row>
    <row r="800" spans="2:22" ht="17">
      <c r="B800" s="11" t="s">
        <v>4496</v>
      </c>
      <c r="C800" s="12" t="s">
        <v>184</v>
      </c>
      <c r="D800" s="13" t="s">
        <v>34</v>
      </c>
      <c r="E800" s="24">
        <v>100</v>
      </c>
      <c r="F800" s="25">
        <f>Table2[[#This Row],[Price]]/Table2[[#This Row],[Tot Ht Area]]</f>
        <v>1.2987012987012988E-2</v>
      </c>
      <c r="G800" s="16">
        <v>7700</v>
      </c>
      <c r="H800" s="16">
        <v>8036</v>
      </c>
      <c r="I800" s="17" t="s">
        <v>4497</v>
      </c>
      <c r="J800" s="18" t="s">
        <v>415</v>
      </c>
      <c r="K800" s="19" t="s">
        <v>37</v>
      </c>
      <c r="L800" s="19"/>
      <c r="M800" s="19" t="s">
        <v>4498</v>
      </c>
      <c r="N800" s="20" t="s">
        <v>1598</v>
      </c>
      <c r="O800" s="20" t="s">
        <v>27</v>
      </c>
      <c r="P800" s="21" t="s">
        <v>4499</v>
      </c>
      <c r="Q800" s="20"/>
      <c r="R800" s="20" t="s">
        <v>4500</v>
      </c>
      <c r="S800" s="20"/>
      <c r="T800" s="20" t="s">
        <v>6318</v>
      </c>
      <c r="U800" s="20"/>
      <c r="V800" s="20"/>
    </row>
    <row r="801" spans="1:22" ht="34">
      <c r="B801" s="11" t="s">
        <v>4501</v>
      </c>
      <c r="C801" s="12" t="s">
        <v>184</v>
      </c>
      <c r="D801" s="13" t="s">
        <v>55</v>
      </c>
      <c r="E801" s="24">
        <v>1864100</v>
      </c>
      <c r="F801" s="25">
        <f>Table2[[#This Row],[Price]]/Table2[[#This Row],[Tot Ht Area]]</f>
        <v>387.62736535662299</v>
      </c>
      <c r="G801" s="16">
        <v>4809</v>
      </c>
      <c r="H801" s="16">
        <v>4897</v>
      </c>
      <c r="I801" s="17" t="s">
        <v>4502</v>
      </c>
      <c r="J801" s="18" t="s">
        <v>225</v>
      </c>
      <c r="K801" s="19" t="s">
        <v>48</v>
      </c>
      <c r="L801" s="19"/>
      <c r="M801" s="19" t="s">
        <v>4503</v>
      </c>
      <c r="N801" s="20" t="s">
        <v>1598</v>
      </c>
      <c r="O801" s="20" t="s">
        <v>27</v>
      </c>
      <c r="P801" s="21" t="s">
        <v>4504</v>
      </c>
      <c r="Q801" s="20"/>
      <c r="R801" s="20" t="s">
        <v>4505</v>
      </c>
      <c r="S801" s="20"/>
      <c r="T801" s="20"/>
      <c r="U801" s="20"/>
      <c r="V801" s="20"/>
    </row>
    <row r="802" spans="1:22" ht="34">
      <c r="B802" s="11" t="s">
        <v>4506</v>
      </c>
      <c r="C802" s="12" t="s">
        <v>184</v>
      </c>
      <c r="D802" s="13" t="s">
        <v>372</v>
      </c>
      <c r="E802" s="24">
        <v>1325000</v>
      </c>
      <c r="F802" s="25">
        <f>Table2[[#This Row],[Price]]/Table2[[#This Row],[Tot Ht Area]]</f>
        <v>194.28152492668622</v>
      </c>
      <c r="G802" s="16">
        <v>6820</v>
      </c>
      <c r="H802" s="16">
        <v>7534</v>
      </c>
      <c r="I802" s="17" t="s">
        <v>4507</v>
      </c>
      <c r="J802" s="18" t="s">
        <v>83</v>
      </c>
      <c r="K802" s="19" t="s">
        <v>37</v>
      </c>
      <c r="L802" s="19"/>
      <c r="M802" s="19" t="s">
        <v>4508</v>
      </c>
      <c r="N802" s="20" t="s">
        <v>1598</v>
      </c>
      <c r="O802" s="20" t="s">
        <v>27</v>
      </c>
      <c r="P802" s="21" t="s">
        <v>4509</v>
      </c>
      <c r="Q802" s="20"/>
      <c r="R802" s="20" t="s">
        <v>4510</v>
      </c>
      <c r="S802" s="20"/>
      <c r="T802" s="20"/>
      <c r="U802" s="20"/>
      <c r="V802" s="20"/>
    </row>
    <row r="803" spans="1:22" ht="34">
      <c r="B803" s="11" t="s">
        <v>4511</v>
      </c>
      <c r="C803" s="12" t="s">
        <v>184</v>
      </c>
      <c r="D803" s="13" t="s">
        <v>55</v>
      </c>
      <c r="E803" s="24">
        <v>2320000</v>
      </c>
      <c r="F803" s="25">
        <f>Table2[[#This Row],[Price]]/Table2[[#This Row],[Tot Ht Area]]</f>
        <v>540.03724394785843</v>
      </c>
      <c r="G803" s="16">
        <v>4296</v>
      </c>
      <c r="H803" s="16">
        <v>4464</v>
      </c>
      <c r="I803" s="17" t="s">
        <v>4512</v>
      </c>
      <c r="J803" s="18" t="s">
        <v>379</v>
      </c>
      <c r="K803" s="19" t="s">
        <v>48</v>
      </c>
      <c r="L803" s="19"/>
      <c r="M803" s="19" t="s">
        <v>4513</v>
      </c>
      <c r="N803" s="20" t="s">
        <v>1598</v>
      </c>
      <c r="O803" s="20" t="s">
        <v>27</v>
      </c>
      <c r="P803" s="21" t="s">
        <v>4514</v>
      </c>
      <c r="Q803" s="20"/>
      <c r="R803" s="20" t="s">
        <v>4515</v>
      </c>
      <c r="S803" s="20"/>
      <c r="T803" s="20"/>
      <c r="U803" s="20"/>
      <c r="V803" s="20"/>
    </row>
    <row r="804" spans="1:22" ht="17">
      <c r="B804" s="11" t="s">
        <v>4516</v>
      </c>
      <c r="C804" s="12" t="s">
        <v>184</v>
      </c>
      <c r="D804" s="13" t="s">
        <v>141</v>
      </c>
      <c r="E804" s="24">
        <v>800000</v>
      </c>
      <c r="F804" s="25">
        <f>Table2[[#This Row],[Price]]/Table2[[#This Row],[Tot Ht Area]]</f>
        <v>154.08320493066256</v>
      </c>
      <c r="G804" s="16">
        <v>5192</v>
      </c>
      <c r="H804" s="16">
        <v>5234</v>
      </c>
      <c r="I804" s="17" t="s">
        <v>4517</v>
      </c>
      <c r="J804" s="18" t="s">
        <v>379</v>
      </c>
      <c r="K804" s="19" t="s">
        <v>37</v>
      </c>
      <c r="L804" s="19"/>
      <c r="M804" s="19" t="s">
        <v>4518</v>
      </c>
      <c r="N804" s="20" t="s">
        <v>1598</v>
      </c>
      <c r="O804" s="20" t="s">
        <v>27</v>
      </c>
      <c r="P804" s="21" t="s">
        <v>4519</v>
      </c>
      <c r="Q804" s="20"/>
      <c r="R804" s="20" t="s">
        <v>4520</v>
      </c>
      <c r="S804" s="20"/>
      <c r="T804" s="20"/>
      <c r="U804" s="20"/>
      <c r="V804" s="20"/>
    </row>
    <row r="805" spans="1:22" ht="17">
      <c r="B805" s="11" t="s">
        <v>4521</v>
      </c>
      <c r="C805" s="12" t="s">
        <v>184</v>
      </c>
      <c r="D805" s="13" t="s">
        <v>1490</v>
      </c>
      <c r="E805" s="24">
        <v>100</v>
      </c>
      <c r="F805" s="25">
        <f>Table2[[#This Row],[Price]]/Table2[[#This Row],[Tot Ht Area]]</f>
        <v>9.0090090090090089E-3</v>
      </c>
      <c r="G805" s="16">
        <v>11100</v>
      </c>
      <c r="H805" s="16">
        <v>11100</v>
      </c>
      <c r="I805" s="17" t="s">
        <v>4522</v>
      </c>
      <c r="J805" s="18" t="s">
        <v>287</v>
      </c>
      <c r="K805" s="19" t="s">
        <v>101</v>
      </c>
      <c r="L805" s="19"/>
      <c r="M805" s="19" t="s">
        <v>4523</v>
      </c>
      <c r="N805" s="20" t="s">
        <v>1598</v>
      </c>
      <c r="O805" s="20" t="s">
        <v>27</v>
      </c>
      <c r="P805" s="21" t="s">
        <v>3788</v>
      </c>
      <c r="Q805" s="20" t="s">
        <v>4524</v>
      </c>
      <c r="R805" s="20" t="s">
        <v>4525</v>
      </c>
      <c r="S805" s="20"/>
      <c r="T805" s="20" t="s">
        <v>6318</v>
      </c>
      <c r="U805" s="20"/>
      <c r="V805" s="20"/>
    </row>
    <row r="806" spans="1:22" ht="17">
      <c r="B806" s="11" t="s">
        <v>4526</v>
      </c>
      <c r="C806" s="12" t="s">
        <v>184</v>
      </c>
      <c r="D806" s="13" t="s">
        <v>314</v>
      </c>
      <c r="E806" s="24">
        <v>619200</v>
      </c>
      <c r="F806" s="25">
        <f>Table2[[#This Row],[Price]]/Table2[[#This Row],[Tot Ht Area]]</f>
        <v>191.64345403899722</v>
      </c>
      <c r="G806" s="16">
        <v>3231</v>
      </c>
      <c r="H806" s="16">
        <v>4083</v>
      </c>
      <c r="I806" s="17" t="s">
        <v>4527</v>
      </c>
      <c r="J806" s="18" t="s">
        <v>2150</v>
      </c>
      <c r="K806" s="19" t="s">
        <v>37</v>
      </c>
      <c r="L806" s="19"/>
      <c r="M806" s="19" t="s">
        <v>4528</v>
      </c>
      <c r="N806" s="20" t="s">
        <v>1598</v>
      </c>
      <c r="O806" s="20" t="s">
        <v>27</v>
      </c>
      <c r="P806" s="21" t="s">
        <v>4529</v>
      </c>
      <c r="Q806" s="20"/>
      <c r="R806" s="20" t="s">
        <v>4530</v>
      </c>
      <c r="S806" s="20"/>
      <c r="T806" s="20"/>
      <c r="U806" s="20"/>
      <c r="V806" s="20"/>
    </row>
    <row r="807" spans="1:22" ht="17">
      <c r="B807" s="11" t="s">
        <v>4531</v>
      </c>
      <c r="C807" s="12" t="s">
        <v>184</v>
      </c>
      <c r="D807" s="13" t="s">
        <v>407</v>
      </c>
      <c r="E807" s="24">
        <v>455000</v>
      </c>
      <c r="F807" s="25">
        <f>Table2[[#This Row],[Price]]/Table2[[#This Row],[Tot Ht Area]]</f>
        <v>180.41237113402062</v>
      </c>
      <c r="G807" s="16">
        <v>2522</v>
      </c>
      <c r="H807" s="16">
        <v>2552</v>
      </c>
      <c r="I807" s="17" t="s">
        <v>4532</v>
      </c>
      <c r="J807" s="18" t="s">
        <v>1664</v>
      </c>
      <c r="K807" s="19" t="s">
        <v>48</v>
      </c>
      <c r="L807" s="19"/>
      <c r="M807" s="19" t="s">
        <v>4533</v>
      </c>
      <c r="N807" s="20" t="s">
        <v>1598</v>
      </c>
      <c r="O807" s="20" t="s">
        <v>27</v>
      </c>
      <c r="P807" s="21" t="s">
        <v>2926</v>
      </c>
      <c r="Q807" s="20"/>
      <c r="R807" s="20" t="s">
        <v>4534</v>
      </c>
      <c r="S807" s="20"/>
      <c r="T807" s="20"/>
      <c r="U807" s="20"/>
      <c r="V807" s="20"/>
    </row>
    <row r="808" spans="1:22" ht="17">
      <c r="B808" s="11" t="s">
        <v>4535</v>
      </c>
      <c r="C808" s="12" t="s">
        <v>184</v>
      </c>
      <c r="D808" s="13" t="s">
        <v>133</v>
      </c>
      <c r="E808" s="24">
        <v>940000</v>
      </c>
      <c r="F808" s="25">
        <f>Table2[[#This Row],[Price]]/Table2[[#This Row],[Tot Ht Area]]</f>
        <v>155.37190082644628</v>
      </c>
      <c r="G808" s="16">
        <v>6050</v>
      </c>
      <c r="H808" s="16">
        <v>6948</v>
      </c>
      <c r="I808" s="17" t="s">
        <v>4536</v>
      </c>
      <c r="J808" s="18" t="s">
        <v>75</v>
      </c>
      <c r="K808" s="19" t="s">
        <v>37</v>
      </c>
      <c r="L808" s="19"/>
      <c r="M808" s="19" t="s">
        <v>4537</v>
      </c>
      <c r="N808" s="20" t="s">
        <v>1598</v>
      </c>
      <c r="O808" s="20" t="s">
        <v>27</v>
      </c>
      <c r="P808" s="21" t="s">
        <v>4538</v>
      </c>
      <c r="Q808" s="20"/>
      <c r="R808" s="20" t="s">
        <v>4539</v>
      </c>
      <c r="S808" s="20"/>
      <c r="T808" s="20"/>
      <c r="U808" s="20"/>
      <c r="V808" s="20"/>
    </row>
    <row r="809" spans="1:22" ht="17">
      <c r="B809" s="11" t="s">
        <v>4540</v>
      </c>
      <c r="C809" s="12" t="s">
        <v>184</v>
      </c>
      <c r="D809" s="13" t="s">
        <v>436</v>
      </c>
      <c r="E809" s="24">
        <v>689000</v>
      </c>
      <c r="F809" s="25">
        <f>Table2[[#This Row],[Price]]/Table2[[#This Row],[Tot Ht Area]]</f>
        <v>164.04761904761904</v>
      </c>
      <c r="G809" s="16">
        <v>4200</v>
      </c>
      <c r="H809" s="16">
        <v>4680</v>
      </c>
      <c r="I809" s="17" t="s">
        <v>4541</v>
      </c>
      <c r="J809" s="18" t="s">
        <v>760</v>
      </c>
      <c r="K809" s="19" t="s">
        <v>37</v>
      </c>
      <c r="L809" s="19"/>
      <c r="M809" s="19" t="s">
        <v>4542</v>
      </c>
      <c r="N809" s="20" t="s">
        <v>1598</v>
      </c>
      <c r="O809" s="20" t="s">
        <v>27</v>
      </c>
      <c r="P809" s="21" t="s">
        <v>4543</v>
      </c>
      <c r="Q809" s="20"/>
      <c r="R809" s="20" t="s">
        <v>4544</v>
      </c>
      <c r="S809" s="20"/>
      <c r="T809" s="20"/>
      <c r="U809" s="20"/>
      <c r="V809" s="20"/>
    </row>
    <row r="810" spans="1:22" ht="17">
      <c r="B810" s="11" t="s">
        <v>4545</v>
      </c>
      <c r="C810" s="12" t="s">
        <v>184</v>
      </c>
      <c r="D810" s="13" t="s">
        <v>314</v>
      </c>
      <c r="E810" s="24">
        <v>800000</v>
      </c>
      <c r="F810" s="25">
        <f>Table2[[#This Row],[Price]]/Table2[[#This Row],[Tot Ht Area]]</f>
        <v>177.77777777777777</v>
      </c>
      <c r="G810" s="16">
        <v>4500</v>
      </c>
      <c r="H810" s="16">
        <v>5772</v>
      </c>
      <c r="I810" s="17" t="s">
        <v>4546</v>
      </c>
      <c r="J810" s="18" t="s">
        <v>688</v>
      </c>
      <c r="K810" s="19" t="s">
        <v>48</v>
      </c>
      <c r="L810" s="19"/>
      <c r="M810" s="19" t="s">
        <v>4547</v>
      </c>
      <c r="N810" s="20" t="s">
        <v>1598</v>
      </c>
      <c r="O810" s="20" t="s">
        <v>27</v>
      </c>
      <c r="P810" s="21" t="s">
        <v>4548</v>
      </c>
      <c r="Q810" s="20"/>
      <c r="R810" s="20" t="s">
        <v>4549</v>
      </c>
      <c r="S810" s="20"/>
      <c r="T810" s="20"/>
      <c r="U810" s="20"/>
      <c r="V810" s="20"/>
    </row>
    <row r="811" spans="1:22" ht="17">
      <c r="B811" s="11" t="s">
        <v>4550</v>
      </c>
      <c r="C811" s="12" t="s">
        <v>184</v>
      </c>
      <c r="D811" s="13" t="s">
        <v>372</v>
      </c>
      <c r="E811" s="24">
        <v>765000</v>
      </c>
      <c r="F811" s="25">
        <f>Table2[[#This Row],[Price]]/Table2[[#This Row],[Tot Ht Area]]</f>
        <v>173.86363636363637</v>
      </c>
      <c r="G811" s="16">
        <v>4400</v>
      </c>
      <c r="H811" s="16">
        <v>4917</v>
      </c>
      <c r="I811" s="17" t="s">
        <v>4551</v>
      </c>
      <c r="J811" s="18" t="s">
        <v>379</v>
      </c>
      <c r="K811" s="19" t="s">
        <v>48</v>
      </c>
      <c r="L811" s="19"/>
      <c r="M811" s="19" t="s">
        <v>4552</v>
      </c>
      <c r="N811" s="20" t="s">
        <v>1598</v>
      </c>
      <c r="O811" s="20" t="s">
        <v>27</v>
      </c>
      <c r="P811" s="21" t="s">
        <v>4553</v>
      </c>
      <c r="Q811" s="20"/>
      <c r="R811" s="20" t="s">
        <v>4554</v>
      </c>
      <c r="S811" s="20"/>
      <c r="T811" s="20"/>
      <c r="U811" s="20"/>
      <c r="V811" s="20"/>
    </row>
    <row r="812" spans="1:22" ht="17">
      <c r="B812" s="11" t="s">
        <v>4555</v>
      </c>
      <c r="C812" s="12" t="s">
        <v>184</v>
      </c>
      <c r="D812" s="13" t="s">
        <v>158</v>
      </c>
      <c r="E812" s="24">
        <v>459000</v>
      </c>
      <c r="F812" s="25">
        <f>Table2[[#This Row],[Price]]/Table2[[#This Row],[Tot Ht Area]]</f>
        <v>231.46747352496217</v>
      </c>
      <c r="G812" s="16">
        <v>1983</v>
      </c>
      <c r="H812" s="16">
        <v>2014</v>
      </c>
      <c r="I812" s="17" t="s">
        <v>4556</v>
      </c>
      <c r="J812" s="18" t="s">
        <v>241</v>
      </c>
      <c r="K812" s="19" t="s">
        <v>48</v>
      </c>
      <c r="L812" s="19"/>
      <c r="M812" s="19" t="s">
        <v>4557</v>
      </c>
      <c r="N812" s="20" t="s">
        <v>1598</v>
      </c>
      <c r="O812" s="20" t="s">
        <v>27</v>
      </c>
      <c r="P812" s="21" t="s">
        <v>4558</v>
      </c>
      <c r="Q812" s="20"/>
      <c r="R812" s="20" t="s">
        <v>4559</v>
      </c>
      <c r="S812" s="20"/>
      <c r="T812" s="20"/>
      <c r="U812" s="20"/>
      <c r="V812" s="20"/>
    </row>
    <row r="813" spans="1:22" ht="34">
      <c r="B813" s="11" t="s">
        <v>4560</v>
      </c>
      <c r="C813" s="12" t="s">
        <v>184</v>
      </c>
      <c r="D813" s="13" t="s">
        <v>158</v>
      </c>
      <c r="E813" s="24">
        <v>1056000</v>
      </c>
      <c r="F813" s="25">
        <f>Table2[[#This Row],[Price]]/Table2[[#This Row],[Tot Ht Area]]</f>
        <v>198.87005649717514</v>
      </c>
      <c r="G813" s="16">
        <v>5310</v>
      </c>
      <c r="H813" s="16">
        <v>5358</v>
      </c>
      <c r="I813" s="17" t="s">
        <v>4561</v>
      </c>
      <c r="J813" s="18" t="s">
        <v>23</v>
      </c>
      <c r="K813" s="19" t="s">
        <v>48</v>
      </c>
      <c r="L813" s="19"/>
      <c r="M813" s="19" t="s">
        <v>4562</v>
      </c>
      <c r="N813" s="20" t="s">
        <v>1598</v>
      </c>
      <c r="O813" s="20" t="s">
        <v>27</v>
      </c>
      <c r="P813" s="21" t="s">
        <v>3272</v>
      </c>
      <c r="Q813" s="20"/>
      <c r="R813" s="20" t="s">
        <v>4563</v>
      </c>
      <c r="S813" s="20"/>
      <c r="T813" s="20"/>
      <c r="U813" s="20"/>
      <c r="V813" s="20"/>
    </row>
    <row r="814" spans="1:22" ht="34">
      <c r="B814" s="11" t="s">
        <v>4564</v>
      </c>
      <c r="C814" s="12" t="s">
        <v>184</v>
      </c>
      <c r="D814" s="13" t="s">
        <v>276</v>
      </c>
      <c r="E814" s="24">
        <v>1280000</v>
      </c>
      <c r="F814" s="25">
        <f>Table2[[#This Row],[Price]]/Table2[[#This Row],[Tot Ht Area]]</f>
        <v>222.02948829141371</v>
      </c>
      <c r="G814" s="16">
        <v>5765</v>
      </c>
      <c r="H814" s="16">
        <v>6131</v>
      </c>
      <c r="I814" s="17" t="s">
        <v>4565</v>
      </c>
      <c r="J814" s="18" t="s">
        <v>23</v>
      </c>
      <c r="K814" s="19" t="s">
        <v>48</v>
      </c>
      <c r="L814" s="19"/>
      <c r="M814" s="19" t="s">
        <v>4566</v>
      </c>
      <c r="N814" s="20" t="s">
        <v>1598</v>
      </c>
      <c r="O814" s="20" t="s">
        <v>27</v>
      </c>
      <c r="P814" s="21" t="s">
        <v>4567</v>
      </c>
      <c r="Q814" s="20"/>
      <c r="R814" s="20" t="s">
        <v>4568</v>
      </c>
      <c r="S814" s="20"/>
      <c r="T814" s="20"/>
      <c r="U814" s="20"/>
      <c r="V814" s="20"/>
    </row>
    <row r="815" spans="1:22" ht="17">
      <c r="B815" s="11" t="s">
        <v>4569</v>
      </c>
      <c r="C815" s="12" t="s">
        <v>184</v>
      </c>
      <c r="D815" s="13" t="s">
        <v>55</v>
      </c>
      <c r="E815" s="24">
        <v>2800000</v>
      </c>
      <c r="F815" s="25">
        <f>Table2[[#This Row],[Price]]/Table2[[#This Row],[Tot Ht Area]]</f>
        <v>380.43478260869563</v>
      </c>
      <c r="G815" s="16">
        <v>7360</v>
      </c>
      <c r="H815" s="16">
        <v>8010</v>
      </c>
      <c r="I815" s="17" t="s">
        <v>4502</v>
      </c>
      <c r="J815" s="18" t="s">
        <v>415</v>
      </c>
      <c r="K815" s="19" t="s">
        <v>48</v>
      </c>
      <c r="L815" s="19"/>
      <c r="M815" s="19" t="s">
        <v>4570</v>
      </c>
      <c r="N815" s="20" t="s">
        <v>1598</v>
      </c>
      <c r="O815" s="20" t="s">
        <v>27</v>
      </c>
      <c r="P815" s="21" t="s">
        <v>4571</v>
      </c>
      <c r="Q815" s="20"/>
      <c r="R815" s="20" t="s">
        <v>4572</v>
      </c>
      <c r="S815" s="20"/>
      <c r="T815" s="20"/>
      <c r="U815" s="20"/>
      <c r="V815" s="20"/>
    </row>
    <row r="816" spans="1:22" ht="17">
      <c r="A816">
        <v>3</v>
      </c>
      <c r="B816" s="11" t="s">
        <v>4573</v>
      </c>
      <c r="C816" s="12" t="s">
        <v>184</v>
      </c>
      <c r="D816" s="13" t="s">
        <v>954</v>
      </c>
      <c r="E816" s="24">
        <v>540000</v>
      </c>
      <c r="F816" s="25">
        <f>Table2[[#This Row],[Price]]/Table2[[#This Row],[Tot Ht Area]]</f>
        <v>86.538461538461533</v>
      </c>
      <c r="G816" s="16">
        <v>6240</v>
      </c>
      <c r="H816" s="16">
        <v>7260</v>
      </c>
      <c r="I816" s="17" t="s">
        <v>4574</v>
      </c>
      <c r="J816" s="18" t="s">
        <v>316</v>
      </c>
      <c r="K816" s="19" t="s">
        <v>48</v>
      </c>
      <c r="L816" s="19"/>
      <c r="M816" s="19" t="s">
        <v>4575</v>
      </c>
      <c r="N816" s="20" t="s">
        <v>1598</v>
      </c>
      <c r="O816" s="20" t="s">
        <v>27</v>
      </c>
      <c r="P816" s="21" t="s">
        <v>4576</v>
      </c>
      <c r="Q816" s="20"/>
      <c r="R816" s="20" t="s">
        <v>4577</v>
      </c>
      <c r="S816" s="20"/>
      <c r="T816" s="20"/>
      <c r="U816" s="20"/>
      <c r="V816" s="20"/>
    </row>
    <row r="817" spans="2:22" ht="17">
      <c r="B817" s="11" t="s">
        <v>4578</v>
      </c>
      <c r="C817" s="12" t="s">
        <v>184</v>
      </c>
      <c r="D817" s="13" t="s">
        <v>55</v>
      </c>
      <c r="E817" s="24">
        <v>13637400</v>
      </c>
      <c r="F817" s="25">
        <f>Table2[[#This Row],[Price]]/Table2[[#This Row],[Tot Ht Area]]</f>
        <v>389.19520547945206</v>
      </c>
      <c r="G817" s="16">
        <v>35040</v>
      </c>
      <c r="H817" s="16">
        <v>36827</v>
      </c>
      <c r="I817" s="17" t="s">
        <v>4502</v>
      </c>
      <c r="J817" s="18" t="s">
        <v>4162</v>
      </c>
      <c r="K817" s="19" t="s">
        <v>48</v>
      </c>
      <c r="L817" s="19"/>
      <c r="M817" s="19" t="s">
        <v>4579</v>
      </c>
      <c r="N817" s="20" t="s">
        <v>1598</v>
      </c>
      <c r="O817" s="20" t="s">
        <v>27</v>
      </c>
      <c r="P817" s="21" t="s">
        <v>4571</v>
      </c>
      <c r="Q817" s="20"/>
      <c r="R817" s="20" t="s">
        <v>4580</v>
      </c>
      <c r="S817" s="20"/>
      <c r="T817" s="20"/>
      <c r="U817" s="20"/>
      <c r="V817" s="20"/>
    </row>
    <row r="818" spans="2:22" ht="17">
      <c r="B818" s="11" t="s">
        <v>4581</v>
      </c>
      <c r="C818" s="12" t="s">
        <v>184</v>
      </c>
      <c r="D818" s="13" t="s">
        <v>1399</v>
      </c>
      <c r="E818" s="24">
        <v>315000</v>
      </c>
      <c r="F818" s="25">
        <f>Table2[[#This Row],[Price]]/Table2[[#This Row],[Tot Ht Area]]</f>
        <v>124.11347517730496</v>
      </c>
      <c r="G818" s="16">
        <v>2538</v>
      </c>
      <c r="H818" s="16">
        <v>2538</v>
      </c>
      <c r="I818" s="17" t="s">
        <v>4582</v>
      </c>
      <c r="J818" s="18" t="s">
        <v>767</v>
      </c>
      <c r="K818" s="19" t="s">
        <v>48</v>
      </c>
      <c r="L818" s="19"/>
      <c r="M818" s="19" t="s">
        <v>4583</v>
      </c>
      <c r="N818" s="20" t="s">
        <v>1598</v>
      </c>
      <c r="O818" s="20" t="s">
        <v>27</v>
      </c>
      <c r="P818" s="21" t="s">
        <v>4584</v>
      </c>
      <c r="Q818" s="20"/>
      <c r="R818" s="20" t="s">
        <v>4585</v>
      </c>
      <c r="S818" s="20"/>
      <c r="T818" s="20"/>
      <c r="U818" s="20"/>
      <c r="V818" s="20"/>
    </row>
    <row r="819" spans="2:22" ht="17">
      <c r="B819" s="11" t="s">
        <v>4586</v>
      </c>
      <c r="C819" s="12" t="s">
        <v>184</v>
      </c>
      <c r="D819" s="13" t="s">
        <v>285</v>
      </c>
      <c r="E819" s="24">
        <v>1100000</v>
      </c>
      <c r="F819" s="25">
        <f>Table2[[#This Row],[Price]]/Table2[[#This Row],[Tot Ht Area]]</f>
        <v>96.660808435852374</v>
      </c>
      <c r="G819" s="16">
        <v>11380</v>
      </c>
      <c r="H819" s="16">
        <v>11680</v>
      </c>
      <c r="I819" s="17" t="s">
        <v>4587</v>
      </c>
      <c r="J819" s="18" t="s">
        <v>422</v>
      </c>
      <c r="K819" s="19" t="s">
        <v>48</v>
      </c>
      <c r="L819" s="19"/>
      <c r="M819" s="19" t="s">
        <v>4588</v>
      </c>
      <c r="N819" s="20" t="s">
        <v>1598</v>
      </c>
      <c r="O819" s="20" t="s">
        <v>27</v>
      </c>
      <c r="P819" s="21" t="s">
        <v>4589</v>
      </c>
      <c r="Q819" s="20"/>
      <c r="R819" s="20" t="s">
        <v>4590</v>
      </c>
      <c r="S819" s="20"/>
      <c r="T819" s="20"/>
      <c r="U819" s="20"/>
      <c r="V819" s="20"/>
    </row>
    <row r="820" spans="2:22" ht="17">
      <c r="B820" s="11" t="s">
        <v>4591</v>
      </c>
      <c r="C820" s="12" t="s">
        <v>184</v>
      </c>
      <c r="D820" s="13" t="s">
        <v>745</v>
      </c>
      <c r="E820" s="24">
        <v>1140000</v>
      </c>
      <c r="F820" s="25">
        <f>Table2[[#This Row],[Price]]/Table2[[#This Row],[Tot Ht Area]]</f>
        <v>324.78632478632477</v>
      </c>
      <c r="G820" s="16">
        <v>3510</v>
      </c>
      <c r="H820" s="16">
        <v>3894</v>
      </c>
      <c r="I820" s="17" t="s">
        <v>4592</v>
      </c>
      <c r="J820" s="18" t="s">
        <v>66</v>
      </c>
      <c r="K820" s="19" t="s">
        <v>48</v>
      </c>
      <c r="L820" s="19"/>
      <c r="M820" s="19" t="s">
        <v>4593</v>
      </c>
      <c r="N820" s="20" t="s">
        <v>1598</v>
      </c>
      <c r="O820" s="20" t="s">
        <v>27</v>
      </c>
      <c r="P820" s="21" t="s">
        <v>4594</v>
      </c>
      <c r="Q820" s="20"/>
      <c r="R820" s="20" t="s">
        <v>4595</v>
      </c>
      <c r="S820" s="20"/>
      <c r="T820" s="20"/>
      <c r="U820" s="20"/>
      <c r="V820" s="20"/>
    </row>
    <row r="821" spans="2:22" ht="17">
      <c r="B821" s="11" t="s">
        <v>4596</v>
      </c>
      <c r="C821" s="12" t="s">
        <v>184</v>
      </c>
      <c r="D821" s="13" t="s">
        <v>185</v>
      </c>
      <c r="E821" s="24">
        <v>775000</v>
      </c>
      <c r="F821" s="25">
        <f>Table2[[#This Row],[Price]]/Table2[[#This Row],[Tot Ht Area]]</f>
        <v>197.9565772669221</v>
      </c>
      <c r="G821" s="16">
        <v>3915</v>
      </c>
      <c r="H821" s="16">
        <v>4811</v>
      </c>
      <c r="I821" s="17" t="s">
        <v>4597</v>
      </c>
      <c r="J821" s="18" t="s">
        <v>241</v>
      </c>
      <c r="K821" s="19" t="s">
        <v>48</v>
      </c>
      <c r="L821" s="19"/>
      <c r="M821" s="19" t="s">
        <v>4598</v>
      </c>
      <c r="N821" s="20" t="s">
        <v>1598</v>
      </c>
      <c r="O821" s="20" t="s">
        <v>27</v>
      </c>
      <c r="P821" s="21" t="s">
        <v>4599</v>
      </c>
      <c r="Q821" s="20"/>
      <c r="R821" s="20" t="s">
        <v>4600</v>
      </c>
      <c r="S821" s="20"/>
      <c r="T821" s="20"/>
      <c r="U821" s="20"/>
      <c r="V821" s="20"/>
    </row>
    <row r="822" spans="2:22" ht="17">
      <c r="B822" s="11" t="s">
        <v>4601</v>
      </c>
      <c r="C822" s="12" t="s">
        <v>184</v>
      </c>
      <c r="D822" s="13" t="s">
        <v>108</v>
      </c>
      <c r="E822" s="24">
        <v>630500</v>
      </c>
      <c r="F822" s="25">
        <f>Table2[[#This Row],[Price]]/Table2[[#This Row],[Tot Ht Area]]</f>
        <v>401.08142493638678</v>
      </c>
      <c r="G822" s="16">
        <v>1572</v>
      </c>
      <c r="H822" s="16">
        <v>2628</v>
      </c>
      <c r="I822" s="17" t="s">
        <v>4602</v>
      </c>
      <c r="J822" s="18" t="s">
        <v>1163</v>
      </c>
      <c r="K822" s="19" t="s">
        <v>37</v>
      </c>
      <c r="L822" s="19"/>
      <c r="M822" s="19" t="s">
        <v>4603</v>
      </c>
      <c r="N822" s="20" t="s">
        <v>1598</v>
      </c>
      <c r="O822" s="20" t="s">
        <v>27</v>
      </c>
      <c r="P822" s="21" t="s">
        <v>4604</v>
      </c>
      <c r="Q822" s="20"/>
      <c r="R822" s="20" t="s">
        <v>4605</v>
      </c>
      <c r="S822" s="20"/>
      <c r="T822" s="20"/>
      <c r="U822" s="20"/>
      <c r="V822" s="20"/>
    </row>
    <row r="823" spans="2:22" ht="17">
      <c r="B823" s="11" t="s">
        <v>4606</v>
      </c>
      <c r="C823" s="12" t="s">
        <v>184</v>
      </c>
      <c r="D823" s="13" t="s">
        <v>285</v>
      </c>
      <c r="E823" s="24">
        <v>450000</v>
      </c>
      <c r="F823" s="25">
        <f>Table2[[#This Row],[Price]]/Table2[[#This Row],[Tot Ht Area]]</f>
        <v>194.80519480519482</v>
      </c>
      <c r="G823" s="16">
        <v>2310</v>
      </c>
      <c r="H823" s="16">
        <v>3004</v>
      </c>
      <c r="I823" s="17" t="s">
        <v>4607</v>
      </c>
      <c r="J823" s="18" t="s">
        <v>422</v>
      </c>
      <c r="K823" s="19" t="s">
        <v>37</v>
      </c>
      <c r="L823" s="19"/>
      <c r="M823" s="19" t="s">
        <v>4608</v>
      </c>
      <c r="N823" s="20" t="s">
        <v>1598</v>
      </c>
      <c r="O823" s="20" t="s">
        <v>27</v>
      </c>
      <c r="P823" s="21" t="s">
        <v>4609</v>
      </c>
      <c r="Q823" s="20"/>
      <c r="R823" s="20" t="s">
        <v>4610</v>
      </c>
      <c r="S823" s="20"/>
      <c r="T823" s="20"/>
      <c r="U823" s="20"/>
      <c r="V823" s="20"/>
    </row>
    <row r="824" spans="2:22" ht="34">
      <c r="B824" s="11" t="s">
        <v>4611</v>
      </c>
      <c r="C824" s="12" t="s">
        <v>184</v>
      </c>
      <c r="D824" s="13" t="s">
        <v>745</v>
      </c>
      <c r="E824" s="24">
        <v>2841000</v>
      </c>
      <c r="F824" s="25">
        <f>Table2[[#This Row],[Price]]/Table2[[#This Row],[Tot Ht Area]]</f>
        <v>676.42857142857144</v>
      </c>
      <c r="G824" s="16">
        <v>4200</v>
      </c>
      <c r="H824" s="16">
        <v>4680</v>
      </c>
      <c r="I824" s="17" t="s">
        <v>4612</v>
      </c>
      <c r="J824" s="18" t="s">
        <v>233</v>
      </c>
      <c r="K824" s="19" t="s">
        <v>48</v>
      </c>
      <c r="L824" s="19"/>
      <c r="M824" s="19" t="s">
        <v>4613</v>
      </c>
      <c r="N824" s="20" t="s">
        <v>1598</v>
      </c>
      <c r="O824" s="20" t="s">
        <v>27</v>
      </c>
      <c r="P824" s="21" t="s">
        <v>4614</v>
      </c>
      <c r="Q824" s="20"/>
      <c r="R824" s="20" t="s">
        <v>4615</v>
      </c>
      <c r="S824" s="20"/>
      <c r="T824" s="20"/>
      <c r="U824" s="20"/>
      <c r="V824" s="20"/>
    </row>
    <row r="825" spans="2:22" ht="17">
      <c r="B825" s="11" t="s">
        <v>4616</v>
      </c>
      <c r="C825" s="12" t="s">
        <v>184</v>
      </c>
      <c r="D825" s="13" t="s">
        <v>207</v>
      </c>
      <c r="E825" s="24">
        <v>169500</v>
      </c>
      <c r="F825" s="25">
        <f>Table2[[#This Row],[Price]]/Table2[[#This Row],[Tot Ht Area]]</f>
        <v>23.541666666666668</v>
      </c>
      <c r="G825" s="16">
        <v>7200</v>
      </c>
      <c r="H825" s="16">
        <v>7200</v>
      </c>
      <c r="I825" s="17" t="s">
        <v>4617</v>
      </c>
      <c r="J825" s="18" t="s">
        <v>287</v>
      </c>
      <c r="K825" s="19" t="s">
        <v>37</v>
      </c>
      <c r="L825" s="19"/>
      <c r="M825" s="19" t="s">
        <v>4618</v>
      </c>
      <c r="N825" s="20" t="s">
        <v>1598</v>
      </c>
      <c r="O825" s="20" t="s">
        <v>27</v>
      </c>
      <c r="P825" s="21" t="s">
        <v>4619</v>
      </c>
      <c r="Q825" s="20"/>
      <c r="R825" s="20" t="s">
        <v>4620</v>
      </c>
      <c r="S825" s="20"/>
      <c r="T825" s="20"/>
      <c r="U825" s="20"/>
      <c r="V825" s="20"/>
    </row>
    <row r="826" spans="2:22" ht="17">
      <c r="B826" s="11" t="s">
        <v>4621</v>
      </c>
      <c r="C826" s="12" t="s">
        <v>184</v>
      </c>
      <c r="D826" s="13" t="s">
        <v>4272</v>
      </c>
      <c r="E826" s="24">
        <v>100</v>
      </c>
      <c r="F826" s="25">
        <f>Table2[[#This Row],[Price]]/Table2[[#This Row],[Tot Ht Area]]</f>
        <v>2.9061319383900028E-2</v>
      </c>
      <c r="G826" s="16">
        <v>3441</v>
      </c>
      <c r="H826" s="16">
        <v>3475</v>
      </c>
      <c r="I826" s="17" t="s">
        <v>4622</v>
      </c>
      <c r="J826" s="18" t="s">
        <v>2133</v>
      </c>
      <c r="K826" s="19" t="s">
        <v>48</v>
      </c>
      <c r="L826" s="19"/>
      <c r="M826" s="19" t="s">
        <v>4623</v>
      </c>
      <c r="N826" s="20" t="s">
        <v>1598</v>
      </c>
      <c r="O826" s="20" t="s">
        <v>27</v>
      </c>
      <c r="P826" s="21" t="s">
        <v>4624</v>
      </c>
      <c r="Q826" s="20"/>
      <c r="R826" s="20" t="s">
        <v>4625</v>
      </c>
      <c r="S826" s="20"/>
      <c r="T826" s="20" t="s">
        <v>6318</v>
      </c>
      <c r="U826" s="20"/>
      <c r="V826" s="20"/>
    </row>
    <row r="827" spans="2:22" ht="17">
      <c r="B827" s="11" t="s">
        <v>4626</v>
      </c>
      <c r="C827" s="12" t="s">
        <v>184</v>
      </c>
      <c r="D827" s="13" t="s">
        <v>90</v>
      </c>
      <c r="E827" s="24">
        <v>100</v>
      </c>
      <c r="F827" s="25">
        <f>Table2[[#This Row],[Price]]/Table2[[#This Row],[Tot Ht Area]]</f>
        <v>1.0267994660642776E-2</v>
      </c>
      <c r="G827" s="16">
        <v>9739</v>
      </c>
      <c r="H827" s="16">
        <v>9859</v>
      </c>
      <c r="I827" s="17" t="s">
        <v>4627</v>
      </c>
      <c r="J827" s="18" t="s">
        <v>379</v>
      </c>
      <c r="K827" s="19" t="s">
        <v>48</v>
      </c>
      <c r="L827" s="19"/>
      <c r="M827" s="19" t="s">
        <v>4628</v>
      </c>
      <c r="N827" s="20" t="s">
        <v>1598</v>
      </c>
      <c r="O827" s="20" t="s">
        <v>27</v>
      </c>
      <c r="P827" s="21" t="s">
        <v>4629</v>
      </c>
      <c r="Q827" s="20"/>
      <c r="R827" s="20" t="s">
        <v>4630</v>
      </c>
      <c r="S827" s="20"/>
      <c r="T827" s="20" t="s">
        <v>6318</v>
      </c>
      <c r="U827" s="20"/>
      <c r="V827" s="20"/>
    </row>
    <row r="828" spans="2:22" ht="17">
      <c r="B828" s="11" t="s">
        <v>4631</v>
      </c>
      <c r="C828" s="12" t="s">
        <v>184</v>
      </c>
      <c r="D828" s="13" t="s">
        <v>90</v>
      </c>
      <c r="E828" s="24">
        <v>1100000</v>
      </c>
      <c r="F828" s="25">
        <f>Table2[[#This Row],[Price]]/Table2[[#This Row],[Tot Ht Area]]</f>
        <v>209.92366412213741</v>
      </c>
      <c r="G828" s="16">
        <v>5240</v>
      </c>
      <c r="H828" s="16">
        <v>5375</v>
      </c>
      <c r="I828" s="17" t="s">
        <v>4632</v>
      </c>
      <c r="J828" s="18" t="s">
        <v>201</v>
      </c>
      <c r="K828" s="19" t="s">
        <v>48</v>
      </c>
      <c r="L828" s="19"/>
      <c r="M828" s="19" t="s">
        <v>4633</v>
      </c>
      <c r="N828" s="20" t="s">
        <v>1598</v>
      </c>
      <c r="O828" s="20" t="s">
        <v>27</v>
      </c>
      <c r="P828" s="21" t="s">
        <v>4634</v>
      </c>
      <c r="Q828" s="20"/>
      <c r="R828" s="20" t="s">
        <v>4635</v>
      </c>
      <c r="S828" s="20"/>
      <c r="T828" s="20"/>
      <c r="U828" s="20"/>
      <c r="V828" s="20"/>
    </row>
    <row r="829" spans="2:22" ht="34">
      <c r="B829" s="11" t="s">
        <v>4636</v>
      </c>
      <c r="C829" s="12" t="s">
        <v>184</v>
      </c>
      <c r="D829" s="13" t="s">
        <v>356</v>
      </c>
      <c r="E829" s="24">
        <v>100</v>
      </c>
      <c r="F829" s="25">
        <f>Table2[[#This Row],[Price]]/Table2[[#This Row],[Tot Ht Area]]</f>
        <v>4.4503782821539828E-2</v>
      </c>
      <c r="G829" s="16">
        <v>2247</v>
      </c>
      <c r="H829" s="16">
        <v>2247</v>
      </c>
      <c r="I829" s="17" t="s">
        <v>4637</v>
      </c>
      <c r="J829" s="18" t="s">
        <v>2218</v>
      </c>
      <c r="K829" s="19" t="s">
        <v>37</v>
      </c>
      <c r="L829" s="19"/>
      <c r="M829" s="19" t="s">
        <v>4638</v>
      </c>
      <c r="N829" s="20" t="s">
        <v>1598</v>
      </c>
      <c r="O829" s="20" t="s">
        <v>27</v>
      </c>
      <c r="P829" s="21" t="s">
        <v>4639</v>
      </c>
      <c r="Q829" s="20"/>
      <c r="R829" s="20" t="s">
        <v>4640</v>
      </c>
      <c r="S829" s="20"/>
      <c r="T829" s="20" t="s">
        <v>6318</v>
      </c>
      <c r="U829" s="20"/>
      <c r="V829" s="20"/>
    </row>
    <row r="830" spans="2:22" ht="34">
      <c r="B830" s="11" t="s">
        <v>4641</v>
      </c>
      <c r="C830" s="12" t="s">
        <v>184</v>
      </c>
      <c r="D830" s="13" t="s">
        <v>925</v>
      </c>
      <c r="E830" s="24">
        <v>80000</v>
      </c>
      <c r="F830" s="25">
        <f>Table2[[#This Row],[Price]]/Table2[[#This Row],[Tot Ht Area]]</f>
        <v>20.491803278688526</v>
      </c>
      <c r="G830" s="16">
        <v>3904</v>
      </c>
      <c r="H830" s="16">
        <v>4950</v>
      </c>
      <c r="I830" s="17" t="s">
        <v>4642</v>
      </c>
      <c r="J830" s="18" t="s">
        <v>217</v>
      </c>
      <c r="K830" s="19" t="s">
        <v>48</v>
      </c>
      <c r="L830" s="19"/>
      <c r="M830" s="19" t="s">
        <v>4643</v>
      </c>
      <c r="N830" s="20" t="s">
        <v>1598</v>
      </c>
      <c r="O830" s="20" t="s">
        <v>27</v>
      </c>
      <c r="P830" s="21" t="s">
        <v>3042</v>
      </c>
      <c r="Q830" s="20"/>
      <c r="R830" s="20" t="s">
        <v>4644</v>
      </c>
      <c r="S830" s="20"/>
      <c r="T830" s="20"/>
      <c r="U830" s="20"/>
      <c r="V830" s="20"/>
    </row>
    <row r="831" spans="2:22" ht="17">
      <c r="B831" s="11" t="s">
        <v>4645</v>
      </c>
      <c r="C831" s="12" t="s">
        <v>184</v>
      </c>
      <c r="D831" s="13" t="s">
        <v>407</v>
      </c>
      <c r="E831" s="24">
        <v>100</v>
      </c>
      <c r="F831" s="25">
        <f>Table2[[#This Row],[Price]]/Table2[[#This Row],[Tot Ht Area]]</f>
        <v>3.3068783068783067E-2</v>
      </c>
      <c r="G831" s="16">
        <v>3024</v>
      </c>
      <c r="H831" s="16">
        <v>3024</v>
      </c>
      <c r="I831" s="17" t="s">
        <v>4646</v>
      </c>
      <c r="J831" s="18" t="s">
        <v>747</v>
      </c>
      <c r="K831" s="19" t="s">
        <v>37</v>
      </c>
      <c r="L831" s="19"/>
      <c r="M831" s="19" t="s">
        <v>4647</v>
      </c>
      <c r="N831" s="20" t="s">
        <v>1598</v>
      </c>
      <c r="O831" s="20" t="s">
        <v>27</v>
      </c>
      <c r="P831" s="21" t="s">
        <v>3511</v>
      </c>
      <c r="Q831" s="20" t="s">
        <v>4648</v>
      </c>
      <c r="R831" s="20" t="s">
        <v>4649</v>
      </c>
      <c r="S831" s="20"/>
      <c r="T831" s="20" t="s">
        <v>6318</v>
      </c>
      <c r="U831" s="20"/>
      <c r="V831" s="20"/>
    </row>
    <row r="832" spans="2:22" ht="17">
      <c r="B832" s="11" t="s">
        <v>4650</v>
      </c>
      <c r="C832" s="12" t="s">
        <v>184</v>
      </c>
      <c r="D832" s="13" t="s">
        <v>896</v>
      </c>
      <c r="E832" s="24">
        <v>100</v>
      </c>
      <c r="F832" s="25">
        <f>Table2[[#This Row],[Price]]/Table2[[#This Row],[Tot Ht Area]]</f>
        <v>3.5868005738880916E-2</v>
      </c>
      <c r="G832" s="16">
        <v>2788</v>
      </c>
      <c r="H832" s="16">
        <v>3280</v>
      </c>
      <c r="I832" s="17" t="s">
        <v>4651</v>
      </c>
      <c r="J832" s="18" t="s">
        <v>4385</v>
      </c>
      <c r="K832" s="19" t="s">
        <v>37</v>
      </c>
      <c r="L832" s="19"/>
      <c r="M832" s="19" t="s">
        <v>4652</v>
      </c>
      <c r="N832" s="20" t="s">
        <v>1598</v>
      </c>
      <c r="O832" s="20" t="s">
        <v>27</v>
      </c>
      <c r="P832" s="21" t="s">
        <v>4653</v>
      </c>
      <c r="Q832" s="20"/>
      <c r="R832" s="20" t="s">
        <v>4654</v>
      </c>
      <c r="S832" s="20"/>
      <c r="T832" s="20" t="s">
        <v>6318</v>
      </c>
      <c r="U832" s="20"/>
      <c r="V832" s="20"/>
    </row>
    <row r="833" spans="1:22" ht="17">
      <c r="B833" s="11" t="s">
        <v>4655</v>
      </c>
      <c r="C833" s="12" t="s">
        <v>184</v>
      </c>
      <c r="D833" s="13" t="s">
        <v>722</v>
      </c>
      <c r="E833" s="24">
        <v>984000</v>
      </c>
      <c r="F833" s="25">
        <f>Table2[[#This Row],[Price]]/Table2[[#This Row],[Tot Ht Area]]</f>
        <v>412.75167785234902</v>
      </c>
      <c r="G833" s="16">
        <v>2384</v>
      </c>
      <c r="H833" s="16">
        <v>2622</v>
      </c>
      <c r="I833" s="17" t="s">
        <v>4656</v>
      </c>
      <c r="J833" s="18" t="s">
        <v>3217</v>
      </c>
      <c r="K833" s="19" t="s">
        <v>37</v>
      </c>
      <c r="L833" s="19"/>
      <c r="M833" s="19" t="s">
        <v>4657</v>
      </c>
      <c r="N833" s="20" t="s">
        <v>1598</v>
      </c>
      <c r="O833" s="20" t="s">
        <v>27</v>
      </c>
      <c r="P833" s="21" t="s">
        <v>4658</v>
      </c>
      <c r="Q833" s="20"/>
      <c r="R833" s="20" t="s">
        <v>4659</v>
      </c>
      <c r="S833" s="20"/>
      <c r="T833" s="20"/>
      <c r="U833" s="20"/>
      <c r="V833" s="20"/>
    </row>
    <row r="834" spans="1:22" ht="34">
      <c r="B834" s="11" t="s">
        <v>4660</v>
      </c>
      <c r="C834" s="12" t="s">
        <v>184</v>
      </c>
      <c r="D834" s="13" t="s">
        <v>1490</v>
      </c>
      <c r="E834" s="24">
        <v>415000</v>
      </c>
      <c r="F834" s="25">
        <f>Table2[[#This Row],[Price]]/Table2[[#This Row],[Tot Ht Area]]</f>
        <v>142.90633608815426</v>
      </c>
      <c r="G834" s="16">
        <v>2904</v>
      </c>
      <c r="H834" s="16">
        <v>3432</v>
      </c>
      <c r="I834" s="17" t="s">
        <v>4661</v>
      </c>
      <c r="J834" s="18" t="s">
        <v>2588</v>
      </c>
      <c r="K834" s="19" t="s">
        <v>37</v>
      </c>
      <c r="L834" s="19"/>
      <c r="M834" s="19" t="s">
        <v>4662</v>
      </c>
      <c r="N834" s="20" t="s">
        <v>1598</v>
      </c>
      <c r="O834" s="20" t="s">
        <v>27</v>
      </c>
      <c r="P834" s="21" t="s">
        <v>4663</v>
      </c>
      <c r="Q834" s="20"/>
      <c r="R834" s="20" t="s">
        <v>4664</v>
      </c>
      <c r="S834" s="20"/>
      <c r="T834" s="20"/>
      <c r="U834" s="20"/>
      <c r="V834" s="20"/>
    </row>
    <row r="835" spans="1:22" ht="17">
      <c r="B835" s="11" t="s">
        <v>4665</v>
      </c>
      <c r="C835" s="12" t="s">
        <v>184</v>
      </c>
      <c r="D835" s="13" t="s">
        <v>90</v>
      </c>
      <c r="E835" s="24">
        <v>260000</v>
      </c>
      <c r="F835" s="25">
        <f>Table2[[#This Row],[Price]]/Table2[[#This Row],[Tot Ht Area]]</f>
        <v>77.288941736028534</v>
      </c>
      <c r="G835" s="16">
        <v>3364</v>
      </c>
      <c r="H835" s="16">
        <v>4896</v>
      </c>
      <c r="I835" s="17" t="s">
        <v>4390</v>
      </c>
      <c r="J835" s="18" t="s">
        <v>518</v>
      </c>
      <c r="K835" s="19" t="s">
        <v>37</v>
      </c>
      <c r="L835" s="19"/>
      <c r="M835" s="19" t="s">
        <v>4666</v>
      </c>
      <c r="N835" s="20" t="s">
        <v>1598</v>
      </c>
      <c r="O835" s="20" t="s">
        <v>27</v>
      </c>
      <c r="P835" s="21" t="s">
        <v>4392</v>
      </c>
      <c r="Q835" s="20"/>
      <c r="R835" s="20" t="s">
        <v>4667</v>
      </c>
      <c r="S835" s="20"/>
      <c r="T835" s="20"/>
      <c r="U835" s="20"/>
      <c r="V835" s="20"/>
    </row>
    <row r="836" spans="1:22" ht="17">
      <c r="B836" s="11" t="s">
        <v>4668</v>
      </c>
      <c r="C836" s="12" t="s">
        <v>184</v>
      </c>
      <c r="D836" s="13" t="s">
        <v>2642</v>
      </c>
      <c r="E836" s="24">
        <v>180500</v>
      </c>
      <c r="F836" s="25">
        <f>Table2[[#This Row],[Price]]/Table2[[#This Row],[Tot Ht Area]]</f>
        <v>101.40449438202248</v>
      </c>
      <c r="G836" s="16">
        <v>1780</v>
      </c>
      <c r="H836" s="16">
        <v>2044</v>
      </c>
      <c r="I836" s="17" t="s">
        <v>4669</v>
      </c>
      <c r="J836" s="18" t="s">
        <v>1484</v>
      </c>
      <c r="K836" s="19" t="s">
        <v>37</v>
      </c>
      <c r="L836" s="19"/>
      <c r="M836" s="19" t="s">
        <v>4670</v>
      </c>
      <c r="N836" s="20" t="s">
        <v>1598</v>
      </c>
      <c r="O836" s="20" t="s">
        <v>27</v>
      </c>
      <c r="P836" s="21" t="s">
        <v>4671</v>
      </c>
      <c r="Q836" s="20"/>
      <c r="R836" s="26" t="s">
        <v>4672</v>
      </c>
      <c r="S836" s="20"/>
      <c r="T836" s="20"/>
      <c r="U836" s="20"/>
      <c r="V836" s="20"/>
    </row>
    <row r="837" spans="1:22" ht="34">
      <c r="B837" s="11" t="s">
        <v>4673</v>
      </c>
      <c r="C837" s="12" t="s">
        <v>184</v>
      </c>
      <c r="D837" s="13" t="s">
        <v>1641</v>
      </c>
      <c r="E837" s="24">
        <v>100</v>
      </c>
      <c r="F837" s="25">
        <f>Table2[[#This Row],[Price]]/Table2[[#This Row],[Tot Ht Area]]</f>
        <v>1.6986580601324953E-2</v>
      </c>
      <c r="G837" s="16">
        <v>5887</v>
      </c>
      <c r="H837" s="16">
        <v>6073</v>
      </c>
      <c r="I837" s="17" t="s">
        <v>4674</v>
      </c>
      <c r="J837" s="18" t="s">
        <v>536</v>
      </c>
      <c r="K837" s="19" t="s">
        <v>37</v>
      </c>
      <c r="L837" s="19"/>
      <c r="M837" s="19" t="s">
        <v>4675</v>
      </c>
      <c r="N837" s="20" t="s">
        <v>1598</v>
      </c>
      <c r="O837" s="20" t="s">
        <v>27</v>
      </c>
      <c r="P837" s="21" t="s">
        <v>4614</v>
      </c>
      <c r="Q837" s="20"/>
      <c r="R837" s="20" t="s">
        <v>4676</v>
      </c>
      <c r="S837" s="20"/>
      <c r="T837" s="20" t="s">
        <v>6318</v>
      </c>
      <c r="U837" s="20"/>
      <c r="V837" s="20"/>
    </row>
    <row r="838" spans="1:22" ht="34">
      <c r="B838" s="11" t="s">
        <v>4677</v>
      </c>
      <c r="C838" s="12" t="s">
        <v>184</v>
      </c>
      <c r="D838" s="13" t="s">
        <v>792</v>
      </c>
      <c r="E838" s="24">
        <v>100</v>
      </c>
      <c r="F838" s="25">
        <f>Table2[[#This Row],[Price]]/Table2[[#This Row],[Tot Ht Area]]</f>
        <v>3.2894736842105261E-2</v>
      </c>
      <c r="G838" s="16">
        <v>3040</v>
      </c>
      <c r="H838" s="16">
        <v>3360</v>
      </c>
      <c r="I838" s="17" t="s">
        <v>4678</v>
      </c>
      <c r="J838" s="18" t="s">
        <v>1116</v>
      </c>
      <c r="K838" s="19" t="s">
        <v>37</v>
      </c>
      <c r="L838" s="19"/>
      <c r="M838" s="19" t="s">
        <v>4679</v>
      </c>
      <c r="N838" s="20" t="s">
        <v>1598</v>
      </c>
      <c r="O838" s="20" t="s">
        <v>27</v>
      </c>
      <c r="P838" s="21" t="s">
        <v>4639</v>
      </c>
      <c r="Q838" s="20"/>
      <c r="R838" s="20" t="s">
        <v>4680</v>
      </c>
      <c r="S838" s="20"/>
      <c r="T838" s="20" t="s">
        <v>6318</v>
      </c>
      <c r="U838" s="20"/>
      <c r="V838" s="20"/>
    </row>
    <row r="839" spans="1:22" ht="17">
      <c r="B839" s="11" t="s">
        <v>4681</v>
      </c>
      <c r="C839" s="12" t="s">
        <v>184</v>
      </c>
      <c r="D839" s="13" t="s">
        <v>223</v>
      </c>
      <c r="E839" s="24">
        <v>100</v>
      </c>
      <c r="F839" s="25">
        <f>Table2[[#This Row],[Price]]/Table2[[#This Row],[Tot Ht Area]]</f>
        <v>4.8971596474045052E-2</v>
      </c>
      <c r="G839" s="16">
        <v>2042</v>
      </c>
      <c r="H839" s="16">
        <v>2042</v>
      </c>
      <c r="I839" s="17" t="s">
        <v>4682</v>
      </c>
      <c r="J839" s="18" t="s">
        <v>1492</v>
      </c>
      <c r="K839" s="19" t="s">
        <v>37</v>
      </c>
      <c r="L839" s="19"/>
      <c r="M839" s="19" t="s">
        <v>4683</v>
      </c>
      <c r="N839" s="20" t="s">
        <v>1598</v>
      </c>
      <c r="O839" s="20" t="s">
        <v>27</v>
      </c>
      <c r="P839" s="21" t="s">
        <v>3042</v>
      </c>
      <c r="Q839" s="20"/>
      <c r="R839" s="20" t="s">
        <v>4684</v>
      </c>
      <c r="S839" s="20"/>
      <c r="T839" s="20" t="s">
        <v>6318</v>
      </c>
      <c r="U839" s="20"/>
      <c r="V839" s="20"/>
    </row>
    <row r="840" spans="1:22" ht="17">
      <c r="B840" s="11" t="s">
        <v>4685</v>
      </c>
      <c r="C840" s="12" t="s">
        <v>184</v>
      </c>
      <c r="D840" s="13" t="s">
        <v>55</v>
      </c>
      <c r="E840" s="24">
        <v>973900</v>
      </c>
      <c r="F840" s="25">
        <f>Table2[[#This Row],[Price]]/Table2[[#This Row],[Tot Ht Area]]</f>
        <v>378.94941634241246</v>
      </c>
      <c r="G840" s="16">
        <v>2570</v>
      </c>
      <c r="H840" s="16">
        <v>2714</v>
      </c>
      <c r="I840" s="17" t="s">
        <v>4502</v>
      </c>
      <c r="J840" s="18" t="s">
        <v>57</v>
      </c>
      <c r="K840" s="19" t="s">
        <v>48</v>
      </c>
      <c r="L840" s="19"/>
      <c r="M840" s="19" t="s">
        <v>4686</v>
      </c>
      <c r="N840" s="20" t="s">
        <v>1598</v>
      </c>
      <c r="O840" s="20" t="s">
        <v>27</v>
      </c>
      <c r="P840" s="21" t="s">
        <v>4571</v>
      </c>
      <c r="Q840" s="20"/>
      <c r="R840" s="20" t="s">
        <v>4687</v>
      </c>
      <c r="S840" s="20"/>
      <c r="T840" s="20"/>
      <c r="U840" s="20"/>
      <c r="V840" s="20"/>
    </row>
    <row r="841" spans="1:22" ht="17">
      <c r="A841">
        <v>3</v>
      </c>
      <c r="B841" s="11" t="s">
        <v>4688</v>
      </c>
      <c r="C841" s="12" t="s">
        <v>184</v>
      </c>
      <c r="D841" s="13" t="s">
        <v>1255</v>
      </c>
      <c r="E841" s="24">
        <v>420000</v>
      </c>
      <c r="F841" s="25">
        <f>Table2[[#This Row],[Price]]/Table2[[#This Row],[Tot Ht Area]]</f>
        <v>106.06060606060606</v>
      </c>
      <c r="G841" s="16">
        <v>3960</v>
      </c>
      <c r="H841" s="16">
        <v>4580</v>
      </c>
      <c r="I841" s="17" t="s">
        <v>4689</v>
      </c>
      <c r="J841" s="18" t="s">
        <v>1499</v>
      </c>
      <c r="K841" s="19" t="s">
        <v>101</v>
      </c>
      <c r="L841" s="19"/>
      <c r="M841" s="19" t="s">
        <v>4690</v>
      </c>
      <c r="N841" s="20" t="s">
        <v>1598</v>
      </c>
      <c r="O841" s="20" t="s">
        <v>27</v>
      </c>
      <c r="P841" s="21" t="s">
        <v>4691</v>
      </c>
      <c r="Q841" s="20"/>
      <c r="R841" s="20" t="s">
        <v>4692</v>
      </c>
      <c r="S841" s="20"/>
      <c r="T841" s="20"/>
      <c r="U841" s="20"/>
      <c r="V841" s="20"/>
    </row>
    <row r="842" spans="1:22" ht="17">
      <c r="B842" s="11" t="s">
        <v>4693</v>
      </c>
      <c r="C842" s="12" t="s">
        <v>184</v>
      </c>
      <c r="D842" s="13" t="s">
        <v>1641</v>
      </c>
      <c r="E842" s="24">
        <v>1180000</v>
      </c>
      <c r="F842" s="25">
        <f>Table2[[#This Row],[Price]]/Table2[[#This Row],[Tot Ht Area]]</f>
        <v>315.59240438619952</v>
      </c>
      <c r="G842" s="16">
        <v>3739</v>
      </c>
      <c r="H842" s="16">
        <v>3853</v>
      </c>
      <c r="I842" s="17" t="s">
        <v>4694</v>
      </c>
      <c r="J842" s="18" t="s">
        <v>2791</v>
      </c>
      <c r="K842" s="19" t="s">
        <v>37</v>
      </c>
      <c r="L842" s="19"/>
      <c r="M842" s="19" t="s">
        <v>4695</v>
      </c>
      <c r="N842" s="20" t="s">
        <v>1598</v>
      </c>
      <c r="O842" s="20" t="s">
        <v>27</v>
      </c>
      <c r="P842" s="21" t="s">
        <v>4696</v>
      </c>
      <c r="Q842" s="20"/>
      <c r="R842" s="20" t="s">
        <v>4697</v>
      </c>
      <c r="S842" s="20"/>
      <c r="T842" s="20"/>
      <c r="U842" s="20"/>
      <c r="V842" s="20"/>
    </row>
    <row r="843" spans="1:22" ht="17">
      <c r="B843" s="11" t="s">
        <v>4698</v>
      </c>
      <c r="C843" s="12" t="s">
        <v>184</v>
      </c>
      <c r="D843" s="13" t="s">
        <v>474</v>
      </c>
      <c r="E843" s="24">
        <v>649400</v>
      </c>
      <c r="F843" s="25">
        <f>Table2[[#This Row],[Price]]/Table2[[#This Row],[Tot Ht Area]]</f>
        <v>216.46666666666667</v>
      </c>
      <c r="G843" s="16">
        <v>3000</v>
      </c>
      <c r="H843" s="16">
        <v>3672</v>
      </c>
      <c r="I843" s="17" t="s">
        <v>1843</v>
      </c>
      <c r="J843" s="18" t="s">
        <v>760</v>
      </c>
      <c r="K843" s="19" t="s">
        <v>37</v>
      </c>
      <c r="L843" s="19"/>
      <c r="M843" s="19" t="s">
        <v>4699</v>
      </c>
      <c r="N843" s="20" t="s">
        <v>1598</v>
      </c>
      <c r="O843" s="20" t="s">
        <v>27</v>
      </c>
      <c r="P843" s="21" t="s">
        <v>4700</v>
      </c>
      <c r="Q843" s="20"/>
      <c r="R843" s="20" t="s">
        <v>4701</v>
      </c>
      <c r="S843" s="20"/>
      <c r="T843" s="20"/>
      <c r="U843" s="20"/>
      <c r="V843" s="20"/>
    </row>
    <row r="844" spans="1:22" ht="34">
      <c r="B844" s="11" t="s">
        <v>4702</v>
      </c>
      <c r="C844" s="12" t="s">
        <v>184</v>
      </c>
      <c r="D844" s="13" t="s">
        <v>55</v>
      </c>
      <c r="E844" s="24">
        <v>227500</v>
      </c>
      <c r="F844" s="25">
        <f>Table2[[#This Row],[Price]]/Table2[[#This Row],[Tot Ht Area]]</f>
        <v>112.84722222222223</v>
      </c>
      <c r="G844" s="16">
        <v>2016</v>
      </c>
      <c r="H844" s="16">
        <v>3624</v>
      </c>
      <c r="I844" s="17" t="s">
        <v>4703</v>
      </c>
      <c r="J844" s="18" t="s">
        <v>217</v>
      </c>
      <c r="K844" s="19" t="s">
        <v>37</v>
      </c>
      <c r="L844" s="19"/>
      <c r="M844" s="19" t="s">
        <v>4704</v>
      </c>
      <c r="N844" s="20" t="s">
        <v>1598</v>
      </c>
      <c r="O844" s="20" t="s">
        <v>27</v>
      </c>
      <c r="P844" s="21" t="s">
        <v>3042</v>
      </c>
      <c r="Q844" s="20"/>
      <c r="R844" s="20" t="s">
        <v>4705</v>
      </c>
      <c r="S844" s="20"/>
      <c r="T844" s="20"/>
      <c r="U844" s="20"/>
      <c r="V844" s="20"/>
    </row>
    <row r="845" spans="1:22" ht="17">
      <c r="B845" s="11" t="s">
        <v>4706</v>
      </c>
      <c r="C845" s="12" t="s">
        <v>184</v>
      </c>
      <c r="D845" s="13" t="s">
        <v>995</v>
      </c>
      <c r="E845" s="24">
        <v>300000</v>
      </c>
      <c r="F845" s="25">
        <f>Table2[[#This Row],[Price]]/Table2[[#This Row],[Tot Ht Area]]</f>
        <v>120.33694344163658</v>
      </c>
      <c r="G845" s="16">
        <v>2493</v>
      </c>
      <c r="H845" s="16">
        <v>3021</v>
      </c>
      <c r="I845" s="17" t="s">
        <v>4707</v>
      </c>
      <c r="J845" s="18" t="s">
        <v>2797</v>
      </c>
      <c r="K845" s="19" t="s">
        <v>48</v>
      </c>
      <c r="L845" s="19"/>
      <c r="M845" s="19" t="s">
        <v>4708</v>
      </c>
      <c r="N845" s="20" t="s">
        <v>1598</v>
      </c>
      <c r="O845" s="20" t="s">
        <v>27</v>
      </c>
      <c r="P845" s="21" t="s">
        <v>4709</v>
      </c>
      <c r="Q845" s="20"/>
      <c r="R845" s="20" t="s">
        <v>4710</v>
      </c>
      <c r="S845" s="20"/>
      <c r="T845" s="20"/>
      <c r="U845" s="20"/>
      <c r="V845" s="20"/>
    </row>
    <row r="846" spans="1:22" ht="17">
      <c r="B846" s="11" t="s">
        <v>4711</v>
      </c>
      <c r="C846" s="12" t="s">
        <v>184</v>
      </c>
      <c r="D846" s="13" t="s">
        <v>1399</v>
      </c>
      <c r="E846" s="24">
        <v>1425000</v>
      </c>
      <c r="F846" s="25">
        <f>Table2[[#This Row],[Price]]/Table2[[#This Row],[Tot Ht Area]]</f>
        <v>214.70543920445985</v>
      </c>
      <c r="G846" s="16">
        <v>6637</v>
      </c>
      <c r="H846" s="16">
        <v>7492</v>
      </c>
      <c r="I846" s="17" t="s">
        <v>4712</v>
      </c>
      <c r="J846" s="18" t="s">
        <v>309</v>
      </c>
      <c r="K846" s="19" t="s">
        <v>37</v>
      </c>
      <c r="L846" s="19"/>
      <c r="M846" s="19" t="s">
        <v>4713</v>
      </c>
      <c r="N846" s="20" t="s">
        <v>1598</v>
      </c>
      <c r="O846" s="20" t="s">
        <v>27</v>
      </c>
      <c r="P846" s="21" t="s">
        <v>4714</v>
      </c>
      <c r="Q846" s="20"/>
      <c r="R846" s="20" t="s">
        <v>4715</v>
      </c>
      <c r="S846" s="20"/>
      <c r="T846" s="20"/>
      <c r="U846" s="20"/>
      <c r="V846" s="20"/>
    </row>
    <row r="847" spans="1:22" ht="17">
      <c r="B847" s="11" t="s">
        <v>4716</v>
      </c>
      <c r="C847" s="12" t="s">
        <v>184</v>
      </c>
      <c r="D847" s="13" t="s">
        <v>4272</v>
      </c>
      <c r="E847" s="24">
        <v>100</v>
      </c>
      <c r="F847" s="25">
        <f>Table2[[#This Row],[Price]]/Table2[[#This Row],[Tot Ht Area]]</f>
        <v>4.4404973357015987E-2</v>
      </c>
      <c r="G847" s="16">
        <v>2252</v>
      </c>
      <c r="H847" s="16">
        <v>2415</v>
      </c>
      <c r="I847" s="17" t="s">
        <v>4717</v>
      </c>
      <c r="J847" s="18" t="s">
        <v>2518</v>
      </c>
      <c r="K847" s="19" t="s">
        <v>37</v>
      </c>
      <c r="L847" s="19"/>
      <c r="M847" s="19" t="s">
        <v>4718</v>
      </c>
      <c r="N847" s="20" t="s">
        <v>1598</v>
      </c>
      <c r="O847" s="20" t="s">
        <v>27</v>
      </c>
      <c r="P847" s="21" t="s">
        <v>4719</v>
      </c>
      <c r="Q847" s="20"/>
      <c r="R847" s="20" t="s">
        <v>4720</v>
      </c>
      <c r="S847" s="20"/>
      <c r="T847" s="20" t="s">
        <v>6318</v>
      </c>
      <c r="U847" s="20"/>
      <c r="V847" s="20"/>
    </row>
    <row r="848" spans="1:22" ht="34">
      <c r="B848" s="11" t="s">
        <v>4721</v>
      </c>
      <c r="C848" s="12" t="s">
        <v>184</v>
      </c>
      <c r="D848" s="13" t="s">
        <v>995</v>
      </c>
      <c r="E848" s="24">
        <v>200000</v>
      </c>
      <c r="F848" s="25">
        <f>Table2[[#This Row],[Price]]/Table2[[#This Row],[Tot Ht Area]]</f>
        <v>51.098620337250892</v>
      </c>
      <c r="G848" s="16">
        <v>3914</v>
      </c>
      <c r="H848" s="16">
        <v>4173</v>
      </c>
      <c r="I848" s="17" t="s">
        <v>4722</v>
      </c>
      <c r="J848" s="18" t="s">
        <v>491</v>
      </c>
      <c r="K848" s="19" t="s">
        <v>101</v>
      </c>
      <c r="L848" s="19"/>
      <c r="M848" s="19" t="s">
        <v>4723</v>
      </c>
      <c r="N848" s="20" t="s">
        <v>1598</v>
      </c>
      <c r="O848" s="20" t="s">
        <v>27</v>
      </c>
      <c r="P848" s="21" t="s">
        <v>4724</v>
      </c>
      <c r="Q848" s="20"/>
      <c r="R848" s="20" t="s">
        <v>4725</v>
      </c>
      <c r="S848" s="20"/>
      <c r="T848" s="20"/>
      <c r="U848" s="20"/>
      <c r="V848" s="20"/>
    </row>
    <row r="849" spans="1:22" ht="34">
      <c r="B849" s="11" t="s">
        <v>4726</v>
      </c>
      <c r="C849" s="12" t="s">
        <v>184</v>
      </c>
      <c r="D849" s="13" t="s">
        <v>925</v>
      </c>
      <c r="E849" s="24">
        <v>799000</v>
      </c>
      <c r="F849" s="25">
        <f>Table2[[#This Row],[Price]]/Table2[[#This Row],[Tot Ht Area]]</f>
        <v>67.780794027824911</v>
      </c>
      <c r="G849" s="16">
        <v>11788</v>
      </c>
      <c r="H849" s="16">
        <v>11852</v>
      </c>
      <c r="I849" s="17" t="s">
        <v>4727</v>
      </c>
      <c r="J849" s="18" t="s">
        <v>2797</v>
      </c>
      <c r="K849" s="19" t="s">
        <v>48</v>
      </c>
      <c r="L849" s="19"/>
      <c r="M849" s="19" t="s">
        <v>4728</v>
      </c>
      <c r="N849" s="20" t="s">
        <v>1598</v>
      </c>
      <c r="O849" s="20" t="s">
        <v>27</v>
      </c>
      <c r="P849" s="21" t="s">
        <v>4729</v>
      </c>
      <c r="Q849" s="20"/>
      <c r="R849" s="20" t="s">
        <v>4730</v>
      </c>
      <c r="S849" s="20"/>
      <c r="T849" s="20"/>
      <c r="U849" s="20"/>
      <c r="V849" s="20"/>
    </row>
    <row r="850" spans="1:22" ht="17">
      <c r="B850" s="11" t="s">
        <v>4731</v>
      </c>
      <c r="C850" s="12" t="s">
        <v>184</v>
      </c>
      <c r="D850" s="13" t="s">
        <v>658</v>
      </c>
      <c r="E850" s="24">
        <v>330000</v>
      </c>
      <c r="F850" s="25">
        <f>Table2[[#This Row],[Price]]/Table2[[#This Row],[Tot Ht Area]]</f>
        <v>164.67065868263472</v>
      </c>
      <c r="G850" s="16">
        <v>2004</v>
      </c>
      <c r="H850" s="16">
        <v>2004</v>
      </c>
      <c r="I850" s="17" t="s">
        <v>4732</v>
      </c>
      <c r="J850" s="18" t="s">
        <v>2218</v>
      </c>
      <c r="K850" s="19" t="s">
        <v>48</v>
      </c>
      <c r="L850" s="19"/>
      <c r="M850" s="19" t="s">
        <v>4733</v>
      </c>
      <c r="N850" s="20" t="s">
        <v>1598</v>
      </c>
      <c r="O850" s="20" t="s">
        <v>27</v>
      </c>
      <c r="P850" s="21" t="s">
        <v>4734</v>
      </c>
      <c r="Q850" s="20"/>
      <c r="R850" s="20" t="s">
        <v>4735</v>
      </c>
      <c r="S850" s="20"/>
      <c r="T850" s="20"/>
      <c r="U850" s="20"/>
      <c r="V850" s="20"/>
    </row>
    <row r="851" spans="1:22" ht="17">
      <c r="B851" s="11" t="s">
        <v>4736</v>
      </c>
      <c r="C851" s="12" t="s">
        <v>184</v>
      </c>
      <c r="D851" s="13" t="s">
        <v>34</v>
      </c>
      <c r="E851" s="24">
        <v>81000</v>
      </c>
      <c r="F851" s="25">
        <f>Table2[[#This Row],[Price]]/Table2[[#This Row],[Tot Ht Area]]</f>
        <v>36.585365853658537</v>
      </c>
      <c r="G851" s="16">
        <v>2214</v>
      </c>
      <c r="H851" s="16">
        <v>2402</v>
      </c>
      <c r="I851" s="17" t="s">
        <v>4737</v>
      </c>
      <c r="J851" s="18" t="s">
        <v>48</v>
      </c>
      <c r="K851" s="19" t="s">
        <v>37</v>
      </c>
      <c r="L851" s="19"/>
      <c r="M851" s="19" t="s">
        <v>4738</v>
      </c>
      <c r="N851" s="20" t="s">
        <v>1598</v>
      </c>
      <c r="O851" s="20" t="s">
        <v>27</v>
      </c>
      <c r="P851" s="21" t="s">
        <v>4739</v>
      </c>
      <c r="Q851" s="20"/>
      <c r="R851" s="20" t="s">
        <v>4740</v>
      </c>
      <c r="S851" s="20"/>
      <c r="T851" s="20"/>
      <c r="U851" s="20"/>
      <c r="V851" s="20"/>
    </row>
    <row r="852" spans="1:22" ht="17">
      <c r="B852" s="11" t="s">
        <v>4741</v>
      </c>
      <c r="C852" s="12" t="s">
        <v>184</v>
      </c>
      <c r="D852" s="13" t="s">
        <v>90</v>
      </c>
      <c r="E852" s="24">
        <v>460000</v>
      </c>
      <c r="F852" s="25">
        <f>Table2[[#This Row],[Price]]/Table2[[#This Row],[Tot Ht Area]]</f>
        <v>101.45566828407587</v>
      </c>
      <c r="G852" s="16">
        <v>4534</v>
      </c>
      <c r="H852" s="16">
        <v>4665</v>
      </c>
      <c r="I852" s="17" t="s">
        <v>4742</v>
      </c>
      <c r="J852" s="18" t="s">
        <v>187</v>
      </c>
      <c r="K852" s="19" t="s">
        <v>48</v>
      </c>
      <c r="L852" s="19"/>
      <c r="M852" s="19" t="s">
        <v>4743</v>
      </c>
      <c r="N852" s="20" t="s">
        <v>1598</v>
      </c>
      <c r="O852" s="20" t="s">
        <v>27</v>
      </c>
      <c r="P852" s="21" t="s">
        <v>4744</v>
      </c>
      <c r="Q852" s="20"/>
      <c r="R852" s="20" t="s">
        <v>4745</v>
      </c>
      <c r="S852" s="20"/>
      <c r="T852" s="20"/>
      <c r="U852" s="20"/>
      <c r="V852" s="20"/>
    </row>
    <row r="853" spans="1:22" ht="17">
      <c r="A853">
        <v>3</v>
      </c>
      <c r="B853" s="11" t="s">
        <v>4746</v>
      </c>
      <c r="C853" s="12" t="s">
        <v>184</v>
      </c>
      <c r="D853" s="13" t="s">
        <v>1441</v>
      </c>
      <c r="E853" s="24">
        <v>399000</v>
      </c>
      <c r="F853" s="25">
        <f>Table2[[#This Row],[Price]]/Table2[[#This Row],[Tot Ht Area]]</f>
        <v>49.411764705882355</v>
      </c>
      <c r="G853" s="16">
        <v>8075</v>
      </c>
      <c r="H853" s="16">
        <v>8163</v>
      </c>
      <c r="I853" s="17" t="s">
        <v>4747</v>
      </c>
      <c r="J853" s="18" t="s">
        <v>731</v>
      </c>
      <c r="K853" s="19" t="s">
        <v>37</v>
      </c>
      <c r="L853" s="19"/>
      <c r="M853" s="19" t="s">
        <v>4748</v>
      </c>
      <c r="N853" s="20" t="s">
        <v>1598</v>
      </c>
      <c r="O853" s="20" t="s">
        <v>27</v>
      </c>
      <c r="P853" s="21" t="s">
        <v>4749</v>
      </c>
      <c r="Q853" s="20"/>
      <c r="R853" s="20" t="s">
        <v>4750</v>
      </c>
      <c r="S853" s="20"/>
      <c r="T853" s="20"/>
      <c r="U853" s="20"/>
      <c r="V853" s="20"/>
    </row>
    <row r="854" spans="1:22" ht="17">
      <c r="B854" s="11" t="s">
        <v>4751</v>
      </c>
      <c r="C854" s="12" t="s">
        <v>184</v>
      </c>
      <c r="D854" s="13" t="s">
        <v>293</v>
      </c>
      <c r="E854" s="24">
        <v>100</v>
      </c>
      <c r="F854" s="25">
        <f>Table2[[#This Row],[Price]]/Table2[[#This Row],[Tot Ht Area]]</f>
        <v>1.2306177701206006E-2</v>
      </c>
      <c r="G854" s="16">
        <v>8126</v>
      </c>
      <c r="H854" s="16">
        <v>8217</v>
      </c>
      <c r="I854" s="17" t="s">
        <v>4752</v>
      </c>
      <c r="J854" s="18" t="s">
        <v>350</v>
      </c>
      <c r="K854" s="19" t="s">
        <v>101</v>
      </c>
      <c r="L854" s="19"/>
      <c r="M854" s="19" t="s">
        <v>4753</v>
      </c>
      <c r="N854" s="20" t="s">
        <v>1598</v>
      </c>
      <c r="O854" s="20" t="s">
        <v>27</v>
      </c>
      <c r="P854" s="21" t="s">
        <v>4754</v>
      </c>
      <c r="Q854" s="20"/>
      <c r="R854" s="20" t="s">
        <v>4755</v>
      </c>
      <c r="S854" s="20"/>
      <c r="T854" s="20" t="s">
        <v>6318</v>
      </c>
      <c r="U854" s="20"/>
      <c r="V854" s="20"/>
    </row>
    <row r="855" spans="1:22" ht="34">
      <c r="B855" s="11" t="s">
        <v>4756</v>
      </c>
      <c r="C855" s="12" t="s">
        <v>184</v>
      </c>
      <c r="D855" s="13" t="s">
        <v>407</v>
      </c>
      <c r="E855" s="24">
        <v>210000</v>
      </c>
      <c r="F855" s="25">
        <f>Table2[[#This Row],[Price]]/Table2[[#This Row],[Tot Ht Area]]</f>
        <v>67.372473532242537</v>
      </c>
      <c r="G855" s="16">
        <v>3117</v>
      </c>
      <c r="H855" s="16">
        <v>3585</v>
      </c>
      <c r="I855" s="17" t="s">
        <v>4757</v>
      </c>
      <c r="J855" s="18" t="s">
        <v>4758</v>
      </c>
      <c r="K855" s="19" t="s">
        <v>37</v>
      </c>
      <c r="L855" s="19"/>
      <c r="M855" s="19" t="s">
        <v>4759</v>
      </c>
      <c r="N855" s="20" t="s">
        <v>1598</v>
      </c>
      <c r="O855" s="20" t="s">
        <v>27</v>
      </c>
      <c r="P855" s="21" t="s">
        <v>4757</v>
      </c>
      <c r="Q855" s="20"/>
      <c r="R855" s="20" t="s">
        <v>4760</v>
      </c>
      <c r="S855" s="20"/>
      <c r="T855" s="20"/>
      <c r="U855" s="20"/>
      <c r="V855" s="20"/>
    </row>
    <row r="856" spans="1:22" ht="17">
      <c r="B856" s="11" t="s">
        <v>4761</v>
      </c>
      <c r="C856" s="12" t="s">
        <v>184</v>
      </c>
      <c r="D856" s="13" t="s">
        <v>108</v>
      </c>
      <c r="E856" s="24">
        <v>200000</v>
      </c>
      <c r="F856" s="25">
        <f>Table2[[#This Row],[Price]]/Table2[[#This Row],[Tot Ht Area]]</f>
        <v>100</v>
      </c>
      <c r="G856" s="16">
        <v>2000</v>
      </c>
      <c r="H856" s="16">
        <v>2500</v>
      </c>
      <c r="I856" s="17" t="s">
        <v>4762</v>
      </c>
      <c r="J856" s="18" t="s">
        <v>135</v>
      </c>
      <c r="K856" s="19" t="s">
        <v>37</v>
      </c>
      <c r="L856" s="19"/>
      <c r="M856" s="19" t="s">
        <v>4763</v>
      </c>
      <c r="N856" s="20" t="s">
        <v>1598</v>
      </c>
      <c r="O856" s="20" t="s">
        <v>27</v>
      </c>
      <c r="P856" s="21" t="s">
        <v>3042</v>
      </c>
      <c r="Q856" s="20"/>
      <c r="R856" s="20" t="s">
        <v>4764</v>
      </c>
      <c r="S856" s="20"/>
      <c r="T856" s="20"/>
      <c r="U856" s="20"/>
      <c r="V856" s="20"/>
    </row>
    <row r="857" spans="1:22" ht="34">
      <c r="B857" s="11" t="s">
        <v>4765</v>
      </c>
      <c r="C857" s="12" t="s">
        <v>184</v>
      </c>
      <c r="D857" s="13" t="s">
        <v>90</v>
      </c>
      <c r="E857" s="24">
        <v>365000</v>
      </c>
      <c r="F857" s="25">
        <f>Table2[[#This Row],[Price]]/Table2[[#This Row],[Tot Ht Area]]</f>
        <v>135.43599257884972</v>
      </c>
      <c r="G857" s="16">
        <v>2695</v>
      </c>
      <c r="H857" s="16">
        <v>2799</v>
      </c>
      <c r="I857" s="17" t="s">
        <v>4766</v>
      </c>
      <c r="J857" s="18" t="s">
        <v>117</v>
      </c>
      <c r="K857" s="19" t="s">
        <v>37</v>
      </c>
      <c r="L857" s="19"/>
      <c r="M857" s="19" t="s">
        <v>4767</v>
      </c>
      <c r="N857" s="20" t="s">
        <v>1598</v>
      </c>
      <c r="O857" s="20" t="s">
        <v>27</v>
      </c>
      <c r="P857" s="21" t="s">
        <v>4768</v>
      </c>
      <c r="Q857" s="20"/>
      <c r="R857" s="20" t="s">
        <v>4769</v>
      </c>
      <c r="S857" s="20"/>
      <c r="T857" s="20"/>
      <c r="U857" s="20"/>
      <c r="V857" s="20"/>
    </row>
    <row r="858" spans="1:22" ht="17">
      <c r="B858" s="11" t="s">
        <v>4770</v>
      </c>
      <c r="C858" s="12" t="s">
        <v>184</v>
      </c>
      <c r="D858" s="13" t="s">
        <v>591</v>
      </c>
      <c r="E858" s="24">
        <v>650000</v>
      </c>
      <c r="F858" s="25">
        <f>Table2[[#This Row],[Price]]/Table2[[#This Row],[Tot Ht Area]]</f>
        <v>220.48846675712346</v>
      </c>
      <c r="G858" s="16">
        <v>2948</v>
      </c>
      <c r="H858" s="16">
        <v>3244</v>
      </c>
      <c r="I858" s="17" t="s">
        <v>4771</v>
      </c>
      <c r="J858" s="18" t="s">
        <v>1138</v>
      </c>
      <c r="K858" s="19" t="s">
        <v>48</v>
      </c>
      <c r="L858" s="19"/>
      <c r="M858" s="19" t="s">
        <v>4772</v>
      </c>
      <c r="N858" s="20" t="s">
        <v>1598</v>
      </c>
      <c r="O858" s="20" t="s">
        <v>27</v>
      </c>
      <c r="P858" s="21" t="s">
        <v>2451</v>
      </c>
      <c r="Q858" s="20" t="s">
        <v>4773</v>
      </c>
      <c r="R858" s="20" t="s">
        <v>4774</v>
      </c>
      <c r="S858" s="20"/>
      <c r="T858" s="20"/>
      <c r="U858" s="20"/>
      <c r="V858" s="20"/>
    </row>
    <row r="859" spans="1:22" ht="17">
      <c r="B859" s="11" t="s">
        <v>4775</v>
      </c>
      <c r="C859" s="12" t="s">
        <v>184</v>
      </c>
      <c r="D859" s="13" t="s">
        <v>954</v>
      </c>
      <c r="E859" s="24">
        <v>132500</v>
      </c>
      <c r="F859" s="25">
        <f>Table2[[#This Row],[Price]]/Table2[[#This Row],[Tot Ht Area]]</f>
        <v>52.579365079365083</v>
      </c>
      <c r="G859" s="16">
        <v>2520</v>
      </c>
      <c r="H859" s="16">
        <v>3005</v>
      </c>
      <c r="I859" s="17" t="s">
        <v>4776</v>
      </c>
      <c r="J859" s="18" t="s">
        <v>518</v>
      </c>
      <c r="K859" s="19" t="s">
        <v>37</v>
      </c>
      <c r="L859" s="19"/>
      <c r="M859" s="19" t="s">
        <v>4777</v>
      </c>
      <c r="N859" s="20" t="s">
        <v>1598</v>
      </c>
      <c r="O859" s="20" t="s">
        <v>27</v>
      </c>
      <c r="P859" s="21" t="s">
        <v>4778</v>
      </c>
      <c r="Q859" s="20"/>
      <c r="R859" s="20" t="s">
        <v>4779</v>
      </c>
      <c r="S859" s="20"/>
      <c r="T859" s="20"/>
      <c r="U859" s="20"/>
      <c r="V859" s="20"/>
    </row>
    <row r="860" spans="1:22" ht="34">
      <c r="B860" s="11" t="s">
        <v>4780</v>
      </c>
      <c r="C860" s="12" t="s">
        <v>184</v>
      </c>
      <c r="D860" s="13" t="s">
        <v>729</v>
      </c>
      <c r="E860" s="24">
        <v>555000</v>
      </c>
      <c r="F860" s="25">
        <f>Table2[[#This Row],[Price]]/Table2[[#This Row],[Tot Ht Area]]</f>
        <v>173.49171616130042</v>
      </c>
      <c r="G860" s="16">
        <v>3199</v>
      </c>
      <c r="H860" s="16">
        <v>4351</v>
      </c>
      <c r="I860" s="17" t="s">
        <v>4781</v>
      </c>
      <c r="J860" s="18" t="s">
        <v>518</v>
      </c>
      <c r="K860" s="19" t="s">
        <v>37</v>
      </c>
      <c r="L860" s="19"/>
      <c r="M860" s="19" t="s">
        <v>4782</v>
      </c>
      <c r="N860" s="20" t="s">
        <v>1598</v>
      </c>
      <c r="O860" s="20" t="s">
        <v>27</v>
      </c>
      <c r="P860" s="21" t="s">
        <v>4783</v>
      </c>
      <c r="Q860" s="20"/>
      <c r="R860" s="20" t="s">
        <v>4784</v>
      </c>
      <c r="S860" s="20"/>
      <c r="T860" s="20"/>
      <c r="U860" s="20"/>
      <c r="V860" s="20"/>
    </row>
    <row r="861" spans="1:22" ht="17">
      <c r="B861" s="11" t="s">
        <v>4785</v>
      </c>
      <c r="C861" s="12" t="s">
        <v>184</v>
      </c>
      <c r="D861" s="13" t="s">
        <v>55</v>
      </c>
      <c r="E861" s="24">
        <v>100</v>
      </c>
      <c r="F861" s="25">
        <f>Table2[[#This Row],[Price]]/Table2[[#This Row],[Tot Ht Area]]</f>
        <v>2.3348120476301658E-2</v>
      </c>
      <c r="G861" s="16">
        <v>4283</v>
      </c>
      <c r="H861" s="16">
        <v>4879</v>
      </c>
      <c r="I861" s="17" t="s">
        <v>4786</v>
      </c>
      <c r="J861" s="18" t="s">
        <v>400</v>
      </c>
      <c r="K861" s="19" t="s">
        <v>48</v>
      </c>
      <c r="L861" s="19"/>
      <c r="M861" s="19" t="s">
        <v>4787</v>
      </c>
      <c r="N861" s="20" t="s">
        <v>1598</v>
      </c>
      <c r="O861" s="20" t="s">
        <v>27</v>
      </c>
      <c r="P861" s="21" t="s">
        <v>4788</v>
      </c>
      <c r="Q861" s="20"/>
      <c r="R861" s="20" t="s">
        <v>4789</v>
      </c>
      <c r="S861" s="20"/>
      <c r="T861" s="20" t="s">
        <v>6318</v>
      </c>
      <c r="U861" s="20"/>
      <c r="V861" s="20"/>
    </row>
    <row r="862" spans="1:22" ht="17">
      <c r="B862" s="11" t="s">
        <v>4790</v>
      </c>
      <c r="C862" s="12" t="s">
        <v>184</v>
      </c>
      <c r="D862" s="13" t="s">
        <v>925</v>
      </c>
      <c r="E862" s="24">
        <v>557500</v>
      </c>
      <c r="F862" s="25">
        <f>Table2[[#This Row],[Price]]/Table2[[#This Row],[Tot Ht Area]]</f>
        <v>127.54518416838252</v>
      </c>
      <c r="G862" s="16">
        <v>4371</v>
      </c>
      <c r="H862" s="16">
        <v>4371</v>
      </c>
      <c r="I862" s="17" t="s">
        <v>4791</v>
      </c>
      <c r="J862" s="18" t="s">
        <v>542</v>
      </c>
      <c r="K862" s="19" t="s">
        <v>48</v>
      </c>
      <c r="L862" s="19"/>
      <c r="M862" s="19" t="s">
        <v>4792</v>
      </c>
      <c r="N862" s="20" t="s">
        <v>1598</v>
      </c>
      <c r="O862" s="20" t="s">
        <v>27</v>
      </c>
      <c r="P862" s="21" t="s">
        <v>4793</v>
      </c>
      <c r="Q862" s="20"/>
      <c r="R862" s="20" t="s">
        <v>4794</v>
      </c>
      <c r="S862" s="20"/>
      <c r="T862" s="20"/>
      <c r="U862" s="20"/>
      <c r="V862" s="20"/>
    </row>
    <row r="863" spans="1:22" ht="34">
      <c r="B863" s="11" t="s">
        <v>4795</v>
      </c>
      <c r="C863" s="12" t="s">
        <v>184</v>
      </c>
      <c r="D863" s="13" t="s">
        <v>571</v>
      </c>
      <c r="E863" s="24"/>
      <c r="F863" s="25">
        <f>Table2[[#This Row],[Price]]/Table2[[#This Row],[Tot Ht Area]]</f>
        <v>0</v>
      </c>
      <c r="G863" s="16">
        <v>2475</v>
      </c>
      <c r="H863" s="16">
        <v>2475</v>
      </c>
      <c r="I863" s="17" t="s">
        <v>4796</v>
      </c>
      <c r="J863" s="18" t="s">
        <v>566</v>
      </c>
      <c r="K863" s="19" t="s">
        <v>48</v>
      </c>
      <c r="L863" s="19"/>
      <c r="M863" s="19" t="s">
        <v>4797</v>
      </c>
      <c r="N863" s="20" t="s">
        <v>1598</v>
      </c>
      <c r="O863" s="20" t="s">
        <v>27</v>
      </c>
      <c r="P863" s="21" t="s">
        <v>4798</v>
      </c>
      <c r="Q863" s="20"/>
      <c r="R863" s="20" t="s">
        <v>4799</v>
      </c>
      <c r="S863" s="20"/>
      <c r="T863" s="20"/>
      <c r="U863" s="20"/>
      <c r="V863" s="20"/>
    </row>
    <row r="864" spans="1:22" ht="17">
      <c r="B864" s="11" t="s">
        <v>4800</v>
      </c>
      <c r="C864" s="12" t="s">
        <v>184</v>
      </c>
      <c r="D864" s="13" t="s">
        <v>792</v>
      </c>
      <c r="E864" s="24">
        <v>510000</v>
      </c>
      <c r="F864" s="25">
        <f>Table2[[#This Row],[Price]]/Table2[[#This Row],[Tot Ht Area]]</f>
        <v>205.31400966183574</v>
      </c>
      <c r="G864" s="16">
        <v>2484</v>
      </c>
      <c r="H864" s="16">
        <v>2808</v>
      </c>
      <c r="I864" s="17" t="s">
        <v>4801</v>
      </c>
      <c r="J864" s="18" t="s">
        <v>760</v>
      </c>
      <c r="K864" s="19" t="s">
        <v>48</v>
      </c>
      <c r="L864" s="19"/>
      <c r="M864" s="19" t="s">
        <v>4802</v>
      </c>
      <c r="N864" s="20" t="s">
        <v>1598</v>
      </c>
      <c r="O864" s="20" t="s">
        <v>27</v>
      </c>
      <c r="P864" s="21" t="s">
        <v>4803</v>
      </c>
      <c r="Q864" s="20"/>
      <c r="R864" s="20" t="s">
        <v>4804</v>
      </c>
      <c r="S864" s="20"/>
      <c r="T864" s="20"/>
      <c r="U864" s="20"/>
      <c r="V864" s="20"/>
    </row>
    <row r="865" spans="2:22" ht="17">
      <c r="B865" s="11" t="s">
        <v>4805</v>
      </c>
      <c r="C865" s="12" t="s">
        <v>184</v>
      </c>
      <c r="D865" s="13" t="s">
        <v>995</v>
      </c>
      <c r="E865" s="24">
        <v>675000</v>
      </c>
      <c r="F865" s="25">
        <f>Table2[[#This Row],[Price]]/Table2[[#This Row],[Tot Ht Area]]</f>
        <v>170.45454545454547</v>
      </c>
      <c r="G865" s="16">
        <v>3960</v>
      </c>
      <c r="H865" s="16">
        <v>4160</v>
      </c>
      <c r="I865" s="17" t="s">
        <v>4806</v>
      </c>
      <c r="J865" s="18" t="s">
        <v>566</v>
      </c>
      <c r="K865" s="19" t="s">
        <v>48</v>
      </c>
      <c r="L865" s="19"/>
      <c r="M865" s="19" t="s">
        <v>4807</v>
      </c>
      <c r="N865" s="20" t="s">
        <v>1598</v>
      </c>
      <c r="O865" s="20" t="s">
        <v>27</v>
      </c>
      <c r="P865" s="21" t="s">
        <v>4808</v>
      </c>
      <c r="Q865" s="20"/>
      <c r="R865" s="20" t="s">
        <v>4809</v>
      </c>
      <c r="S865" s="20"/>
      <c r="T865" s="20"/>
      <c r="U865" s="20"/>
      <c r="V865" s="20"/>
    </row>
    <row r="866" spans="2:22" ht="34">
      <c r="B866" s="11" t="s">
        <v>4810</v>
      </c>
      <c r="C866" s="12" t="s">
        <v>184</v>
      </c>
      <c r="D866" s="13" t="s">
        <v>276</v>
      </c>
      <c r="E866" s="24">
        <v>100</v>
      </c>
      <c r="F866" s="25">
        <f>Table2[[#This Row],[Price]]/Table2[[#This Row],[Tot Ht Area]]</f>
        <v>4.1666666666666664E-2</v>
      </c>
      <c r="G866" s="16">
        <v>2400</v>
      </c>
      <c r="H866" s="16">
        <v>2880</v>
      </c>
      <c r="I866" s="17" t="s">
        <v>4811</v>
      </c>
      <c r="J866" s="18" t="s">
        <v>187</v>
      </c>
      <c r="K866" s="19" t="s">
        <v>48</v>
      </c>
      <c r="L866" s="19"/>
      <c r="M866" s="19" t="s">
        <v>4812</v>
      </c>
      <c r="N866" s="20" t="s">
        <v>1598</v>
      </c>
      <c r="O866" s="20" t="s">
        <v>27</v>
      </c>
      <c r="P866" s="21" t="s">
        <v>4813</v>
      </c>
      <c r="Q866" s="20"/>
      <c r="R866" s="20" t="s">
        <v>4814</v>
      </c>
      <c r="S866" s="20"/>
      <c r="T866" s="20" t="s">
        <v>6318</v>
      </c>
      <c r="U866" s="20"/>
      <c r="V866" s="20"/>
    </row>
    <row r="867" spans="2:22" ht="34">
      <c r="B867" s="11" t="s">
        <v>4815</v>
      </c>
      <c r="C867" s="12" t="s">
        <v>184</v>
      </c>
      <c r="D867" s="13" t="s">
        <v>792</v>
      </c>
      <c r="E867" s="24">
        <v>975000</v>
      </c>
      <c r="F867" s="25">
        <f>Table2[[#This Row],[Price]]/Table2[[#This Row],[Tot Ht Area]]</f>
        <v>170.15706806282722</v>
      </c>
      <c r="G867" s="16">
        <v>5730</v>
      </c>
      <c r="H867" s="16">
        <v>6230</v>
      </c>
      <c r="I867" s="17" t="s">
        <v>4816</v>
      </c>
      <c r="J867" s="18" t="s">
        <v>716</v>
      </c>
      <c r="K867" s="19" t="s">
        <v>101</v>
      </c>
      <c r="L867" s="19"/>
      <c r="M867" s="19" t="s">
        <v>4817</v>
      </c>
      <c r="N867" s="20" t="s">
        <v>1598</v>
      </c>
      <c r="O867" s="20" t="s">
        <v>27</v>
      </c>
      <c r="P867" s="21" t="s">
        <v>4818</v>
      </c>
      <c r="Q867" s="20"/>
      <c r="R867" s="20" t="s">
        <v>4819</v>
      </c>
      <c r="S867" s="20"/>
      <c r="T867" s="20"/>
      <c r="U867" s="20"/>
      <c r="V867" s="20"/>
    </row>
    <row r="868" spans="2:22" ht="34">
      <c r="B868" s="11" t="s">
        <v>4820</v>
      </c>
      <c r="C868" s="12" t="s">
        <v>184</v>
      </c>
      <c r="D868" s="13" t="s">
        <v>516</v>
      </c>
      <c r="E868" s="24">
        <v>100</v>
      </c>
      <c r="F868" s="25">
        <f>Table2[[#This Row],[Price]]/Table2[[#This Row],[Tot Ht Area]]</f>
        <v>1.6528925619834711E-2</v>
      </c>
      <c r="G868" s="16">
        <v>6050</v>
      </c>
      <c r="H868" s="16">
        <v>6662</v>
      </c>
      <c r="I868" s="17" t="s">
        <v>4821</v>
      </c>
      <c r="J868" s="18" t="s">
        <v>422</v>
      </c>
      <c r="K868" s="19" t="s">
        <v>48</v>
      </c>
      <c r="L868" s="19"/>
      <c r="M868" s="19" t="s">
        <v>4822</v>
      </c>
      <c r="N868" s="20" t="s">
        <v>1598</v>
      </c>
      <c r="O868" s="20" t="s">
        <v>27</v>
      </c>
      <c r="P868" s="21" t="s">
        <v>4639</v>
      </c>
      <c r="Q868" s="20"/>
      <c r="R868" s="20" t="s">
        <v>4823</v>
      </c>
      <c r="S868" s="20"/>
      <c r="T868" s="20" t="s">
        <v>6318</v>
      </c>
      <c r="U868" s="20"/>
      <c r="V868" s="20"/>
    </row>
    <row r="869" spans="2:22" ht="17">
      <c r="B869" s="11" t="s">
        <v>4824</v>
      </c>
      <c r="C869" s="12" t="s">
        <v>184</v>
      </c>
      <c r="D869" s="13" t="s">
        <v>954</v>
      </c>
      <c r="E869" s="24">
        <v>2600100</v>
      </c>
      <c r="F869" s="25">
        <f>Table2[[#This Row],[Price]]/Table2[[#This Row],[Tot Ht Area]]</f>
        <v>296.91675231243579</v>
      </c>
      <c r="G869" s="16">
        <v>8757</v>
      </c>
      <c r="H869" s="16">
        <v>8757</v>
      </c>
      <c r="I869" s="17" t="s">
        <v>4825</v>
      </c>
      <c r="J869" s="18" t="s">
        <v>201</v>
      </c>
      <c r="K869" s="19" t="s">
        <v>48</v>
      </c>
      <c r="L869" s="19"/>
      <c r="M869" s="19" t="s">
        <v>4826</v>
      </c>
      <c r="N869" s="20" t="s">
        <v>1598</v>
      </c>
      <c r="O869" s="20" t="s">
        <v>27</v>
      </c>
      <c r="P869" s="21" t="s">
        <v>4827</v>
      </c>
      <c r="Q869" s="20"/>
      <c r="R869" s="20" t="s">
        <v>4828</v>
      </c>
      <c r="S869" s="20"/>
      <c r="T869" s="20"/>
      <c r="U869" s="20"/>
      <c r="V869" s="20"/>
    </row>
    <row r="870" spans="2:22" ht="34">
      <c r="B870" s="11" t="s">
        <v>4829</v>
      </c>
      <c r="C870" s="12" t="s">
        <v>184</v>
      </c>
      <c r="D870" s="13" t="s">
        <v>579</v>
      </c>
      <c r="E870" s="24">
        <v>1125000</v>
      </c>
      <c r="F870" s="25">
        <f>Table2[[#This Row],[Price]]/Table2[[#This Row],[Tot Ht Area]]</f>
        <v>145.8954739981844</v>
      </c>
      <c r="G870" s="16">
        <v>7711</v>
      </c>
      <c r="H870" s="16">
        <v>7711</v>
      </c>
      <c r="I870" s="17" t="s">
        <v>4830</v>
      </c>
      <c r="J870" s="18" t="s">
        <v>92</v>
      </c>
      <c r="K870" s="19" t="s">
        <v>48</v>
      </c>
      <c r="L870" s="19"/>
      <c r="M870" s="19" t="s">
        <v>4831</v>
      </c>
      <c r="N870" s="20" t="s">
        <v>1598</v>
      </c>
      <c r="O870" s="20" t="s">
        <v>27</v>
      </c>
      <c r="P870" s="21" t="s">
        <v>4832</v>
      </c>
      <c r="Q870" s="20"/>
      <c r="R870" s="20" t="s">
        <v>4833</v>
      </c>
      <c r="S870" s="20"/>
      <c r="T870" s="20"/>
      <c r="U870" s="20"/>
      <c r="V870" s="20"/>
    </row>
    <row r="871" spans="2:22" ht="34">
      <c r="B871" s="11" t="s">
        <v>4834</v>
      </c>
      <c r="C871" s="12" t="s">
        <v>184</v>
      </c>
      <c r="D871" s="13" t="s">
        <v>428</v>
      </c>
      <c r="E871" s="24">
        <v>1425000</v>
      </c>
      <c r="F871" s="25">
        <f>Table2[[#This Row],[Price]]/Table2[[#This Row],[Tot Ht Area]]</f>
        <v>186.46951059931956</v>
      </c>
      <c r="G871" s="16">
        <v>7642</v>
      </c>
      <c r="H871" s="16">
        <v>7738</v>
      </c>
      <c r="I871" s="17" t="s">
        <v>4835</v>
      </c>
      <c r="J871" s="18" t="s">
        <v>66</v>
      </c>
      <c r="K871" s="19" t="s">
        <v>37</v>
      </c>
      <c r="L871" s="19"/>
      <c r="M871" s="19" t="s">
        <v>4836</v>
      </c>
      <c r="N871" s="20" t="s">
        <v>1598</v>
      </c>
      <c r="O871" s="20" t="s">
        <v>27</v>
      </c>
      <c r="P871" s="21" t="s">
        <v>4837</v>
      </c>
      <c r="Q871" s="20"/>
      <c r="R871" s="20" t="s">
        <v>4838</v>
      </c>
      <c r="S871" s="20"/>
      <c r="T871" s="20"/>
      <c r="U871" s="20"/>
      <c r="V871" s="20"/>
    </row>
    <row r="872" spans="2:22" ht="17">
      <c r="B872" s="11" t="s">
        <v>4839</v>
      </c>
      <c r="C872" s="12" t="s">
        <v>184</v>
      </c>
      <c r="D872" s="13" t="s">
        <v>322</v>
      </c>
      <c r="E872" s="24">
        <v>460000</v>
      </c>
      <c r="F872" s="25">
        <f>Table2[[#This Row],[Price]]/Table2[[#This Row],[Tot Ht Area]]</f>
        <v>196.24573378839591</v>
      </c>
      <c r="G872" s="16">
        <v>2344</v>
      </c>
      <c r="H872" s="16">
        <v>3679</v>
      </c>
      <c r="I872" s="17" t="s">
        <v>4840</v>
      </c>
      <c r="J872" s="18" t="s">
        <v>36</v>
      </c>
      <c r="K872" s="19" t="s">
        <v>37</v>
      </c>
      <c r="L872" s="19"/>
      <c r="M872" s="19" t="s">
        <v>4841</v>
      </c>
      <c r="N872" s="20" t="s">
        <v>1598</v>
      </c>
      <c r="O872" s="20" t="s">
        <v>27</v>
      </c>
      <c r="P872" s="21" t="s">
        <v>4842</v>
      </c>
      <c r="Q872" s="20"/>
      <c r="R872" s="20" t="s">
        <v>4843</v>
      </c>
      <c r="S872" s="20"/>
      <c r="T872" s="20"/>
      <c r="U872" s="20"/>
      <c r="V872" s="20"/>
    </row>
    <row r="873" spans="2:22" ht="34">
      <c r="B873" s="11" t="s">
        <v>4844</v>
      </c>
      <c r="C873" s="12" t="s">
        <v>184</v>
      </c>
      <c r="D873" s="13" t="s">
        <v>293</v>
      </c>
      <c r="E873" s="24">
        <v>100</v>
      </c>
      <c r="F873" s="25">
        <f>Table2[[#This Row],[Price]]/Table2[[#This Row],[Tot Ht Area]]</f>
        <v>3.2195750160978753E-2</v>
      </c>
      <c r="G873" s="16">
        <v>3106</v>
      </c>
      <c r="H873" s="16">
        <v>3338</v>
      </c>
      <c r="I873" s="17" t="s">
        <v>4845</v>
      </c>
      <c r="J873" s="18" t="s">
        <v>716</v>
      </c>
      <c r="K873" s="19" t="s">
        <v>48</v>
      </c>
      <c r="L873" s="19"/>
      <c r="M873" s="19" t="s">
        <v>4846</v>
      </c>
      <c r="N873" s="20" t="s">
        <v>1598</v>
      </c>
      <c r="O873" s="20" t="s">
        <v>27</v>
      </c>
      <c r="P873" s="21" t="s">
        <v>4639</v>
      </c>
      <c r="Q873" s="20"/>
      <c r="R873" s="20" t="s">
        <v>4847</v>
      </c>
      <c r="S873" s="20"/>
      <c r="T873" s="20" t="s">
        <v>6318</v>
      </c>
      <c r="U873" s="20"/>
      <c r="V873" s="20"/>
    </row>
    <row r="874" spans="2:22" ht="17">
      <c r="B874" s="11" t="s">
        <v>4848</v>
      </c>
      <c r="C874" s="12" t="s">
        <v>184</v>
      </c>
      <c r="D874" s="13" t="s">
        <v>55</v>
      </c>
      <c r="E874" s="24">
        <v>925600</v>
      </c>
      <c r="F874" s="25">
        <f>Table2[[#This Row],[Price]]/Table2[[#This Row],[Tot Ht Area]]</f>
        <v>380.43567612001647</v>
      </c>
      <c r="G874" s="16">
        <v>2433</v>
      </c>
      <c r="H874" s="16">
        <v>2531</v>
      </c>
      <c r="I874" s="17" t="s">
        <v>4502</v>
      </c>
      <c r="J874" s="18" t="s">
        <v>1231</v>
      </c>
      <c r="K874" s="19" t="s">
        <v>48</v>
      </c>
      <c r="L874" s="19"/>
      <c r="M874" s="19" t="s">
        <v>4849</v>
      </c>
      <c r="N874" s="20" t="s">
        <v>1598</v>
      </c>
      <c r="O874" s="20" t="s">
        <v>27</v>
      </c>
      <c r="P874" s="21" t="s">
        <v>4571</v>
      </c>
      <c r="Q874" s="20"/>
      <c r="R874" s="20" t="s">
        <v>4850</v>
      </c>
      <c r="S874" s="20"/>
      <c r="T874" s="20"/>
      <c r="U874" s="20"/>
      <c r="V874" s="20"/>
    </row>
    <row r="875" spans="2:22" ht="17">
      <c r="B875" s="11" t="s">
        <v>4851</v>
      </c>
      <c r="C875" s="12" t="s">
        <v>184</v>
      </c>
      <c r="D875" s="13" t="s">
        <v>436</v>
      </c>
      <c r="E875" s="24">
        <v>850000</v>
      </c>
      <c r="F875" s="25">
        <f>Table2[[#This Row],[Price]]/Table2[[#This Row],[Tot Ht Area]]</f>
        <v>96.590909090909093</v>
      </c>
      <c r="G875" s="16">
        <v>8800</v>
      </c>
      <c r="H875" s="16">
        <v>8800</v>
      </c>
      <c r="I875" s="17" t="s">
        <v>4852</v>
      </c>
      <c r="J875" s="18" t="s">
        <v>627</v>
      </c>
      <c r="K875" s="19" t="s">
        <v>37</v>
      </c>
      <c r="L875" s="19"/>
      <c r="M875" s="19" t="s">
        <v>4853</v>
      </c>
      <c r="N875" s="20" t="s">
        <v>1598</v>
      </c>
      <c r="O875" s="20" t="s">
        <v>27</v>
      </c>
      <c r="P875" s="21" t="s">
        <v>4854</v>
      </c>
      <c r="Q875" s="20"/>
      <c r="R875" s="20" t="s">
        <v>4855</v>
      </c>
      <c r="S875" s="20"/>
      <c r="T875" s="20"/>
      <c r="U875" s="20"/>
      <c r="V875" s="20"/>
    </row>
    <row r="876" spans="2:22" ht="17">
      <c r="B876" s="11" t="s">
        <v>4856</v>
      </c>
      <c r="C876" s="12" t="s">
        <v>184</v>
      </c>
      <c r="D876" s="13" t="s">
        <v>177</v>
      </c>
      <c r="E876" s="24">
        <v>727100</v>
      </c>
      <c r="F876" s="25">
        <f>Table2[[#This Row],[Price]]/Table2[[#This Row],[Tot Ht Area]]</f>
        <v>196.93932827735645</v>
      </c>
      <c r="G876" s="16">
        <v>3692</v>
      </c>
      <c r="H876" s="16">
        <v>3782</v>
      </c>
      <c r="I876" s="17" t="s">
        <v>4857</v>
      </c>
      <c r="J876" s="18" t="s">
        <v>1138</v>
      </c>
      <c r="K876" s="19" t="s">
        <v>37</v>
      </c>
      <c r="L876" s="19"/>
      <c r="M876" s="19" t="s">
        <v>4858</v>
      </c>
      <c r="N876" s="20" t="s">
        <v>1598</v>
      </c>
      <c r="O876" s="20" t="s">
        <v>27</v>
      </c>
      <c r="P876" s="21" t="s">
        <v>4859</v>
      </c>
      <c r="Q876" s="20"/>
      <c r="R876" s="20" t="s">
        <v>4860</v>
      </c>
      <c r="S876" s="20"/>
      <c r="T876" s="20"/>
      <c r="U876" s="20"/>
      <c r="V876" s="20"/>
    </row>
    <row r="877" spans="2:22" ht="17">
      <c r="B877" s="11" t="s">
        <v>4861</v>
      </c>
      <c r="C877" s="12" t="s">
        <v>184</v>
      </c>
      <c r="D877" s="13" t="s">
        <v>1490</v>
      </c>
      <c r="E877" s="24">
        <v>1560000</v>
      </c>
      <c r="F877" s="25">
        <f>Table2[[#This Row],[Price]]/Table2[[#This Row],[Tot Ht Area]]</f>
        <v>130.05418924551896</v>
      </c>
      <c r="G877" s="16">
        <v>11995</v>
      </c>
      <c r="H877" s="16">
        <v>12160</v>
      </c>
      <c r="I877" s="17" t="s">
        <v>4862</v>
      </c>
      <c r="J877" s="18" t="s">
        <v>379</v>
      </c>
      <c r="K877" s="19" t="s">
        <v>37</v>
      </c>
      <c r="L877" s="19"/>
      <c r="M877" s="19" t="s">
        <v>4863</v>
      </c>
      <c r="N877" s="20" t="s">
        <v>1598</v>
      </c>
      <c r="O877" s="20" t="s">
        <v>27</v>
      </c>
      <c r="P877" s="21" t="s">
        <v>4864</v>
      </c>
      <c r="Q877" s="20"/>
      <c r="R877" s="20" t="s">
        <v>4865</v>
      </c>
      <c r="S877" s="20"/>
      <c r="T877" s="20"/>
      <c r="U877" s="20"/>
      <c r="V877" s="20"/>
    </row>
    <row r="878" spans="2:22" ht="17">
      <c r="B878" s="11" t="s">
        <v>4866</v>
      </c>
      <c r="C878" s="12" t="s">
        <v>184</v>
      </c>
      <c r="D878" s="13" t="s">
        <v>729</v>
      </c>
      <c r="E878" s="24">
        <v>1475000</v>
      </c>
      <c r="F878" s="25">
        <f>Table2[[#This Row],[Price]]/Table2[[#This Row],[Tot Ht Area]]</f>
        <v>91.049382716049379</v>
      </c>
      <c r="G878" s="16">
        <v>16200</v>
      </c>
      <c r="H878" s="16">
        <v>16764</v>
      </c>
      <c r="I878" s="17" t="s">
        <v>4867</v>
      </c>
      <c r="J878" s="18" t="s">
        <v>627</v>
      </c>
      <c r="K878" s="19" t="s">
        <v>37</v>
      </c>
      <c r="L878" s="19"/>
      <c r="M878" s="19" t="s">
        <v>4868</v>
      </c>
      <c r="N878" s="20" t="s">
        <v>1598</v>
      </c>
      <c r="O878" s="20" t="s">
        <v>27</v>
      </c>
      <c r="P878" s="21" t="s">
        <v>4869</v>
      </c>
      <c r="Q878" s="20"/>
      <c r="R878" s="20" t="s">
        <v>4870</v>
      </c>
      <c r="S878" s="20"/>
      <c r="T878" s="20"/>
      <c r="U878" s="20"/>
      <c r="V878" s="20"/>
    </row>
    <row r="879" spans="2:22" ht="34">
      <c r="B879" s="11" t="s">
        <v>4871</v>
      </c>
      <c r="C879" s="12" t="s">
        <v>184</v>
      </c>
      <c r="D879" s="13" t="s">
        <v>372</v>
      </c>
      <c r="E879" s="24">
        <v>940000</v>
      </c>
      <c r="F879" s="25">
        <f>Table2[[#This Row],[Price]]/Table2[[#This Row],[Tot Ht Area]]</f>
        <v>187.84972022382095</v>
      </c>
      <c r="G879" s="16">
        <v>5004</v>
      </c>
      <c r="H879" s="16">
        <v>5069</v>
      </c>
      <c r="I879" s="17" t="s">
        <v>4872</v>
      </c>
      <c r="J879" s="18" t="s">
        <v>747</v>
      </c>
      <c r="K879" s="19" t="s">
        <v>37</v>
      </c>
      <c r="L879" s="19"/>
      <c r="M879" s="19" t="s">
        <v>4873</v>
      </c>
      <c r="N879" s="20" t="s">
        <v>1598</v>
      </c>
      <c r="O879" s="20" t="s">
        <v>27</v>
      </c>
      <c r="P879" s="21" t="s">
        <v>4874</v>
      </c>
      <c r="Q879" s="20"/>
      <c r="R879" s="20" t="s">
        <v>4875</v>
      </c>
      <c r="S879" s="20"/>
      <c r="T879" s="20"/>
      <c r="U879" s="20"/>
      <c r="V879" s="20"/>
    </row>
    <row r="880" spans="2:22" ht="34">
      <c r="B880" s="11" t="s">
        <v>4876</v>
      </c>
      <c r="C880" s="12" t="s">
        <v>184</v>
      </c>
      <c r="D880" s="13" t="s">
        <v>579</v>
      </c>
      <c r="E880" s="24">
        <v>100</v>
      </c>
      <c r="F880" s="25">
        <f>Table2[[#This Row],[Price]]/Table2[[#This Row],[Tot Ht Area]]</f>
        <v>9.8444575703878715E-3</v>
      </c>
      <c r="G880" s="16">
        <v>10158</v>
      </c>
      <c r="H880" s="16">
        <v>11601</v>
      </c>
      <c r="I880" s="17" t="s">
        <v>4877</v>
      </c>
      <c r="J880" s="18" t="s">
        <v>646</v>
      </c>
      <c r="K880" s="19" t="s">
        <v>37</v>
      </c>
      <c r="L880" s="19"/>
      <c r="M880" s="19" t="s">
        <v>4878</v>
      </c>
      <c r="N880" s="20" t="s">
        <v>1598</v>
      </c>
      <c r="O880" s="20" t="s">
        <v>27</v>
      </c>
      <c r="P880" s="21" t="s">
        <v>4879</v>
      </c>
      <c r="Q880" s="20"/>
      <c r="R880" s="20" t="s">
        <v>4880</v>
      </c>
      <c r="S880" s="20"/>
      <c r="T880" s="20" t="s">
        <v>6318</v>
      </c>
      <c r="U880" s="20"/>
      <c r="V880" s="20"/>
    </row>
    <row r="881" spans="2:22" ht="34">
      <c r="B881" s="11" t="s">
        <v>4881</v>
      </c>
      <c r="C881" s="12" t="s">
        <v>184</v>
      </c>
      <c r="D881" s="13" t="s">
        <v>322</v>
      </c>
      <c r="E881" s="24">
        <v>650000</v>
      </c>
      <c r="F881" s="25">
        <f>Table2[[#This Row],[Price]]/Table2[[#This Row],[Tot Ht Area]]</f>
        <v>280.29322984044848</v>
      </c>
      <c r="G881" s="16">
        <v>2319</v>
      </c>
      <c r="H881" s="16">
        <v>2319</v>
      </c>
      <c r="I881" s="17" t="s">
        <v>4882</v>
      </c>
      <c r="J881" s="18" t="s">
        <v>430</v>
      </c>
      <c r="K881" s="19" t="s">
        <v>48</v>
      </c>
      <c r="L881" s="19"/>
      <c r="M881" s="19" t="s">
        <v>4883</v>
      </c>
      <c r="N881" s="20" t="s">
        <v>1598</v>
      </c>
      <c r="O881" s="20" t="s">
        <v>27</v>
      </c>
      <c r="P881" s="21" t="s">
        <v>4884</v>
      </c>
      <c r="Q881" s="20"/>
      <c r="R881" s="20" t="s">
        <v>4885</v>
      </c>
      <c r="S881" s="20"/>
      <c r="T881" s="20"/>
      <c r="U881" s="20"/>
      <c r="V881" s="20"/>
    </row>
    <row r="882" spans="2:22" ht="34">
      <c r="B882" s="11" t="s">
        <v>4886</v>
      </c>
      <c r="C882" s="12" t="s">
        <v>184</v>
      </c>
      <c r="D882" s="13" t="s">
        <v>170</v>
      </c>
      <c r="E882" s="24">
        <v>295000</v>
      </c>
      <c r="F882" s="25">
        <f>Table2[[#This Row],[Price]]/Table2[[#This Row],[Tot Ht Area]]</f>
        <v>78.792735042735046</v>
      </c>
      <c r="G882" s="16">
        <v>3744</v>
      </c>
      <c r="H882" s="16">
        <v>3836</v>
      </c>
      <c r="I882" s="17" t="s">
        <v>4887</v>
      </c>
      <c r="J882" s="18" t="s">
        <v>536</v>
      </c>
      <c r="K882" s="19" t="s">
        <v>48</v>
      </c>
      <c r="L882" s="19"/>
      <c r="M882" s="19" t="s">
        <v>4888</v>
      </c>
      <c r="N882" s="20" t="s">
        <v>1598</v>
      </c>
      <c r="O882" s="20" t="s">
        <v>27</v>
      </c>
      <c r="P882" s="21" t="s">
        <v>4889</v>
      </c>
      <c r="Q882" s="20"/>
      <c r="R882" s="20" t="s">
        <v>4890</v>
      </c>
      <c r="S882" s="20"/>
      <c r="T882" s="20"/>
      <c r="U882" s="20"/>
      <c r="V882" s="20"/>
    </row>
    <row r="883" spans="2:22" ht="34">
      <c r="B883" s="11" t="s">
        <v>4891</v>
      </c>
      <c r="C883" s="12" t="s">
        <v>184</v>
      </c>
      <c r="D883" s="13" t="s">
        <v>64</v>
      </c>
      <c r="E883" s="24">
        <v>900000</v>
      </c>
      <c r="F883" s="25">
        <f>Table2[[#This Row],[Price]]/Table2[[#This Row],[Tot Ht Area]]</f>
        <v>71.18000632711167</v>
      </c>
      <c r="G883" s="16">
        <v>12644</v>
      </c>
      <c r="H883" s="16">
        <v>13100</v>
      </c>
      <c r="I883" s="17" t="s">
        <v>4892</v>
      </c>
      <c r="J883" s="18" t="s">
        <v>518</v>
      </c>
      <c r="K883" s="19" t="s">
        <v>101</v>
      </c>
      <c r="L883" s="19"/>
      <c r="M883" s="19" t="s">
        <v>4893</v>
      </c>
      <c r="N883" s="20" t="s">
        <v>1598</v>
      </c>
      <c r="O883" s="20" t="s">
        <v>27</v>
      </c>
      <c r="P883" s="21" t="s">
        <v>4894</v>
      </c>
      <c r="Q883" s="20"/>
      <c r="R883" s="20" t="s">
        <v>4895</v>
      </c>
      <c r="S883" s="20"/>
      <c r="T883" s="20"/>
      <c r="U883" s="20"/>
      <c r="V883" s="20"/>
    </row>
    <row r="884" spans="2:22" ht="34">
      <c r="B884" s="11" t="s">
        <v>4896</v>
      </c>
      <c r="C884" s="12" t="s">
        <v>184</v>
      </c>
      <c r="D884" s="13" t="s">
        <v>322</v>
      </c>
      <c r="E884" s="24">
        <v>100</v>
      </c>
      <c r="F884" s="25">
        <f>Table2[[#This Row],[Price]]/Table2[[#This Row],[Tot Ht Area]]</f>
        <v>5.2356020942408377E-2</v>
      </c>
      <c r="G884" s="16">
        <v>1910</v>
      </c>
      <c r="H884" s="16">
        <v>2852</v>
      </c>
      <c r="I884" s="17" t="s">
        <v>4897</v>
      </c>
      <c r="J884" s="18" t="s">
        <v>542</v>
      </c>
      <c r="K884" s="19" t="s">
        <v>48</v>
      </c>
      <c r="L884" s="19"/>
      <c r="M884" s="19" t="s">
        <v>4898</v>
      </c>
      <c r="N884" s="20" t="s">
        <v>1598</v>
      </c>
      <c r="O884" s="20" t="s">
        <v>27</v>
      </c>
      <c r="P884" s="21" t="s">
        <v>4899</v>
      </c>
      <c r="Q884" s="20"/>
      <c r="R884" s="20" t="s">
        <v>4900</v>
      </c>
      <c r="S884" s="20"/>
      <c r="T884" s="20" t="s">
        <v>6318</v>
      </c>
      <c r="U884" s="20"/>
      <c r="V884" s="20"/>
    </row>
    <row r="885" spans="2:22" ht="34">
      <c r="B885" s="11" t="s">
        <v>4901</v>
      </c>
      <c r="C885" s="12" t="s">
        <v>184</v>
      </c>
      <c r="D885" s="13" t="s">
        <v>108</v>
      </c>
      <c r="E885" s="24">
        <v>850000</v>
      </c>
      <c r="F885" s="25">
        <f>Table2[[#This Row],[Price]]/Table2[[#This Row],[Tot Ht Area]]</f>
        <v>146.55172413793105</v>
      </c>
      <c r="G885" s="16">
        <v>5800</v>
      </c>
      <c r="H885" s="16">
        <v>6020</v>
      </c>
      <c r="I885" s="17" t="s">
        <v>4902</v>
      </c>
      <c r="J885" s="18" t="s">
        <v>760</v>
      </c>
      <c r="K885" s="19" t="s">
        <v>37</v>
      </c>
      <c r="L885" s="19"/>
      <c r="M885" s="19" t="s">
        <v>4903</v>
      </c>
      <c r="N885" s="20" t="s">
        <v>1598</v>
      </c>
      <c r="O885" s="20" t="s">
        <v>27</v>
      </c>
      <c r="P885" s="21" t="s">
        <v>4904</v>
      </c>
      <c r="Q885" s="20"/>
      <c r="R885" s="20" t="s">
        <v>4905</v>
      </c>
      <c r="S885" s="20"/>
      <c r="T885" s="20"/>
      <c r="U885" s="20"/>
      <c r="V885" s="20"/>
    </row>
    <row r="886" spans="2:22" ht="34">
      <c r="B886" s="11" t="s">
        <v>4906</v>
      </c>
      <c r="C886" s="12" t="s">
        <v>184</v>
      </c>
      <c r="D886" s="13" t="s">
        <v>73</v>
      </c>
      <c r="E886" s="24">
        <v>450000</v>
      </c>
      <c r="F886" s="25">
        <f>Table2[[#This Row],[Price]]/Table2[[#This Row],[Tot Ht Area]]</f>
        <v>141.50943396226415</v>
      </c>
      <c r="G886" s="16">
        <v>3180</v>
      </c>
      <c r="H886" s="16">
        <v>3490</v>
      </c>
      <c r="I886" s="17" t="s">
        <v>4907</v>
      </c>
      <c r="J886" s="18" t="s">
        <v>415</v>
      </c>
      <c r="K886" s="19" t="s">
        <v>37</v>
      </c>
      <c r="L886" s="19"/>
      <c r="M886" s="19" t="s">
        <v>4908</v>
      </c>
      <c r="N886" s="20" t="s">
        <v>1598</v>
      </c>
      <c r="O886" s="20" t="s">
        <v>27</v>
      </c>
      <c r="P886" s="21" t="s">
        <v>4909</v>
      </c>
      <c r="Q886" s="20"/>
      <c r="R886" s="20" t="s">
        <v>4910</v>
      </c>
      <c r="S886" s="20"/>
      <c r="T886" s="20"/>
      <c r="U886" s="20"/>
      <c r="V886" s="20"/>
    </row>
    <row r="887" spans="2:22" ht="17">
      <c r="B887" s="11" t="s">
        <v>4911</v>
      </c>
      <c r="C887" s="12" t="s">
        <v>184</v>
      </c>
      <c r="D887" s="13" t="s">
        <v>231</v>
      </c>
      <c r="E887" s="24">
        <v>1000000</v>
      </c>
      <c r="F887" s="25">
        <f>Table2[[#This Row],[Price]]/Table2[[#This Row],[Tot Ht Area]]</f>
        <v>139.68431345159939</v>
      </c>
      <c r="G887" s="16">
        <v>7159</v>
      </c>
      <c r="H887" s="16">
        <v>7705</v>
      </c>
      <c r="I887" s="17" t="s">
        <v>4912</v>
      </c>
      <c r="J887" s="18" t="s">
        <v>358</v>
      </c>
      <c r="K887" s="19" t="s">
        <v>48</v>
      </c>
      <c r="L887" s="19"/>
      <c r="M887" s="19" t="s">
        <v>4913</v>
      </c>
      <c r="N887" s="20" t="s">
        <v>1598</v>
      </c>
      <c r="O887" s="20" t="s">
        <v>27</v>
      </c>
      <c r="P887" s="21" t="s">
        <v>4914</v>
      </c>
      <c r="Q887" s="20"/>
      <c r="R887" s="20" t="s">
        <v>4915</v>
      </c>
      <c r="S887" s="20"/>
      <c r="T887" s="20"/>
      <c r="U887" s="20"/>
      <c r="V887" s="20"/>
    </row>
    <row r="888" spans="2:22" ht="34">
      <c r="B888" s="11" t="s">
        <v>4916</v>
      </c>
      <c r="C888" s="12" t="s">
        <v>184</v>
      </c>
      <c r="D888" s="13" t="s">
        <v>1255</v>
      </c>
      <c r="E888" s="24">
        <v>449500</v>
      </c>
      <c r="F888" s="25">
        <f>Table2[[#This Row],[Price]]/Table2[[#This Row],[Tot Ht Area]]</f>
        <v>177.80854430379748</v>
      </c>
      <c r="G888" s="16">
        <v>2528</v>
      </c>
      <c r="H888" s="16">
        <v>2732</v>
      </c>
      <c r="I888" s="17" t="s">
        <v>4917</v>
      </c>
      <c r="J888" s="18" t="s">
        <v>1624</v>
      </c>
      <c r="K888" s="19" t="s">
        <v>37</v>
      </c>
      <c r="L888" s="19"/>
      <c r="M888" s="19" t="s">
        <v>4918</v>
      </c>
      <c r="N888" s="20" t="s">
        <v>1598</v>
      </c>
      <c r="O888" s="20" t="s">
        <v>27</v>
      </c>
      <c r="P888" s="21" t="s">
        <v>4919</v>
      </c>
      <c r="Q888" s="20"/>
      <c r="R888" s="20" t="s">
        <v>4920</v>
      </c>
      <c r="S888" s="20"/>
      <c r="T888" s="20"/>
      <c r="U888" s="20"/>
      <c r="V888" s="20"/>
    </row>
    <row r="889" spans="2:22" ht="17">
      <c r="B889" s="11" t="s">
        <v>4921</v>
      </c>
      <c r="C889" s="12" t="s">
        <v>184</v>
      </c>
      <c r="D889" s="13" t="s">
        <v>21</v>
      </c>
      <c r="E889" s="24">
        <v>620000</v>
      </c>
      <c r="F889" s="25">
        <f>Table2[[#This Row],[Price]]/Table2[[#This Row],[Tot Ht Area]]</f>
        <v>117.42424242424242</v>
      </c>
      <c r="G889" s="16">
        <v>5280</v>
      </c>
      <c r="H889" s="16">
        <v>6720</v>
      </c>
      <c r="I889" s="17" t="s">
        <v>4922</v>
      </c>
      <c r="J889" s="18" t="s">
        <v>57</v>
      </c>
      <c r="K889" s="19" t="s">
        <v>37</v>
      </c>
      <c r="L889" s="19"/>
      <c r="M889" s="19" t="s">
        <v>4923</v>
      </c>
      <c r="N889" s="20" t="s">
        <v>1598</v>
      </c>
      <c r="O889" s="20" t="s">
        <v>27</v>
      </c>
      <c r="P889" s="21" t="s">
        <v>4924</v>
      </c>
      <c r="Q889" s="20"/>
      <c r="R889" s="20" t="s">
        <v>4925</v>
      </c>
      <c r="S889" s="20"/>
      <c r="T889" s="20"/>
      <c r="U889" s="20"/>
      <c r="V889" s="20"/>
    </row>
    <row r="890" spans="2:22" ht="17">
      <c r="B890" s="11" t="s">
        <v>4926</v>
      </c>
      <c r="C890" s="12" t="s">
        <v>184</v>
      </c>
      <c r="D890" s="13" t="s">
        <v>1418</v>
      </c>
      <c r="E890" s="24">
        <v>234000</v>
      </c>
      <c r="F890" s="25">
        <f>Table2[[#This Row],[Price]]/Table2[[#This Row],[Tot Ht Area]]</f>
        <v>93.152866242038215</v>
      </c>
      <c r="G890" s="16">
        <v>2512</v>
      </c>
      <c r="H890" s="16">
        <v>2512</v>
      </c>
      <c r="I890" s="17" t="s">
        <v>4927</v>
      </c>
      <c r="J890" s="18" t="s">
        <v>652</v>
      </c>
      <c r="K890" s="19" t="s">
        <v>37</v>
      </c>
      <c r="L890" s="19"/>
      <c r="M890" s="19" t="s">
        <v>4928</v>
      </c>
      <c r="N890" s="20" t="s">
        <v>1598</v>
      </c>
      <c r="O890" s="20" t="s">
        <v>27</v>
      </c>
      <c r="P890" s="21" t="s">
        <v>4929</v>
      </c>
      <c r="Q890" s="20"/>
      <c r="R890" s="26" t="s">
        <v>4930</v>
      </c>
      <c r="S890" s="20"/>
      <c r="T890" s="20"/>
      <c r="U890" s="20"/>
      <c r="V890" s="20"/>
    </row>
    <row r="891" spans="2:22" ht="34">
      <c r="B891" s="11" t="s">
        <v>4931</v>
      </c>
      <c r="C891" s="12" t="s">
        <v>184</v>
      </c>
      <c r="D891" s="13" t="s">
        <v>314</v>
      </c>
      <c r="E891" s="24">
        <v>322000</v>
      </c>
      <c r="F891" s="25">
        <f>Table2[[#This Row],[Price]]/Table2[[#This Row],[Tot Ht Area]]</f>
        <v>69.471413160733547</v>
      </c>
      <c r="G891" s="16">
        <v>4635</v>
      </c>
      <c r="H891" s="16">
        <v>8235</v>
      </c>
      <c r="I891" s="17" t="s">
        <v>4932</v>
      </c>
      <c r="J891" s="18" t="s">
        <v>36</v>
      </c>
      <c r="K891" s="19" t="s">
        <v>48</v>
      </c>
      <c r="L891" s="19"/>
      <c r="M891" s="19" t="s">
        <v>4933</v>
      </c>
      <c r="N891" s="20" t="s">
        <v>1598</v>
      </c>
      <c r="O891" s="20" t="s">
        <v>27</v>
      </c>
      <c r="P891" s="21" t="s">
        <v>4934</v>
      </c>
      <c r="Q891" s="20"/>
      <c r="R891" s="20" t="s">
        <v>4935</v>
      </c>
      <c r="S891" s="20"/>
      <c r="T891" s="20"/>
      <c r="U891" s="20"/>
      <c r="V891" s="20"/>
    </row>
    <row r="892" spans="2:22" ht="34">
      <c r="B892" s="11" t="s">
        <v>4936</v>
      </c>
      <c r="C892" s="12" t="s">
        <v>184</v>
      </c>
      <c r="D892" s="13" t="s">
        <v>90</v>
      </c>
      <c r="E892" s="24">
        <v>100</v>
      </c>
      <c r="F892" s="25">
        <f>Table2[[#This Row],[Price]]/Table2[[#This Row],[Tot Ht Area]]</f>
        <v>1.95160031225605E-2</v>
      </c>
      <c r="G892" s="16">
        <v>5124</v>
      </c>
      <c r="H892" s="16">
        <v>5124</v>
      </c>
      <c r="I892" s="17" t="s">
        <v>4937</v>
      </c>
      <c r="J892" s="18" t="s">
        <v>57</v>
      </c>
      <c r="K892" s="19" t="s">
        <v>37</v>
      </c>
      <c r="L892" s="19"/>
      <c r="M892" s="19" t="s">
        <v>4938</v>
      </c>
      <c r="N892" s="20" t="s">
        <v>1598</v>
      </c>
      <c r="O892" s="20" t="s">
        <v>27</v>
      </c>
      <c r="P892" s="21" t="s">
        <v>4939</v>
      </c>
      <c r="Q892" s="20" t="s">
        <v>4940</v>
      </c>
      <c r="R892" s="20" t="s">
        <v>4941</v>
      </c>
      <c r="S892" s="20"/>
      <c r="T892" s="20" t="s">
        <v>6318</v>
      </c>
      <c r="U892" s="20"/>
      <c r="V892" s="20"/>
    </row>
    <row r="893" spans="2:22" ht="34">
      <c r="B893" s="11" t="s">
        <v>4942</v>
      </c>
      <c r="C893" s="12" t="s">
        <v>184</v>
      </c>
      <c r="D893" s="13" t="s">
        <v>658</v>
      </c>
      <c r="E893" s="24">
        <v>326900</v>
      </c>
      <c r="F893" s="25">
        <f>Table2[[#This Row],[Price]]/Table2[[#This Row],[Tot Ht Area]]</f>
        <v>149.20127795527156</v>
      </c>
      <c r="G893" s="16">
        <v>2191</v>
      </c>
      <c r="H893" s="16">
        <v>2467</v>
      </c>
      <c r="I893" s="17" t="s">
        <v>4943</v>
      </c>
      <c r="J893" s="18" t="s">
        <v>3217</v>
      </c>
      <c r="K893" s="19" t="s">
        <v>48</v>
      </c>
      <c r="L893" s="19"/>
      <c r="M893" s="19" t="s">
        <v>4944</v>
      </c>
      <c r="N893" s="20" t="s">
        <v>1598</v>
      </c>
      <c r="O893" s="20" t="s">
        <v>27</v>
      </c>
      <c r="P893" s="21" t="s">
        <v>4945</v>
      </c>
      <c r="Q893" s="20"/>
      <c r="R893" t="s">
        <v>4946</v>
      </c>
      <c r="S893" s="20"/>
      <c r="T893" s="20"/>
      <c r="U893" s="20"/>
      <c r="V893" s="20"/>
    </row>
    <row r="894" spans="2:22" ht="17">
      <c r="B894" s="11" t="s">
        <v>4947</v>
      </c>
      <c r="C894" s="12" t="s">
        <v>184</v>
      </c>
      <c r="D894" s="13" t="s">
        <v>285</v>
      </c>
      <c r="E894" s="24">
        <v>100</v>
      </c>
      <c r="F894" s="25">
        <f>Table2[[#This Row],[Price]]/Table2[[#This Row],[Tot Ht Area]]</f>
        <v>4.2105263157894736E-2</v>
      </c>
      <c r="G894" s="16">
        <v>2375</v>
      </c>
      <c r="H894" s="16">
        <v>2817</v>
      </c>
      <c r="I894" s="17" t="s">
        <v>4948</v>
      </c>
      <c r="J894" s="18" t="s">
        <v>2218</v>
      </c>
      <c r="K894" s="19" t="s">
        <v>48</v>
      </c>
      <c r="L894" s="19"/>
      <c r="M894" s="19" t="s">
        <v>4949</v>
      </c>
      <c r="N894" s="20" t="s">
        <v>1598</v>
      </c>
      <c r="O894" s="20" t="s">
        <v>27</v>
      </c>
      <c r="P894" s="21" t="s">
        <v>2975</v>
      </c>
      <c r="Q894" s="20"/>
      <c r="R894" s="20" t="s">
        <v>4950</v>
      </c>
      <c r="S894" s="20"/>
      <c r="T894" s="20" t="s">
        <v>6318</v>
      </c>
      <c r="U894" s="20"/>
      <c r="V894" s="20"/>
    </row>
    <row r="895" spans="2:22" ht="17">
      <c r="B895" s="11" t="s">
        <v>4951</v>
      </c>
      <c r="C895" s="12" t="s">
        <v>184</v>
      </c>
      <c r="D895" s="13" t="s">
        <v>398</v>
      </c>
      <c r="E895" s="24">
        <v>100</v>
      </c>
      <c r="F895" s="25">
        <f>Table2[[#This Row],[Price]]/Table2[[#This Row],[Tot Ht Area]]</f>
        <v>3.2938076416337288E-2</v>
      </c>
      <c r="G895" s="16">
        <v>3036</v>
      </c>
      <c r="H895" s="16">
        <v>3312</v>
      </c>
      <c r="I895" s="17" t="s">
        <v>4952</v>
      </c>
      <c r="J895" s="18" t="s">
        <v>731</v>
      </c>
      <c r="K895" s="19" t="s">
        <v>48</v>
      </c>
      <c r="L895" s="19"/>
      <c r="M895" s="19" t="s">
        <v>4953</v>
      </c>
      <c r="N895" s="20" t="s">
        <v>1598</v>
      </c>
      <c r="O895" s="20" t="s">
        <v>27</v>
      </c>
      <c r="P895" s="21" t="s">
        <v>4312</v>
      </c>
      <c r="Q895" s="20" t="s">
        <v>4954</v>
      </c>
      <c r="R895" s="20" t="s">
        <v>4955</v>
      </c>
      <c r="S895" s="20"/>
      <c r="T895" s="20" t="s">
        <v>6318</v>
      </c>
      <c r="U895" s="20"/>
      <c r="V895" s="20"/>
    </row>
    <row r="896" spans="2:22" ht="17">
      <c r="B896" s="11" t="s">
        <v>4956</v>
      </c>
      <c r="C896" s="12" t="s">
        <v>184</v>
      </c>
      <c r="D896" s="13" t="s">
        <v>64</v>
      </c>
      <c r="E896" s="24">
        <v>315000</v>
      </c>
      <c r="F896" s="25">
        <f>Table2[[#This Row],[Price]]/Table2[[#This Row],[Tot Ht Area]]</f>
        <v>120.68965517241379</v>
      </c>
      <c r="G896" s="16">
        <v>2610</v>
      </c>
      <c r="H896" s="16">
        <v>3458</v>
      </c>
      <c r="I896" s="17" t="s">
        <v>4957</v>
      </c>
      <c r="J896" s="18" t="s">
        <v>627</v>
      </c>
      <c r="K896" s="19" t="s">
        <v>37</v>
      </c>
      <c r="L896" s="19"/>
      <c r="M896" s="19" t="s">
        <v>4958</v>
      </c>
      <c r="N896" s="20" t="s">
        <v>1598</v>
      </c>
      <c r="O896" s="20" t="s">
        <v>27</v>
      </c>
      <c r="P896" s="21" t="s">
        <v>4959</v>
      </c>
      <c r="Q896" s="20"/>
      <c r="R896" s="20" t="s">
        <v>4960</v>
      </c>
      <c r="S896" s="20"/>
      <c r="T896" s="20"/>
      <c r="U896" s="20"/>
      <c r="V896" s="20"/>
    </row>
    <row r="897" spans="1:22" ht="34">
      <c r="B897" s="11" t="s">
        <v>4961</v>
      </c>
      <c r="C897" s="12" t="s">
        <v>184</v>
      </c>
      <c r="D897" s="13" t="s">
        <v>792</v>
      </c>
      <c r="E897" s="24">
        <v>410000</v>
      </c>
      <c r="F897" s="25">
        <f>Table2[[#This Row],[Price]]/Table2[[#This Row],[Tot Ht Area]]</f>
        <v>180.14059753954305</v>
      </c>
      <c r="G897" s="16">
        <v>2276</v>
      </c>
      <c r="H897" s="16">
        <v>2276</v>
      </c>
      <c r="I897" s="17" t="s">
        <v>4962</v>
      </c>
      <c r="J897" s="18" t="s">
        <v>278</v>
      </c>
      <c r="K897" s="19" t="s">
        <v>37</v>
      </c>
      <c r="L897" s="19"/>
      <c r="M897" s="19" t="s">
        <v>4963</v>
      </c>
      <c r="N897" s="20" t="s">
        <v>1598</v>
      </c>
      <c r="O897" s="20" t="s">
        <v>27</v>
      </c>
      <c r="P897" s="21" t="s">
        <v>4964</v>
      </c>
      <c r="Q897" s="20"/>
      <c r="R897" s="20" t="s">
        <v>4965</v>
      </c>
      <c r="S897" s="20"/>
      <c r="T897" s="20"/>
      <c r="U897" s="20"/>
      <c r="V897" s="20"/>
    </row>
    <row r="898" spans="1:22" ht="17">
      <c r="B898" s="11" t="s">
        <v>4966</v>
      </c>
      <c r="C898" s="12" t="s">
        <v>184</v>
      </c>
      <c r="D898" s="13" t="s">
        <v>428</v>
      </c>
      <c r="E898" s="24">
        <v>2425000</v>
      </c>
      <c r="F898" s="25">
        <f>Table2[[#This Row],[Price]]/Table2[[#This Row],[Tot Ht Area]]</f>
        <v>108.77366107472862</v>
      </c>
      <c r="G898" s="16">
        <v>22294</v>
      </c>
      <c r="H898" s="16">
        <v>24128</v>
      </c>
      <c r="I898" s="17" t="s">
        <v>4967</v>
      </c>
      <c r="J898" s="18" t="s">
        <v>415</v>
      </c>
      <c r="K898" s="19" t="s">
        <v>37</v>
      </c>
      <c r="L898" s="19"/>
      <c r="M898" s="19" t="s">
        <v>4968</v>
      </c>
      <c r="N898" s="20" t="s">
        <v>1598</v>
      </c>
      <c r="O898" s="20" t="s">
        <v>27</v>
      </c>
      <c r="P898" s="21" t="s">
        <v>4969</v>
      </c>
      <c r="Q898" s="20"/>
      <c r="R898" s="20" t="s">
        <v>4970</v>
      </c>
      <c r="S898" s="20"/>
      <c r="T898" s="20"/>
      <c r="U898" s="20"/>
      <c r="V898" s="20"/>
    </row>
    <row r="899" spans="1:22" ht="17">
      <c r="B899" s="11" t="s">
        <v>4971</v>
      </c>
      <c r="C899" s="12" t="s">
        <v>184</v>
      </c>
      <c r="D899" s="13" t="s">
        <v>170</v>
      </c>
      <c r="E899" s="24">
        <v>140000</v>
      </c>
      <c r="F899" s="25">
        <f>Table2[[#This Row],[Price]]/Table2[[#This Row],[Tot Ht Area]]</f>
        <v>44.8</v>
      </c>
      <c r="G899" s="16">
        <v>3125</v>
      </c>
      <c r="H899" s="16">
        <v>3125</v>
      </c>
      <c r="I899" s="17" t="s">
        <v>4972</v>
      </c>
      <c r="J899" s="18" t="s">
        <v>415</v>
      </c>
      <c r="K899" s="19" t="s">
        <v>37</v>
      </c>
      <c r="L899" s="19"/>
      <c r="M899" s="19" t="s">
        <v>4973</v>
      </c>
      <c r="N899" s="20" t="s">
        <v>1598</v>
      </c>
      <c r="O899" s="20" t="s">
        <v>27</v>
      </c>
      <c r="P899" s="21" t="s">
        <v>3042</v>
      </c>
      <c r="Q899" s="20"/>
      <c r="R899" s="20" t="s">
        <v>4974</v>
      </c>
      <c r="S899" s="20"/>
      <c r="T899" s="20"/>
      <c r="U899" s="20"/>
      <c r="V899" s="20"/>
    </row>
    <row r="900" spans="1:22" ht="17">
      <c r="B900" s="11" t="s">
        <v>4975</v>
      </c>
      <c r="C900" s="12" t="s">
        <v>184</v>
      </c>
      <c r="D900" s="13" t="s">
        <v>877</v>
      </c>
      <c r="E900" s="24">
        <v>410000</v>
      </c>
      <c r="F900" s="25">
        <f>Table2[[#This Row],[Price]]/Table2[[#This Row],[Tot Ht Area]]</f>
        <v>131.19999999999999</v>
      </c>
      <c r="G900" s="16">
        <v>3125</v>
      </c>
      <c r="H900" s="16">
        <v>3125</v>
      </c>
      <c r="I900" s="17" t="s">
        <v>4976</v>
      </c>
      <c r="J900" s="18" t="s">
        <v>415</v>
      </c>
      <c r="K900" s="19" t="s">
        <v>37</v>
      </c>
      <c r="L900" s="19"/>
      <c r="M900" s="19" t="s">
        <v>4977</v>
      </c>
      <c r="N900" s="20" t="s">
        <v>1598</v>
      </c>
      <c r="O900" s="20" t="s">
        <v>27</v>
      </c>
      <c r="P900" s="21" t="s">
        <v>3042</v>
      </c>
      <c r="Q900" s="20"/>
      <c r="R900" s="20" t="s">
        <v>4978</v>
      </c>
      <c r="S900" s="20"/>
      <c r="T900" s="20"/>
      <c r="U900" s="20"/>
      <c r="V900" s="20"/>
    </row>
    <row r="901" spans="1:22" ht="17">
      <c r="B901" s="11" t="s">
        <v>4979</v>
      </c>
      <c r="C901" s="12" t="s">
        <v>184</v>
      </c>
      <c r="D901" s="13" t="s">
        <v>207</v>
      </c>
      <c r="E901" s="24">
        <v>250000</v>
      </c>
      <c r="F901" s="25">
        <f>Table2[[#This Row],[Price]]/Table2[[#This Row],[Tot Ht Area]]</f>
        <v>80</v>
      </c>
      <c r="G901" s="16">
        <v>3125</v>
      </c>
      <c r="H901" s="16">
        <v>3125</v>
      </c>
      <c r="I901" s="17" t="s">
        <v>4980</v>
      </c>
      <c r="J901" s="18" t="s">
        <v>415</v>
      </c>
      <c r="K901" s="19" t="s">
        <v>37</v>
      </c>
      <c r="L901" s="19"/>
      <c r="M901" s="19" t="s">
        <v>4981</v>
      </c>
      <c r="N901" s="20" t="s">
        <v>1598</v>
      </c>
      <c r="O901" s="20" t="s">
        <v>27</v>
      </c>
      <c r="P901" s="21" t="s">
        <v>4982</v>
      </c>
      <c r="Q901" s="20"/>
      <c r="R901" s="20" t="s">
        <v>4983</v>
      </c>
      <c r="S901" s="20"/>
      <c r="T901" s="20"/>
      <c r="U901" s="20"/>
      <c r="V901" s="20"/>
    </row>
    <row r="902" spans="1:22" ht="34">
      <c r="B902" s="11" t="s">
        <v>4984</v>
      </c>
      <c r="C902" s="12" t="s">
        <v>184</v>
      </c>
      <c r="D902" s="13" t="s">
        <v>149</v>
      </c>
      <c r="E902" s="24">
        <v>684000</v>
      </c>
      <c r="F902" s="25">
        <f>Table2[[#This Row],[Price]]/Table2[[#This Row],[Tot Ht Area]]</f>
        <v>201.11731843575419</v>
      </c>
      <c r="G902" s="16">
        <v>3401</v>
      </c>
      <c r="H902" s="16">
        <v>3661</v>
      </c>
      <c r="I902" s="17" t="s">
        <v>4985</v>
      </c>
      <c r="J902" s="18" t="s">
        <v>1810</v>
      </c>
      <c r="K902" s="19" t="s">
        <v>37</v>
      </c>
      <c r="L902" s="19"/>
      <c r="M902" s="19" t="s">
        <v>4986</v>
      </c>
      <c r="N902" s="20" t="s">
        <v>1598</v>
      </c>
      <c r="O902" s="20" t="s">
        <v>27</v>
      </c>
      <c r="P902" s="21" t="s">
        <v>2926</v>
      </c>
      <c r="Q902" s="20"/>
      <c r="R902" s="20" t="s">
        <v>4987</v>
      </c>
      <c r="S902" s="20"/>
      <c r="T902" s="20"/>
      <c r="U902" s="20"/>
      <c r="V902" s="20"/>
    </row>
    <row r="903" spans="1:22" ht="34">
      <c r="B903" s="11" t="s">
        <v>4988</v>
      </c>
      <c r="C903" s="12" t="s">
        <v>184</v>
      </c>
      <c r="D903" s="13" t="s">
        <v>322</v>
      </c>
      <c r="E903" s="24">
        <v>1500000</v>
      </c>
      <c r="F903" s="25">
        <f>Table2[[#This Row],[Price]]/Table2[[#This Row],[Tot Ht Area]]</f>
        <v>175.35655833528173</v>
      </c>
      <c r="G903" s="16">
        <v>8554</v>
      </c>
      <c r="H903" s="16">
        <v>8554</v>
      </c>
      <c r="I903" s="17" t="s">
        <v>4989</v>
      </c>
      <c r="J903" s="18" t="s">
        <v>151</v>
      </c>
      <c r="K903" s="19" t="s">
        <v>37</v>
      </c>
      <c r="L903" s="19"/>
      <c r="M903" s="19" t="s">
        <v>4990</v>
      </c>
      <c r="N903" s="20" t="s">
        <v>1598</v>
      </c>
      <c r="O903" s="20" t="s">
        <v>27</v>
      </c>
      <c r="P903" s="21" t="s">
        <v>4991</v>
      </c>
      <c r="Q903" s="20"/>
      <c r="R903" s="20" t="s">
        <v>4992</v>
      </c>
      <c r="S903" s="20"/>
      <c r="T903" s="20"/>
      <c r="U903" s="20"/>
      <c r="V903" s="20"/>
    </row>
    <row r="904" spans="1:22" ht="17">
      <c r="B904" s="11" t="s">
        <v>4993</v>
      </c>
      <c r="C904" s="12" t="s">
        <v>184</v>
      </c>
      <c r="D904" s="13" t="s">
        <v>4272</v>
      </c>
      <c r="E904" s="24">
        <v>100</v>
      </c>
      <c r="F904" s="25">
        <f>Table2[[#This Row],[Price]]/Table2[[#This Row],[Tot Ht Area]]</f>
        <v>4.5871559633027525E-2</v>
      </c>
      <c r="G904" s="16">
        <v>2180</v>
      </c>
      <c r="H904" s="16">
        <v>2180</v>
      </c>
      <c r="I904" s="17" t="s">
        <v>4994</v>
      </c>
      <c r="J904" s="18" t="s">
        <v>560</v>
      </c>
      <c r="K904" s="19" t="s">
        <v>37</v>
      </c>
      <c r="L904" s="19"/>
      <c r="M904" s="19" t="s">
        <v>4995</v>
      </c>
      <c r="N904" s="20" t="s">
        <v>1598</v>
      </c>
      <c r="O904" s="20" t="s">
        <v>27</v>
      </c>
      <c r="P904" s="21" t="s">
        <v>4996</v>
      </c>
      <c r="Q904" s="20"/>
      <c r="R904" s="20" t="s">
        <v>4997</v>
      </c>
      <c r="S904" s="20"/>
      <c r="T904" s="20" t="s">
        <v>6318</v>
      </c>
      <c r="U904" s="20"/>
      <c r="V904" s="20"/>
    </row>
    <row r="905" spans="1:22" ht="17">
      <c r="B905" s="11" t="s">
        <v>4998</v>
      </c>
      <c r="C905" s="12" t="s">
        <v>184</v>
      </c>
      <c r="D905" s="13" t="s">
        <v>285</v>
      </c>
      <c r="E905" s="24"/>
      <c r="F905" s="25">
        <f>Table2[[#This Row],[Price]]/Table2[[#This Row],[Tot Ht Area]]</f>
        <v>0</v>
      </c>
      <c r="G905" s="16">
        <v>3400</v>
      </c>
      <c r="H905" s="16">
        <v>3400</v>
      </c>
      <c r="I905" s="17" t="s">
        <v>3866</v>
      </c>
      <c r="J905" s="18" t="s">
        <v>358</v>
      </c>
      <c r="K905" s="19" t="s">
        <v>48</v>
      </c>
      <c r="L905" s="19"/>
      <c r="M905" s="19" t="s">
        <v>4999</v>
      </c>
      <c r="N905" s="20" t="s">
        <v>1598</v>
      </c>
      <c r="O905" s="20" t="s">
        <v>27</v>
      </c>
      <c r="P905" s="21" t="s">
        <v>5000</v>
      </c>
      <c r="Q905" s="20"/>
      <c r="R905" s="20" t="s">
        <v>5001</v>
      </c>
      <c r="S905" s="20"/>
      <c r="T905" s="20"/>
      <c r="U905" s="20"/>
      <c r="V905" s="20"/>
    </row>
    <row r="906" spans="1:22" ht="34">
      <c r="B906" s="11" t="s">
        <v>5002</v>
      </c>
      <c r="C906" s="12" t="s">
        <v>184</v>
      </c>
      <c r="D906" s="13" t="s">
        <v>34</v>
      </c>
      <c r="E906" s="24">
        <v>1000000</v>
      </c>
      <c r="F906" s="25">
        <f>Table2[[#This Row],[Price]]/Table2[[#This Row],[Tot Ht Area]]</f>
        <v>141.62299957513099</v>
      </c>
      <c r="G906" s="16">
        <v>7061</v>
      </c>
      <c r="H906" s="16">
        <v>7251</v>
      </c>
      <c r="I906" s="17" t="s">
        <v>5003</v>
      </c>
      <c r="J906" s="18" t="s">
        <v>47</v>
      </c>
      <c r="K906" s="19" t="s">
        <v>48</v>
      </c>
      <c r="L906" s="19"/>
      <c r="M906" s="19" t="s">
        <v>5004</v>
      </c>
      <c r="N906" s="20" t="s">
        <v>1598</v>
      </c>
      <c r="O906" s="20" t="s">
        <v>27</v>
      </c>
      <c r="P906" s="21" t="s">
        <v>5005</v>
      </c>
      <c r="Q906" s="20" t="s">
        <v>5006</v>
      </c>
      <c r="R906" s="20" t="s">
        <v>5007</v>
      </c>
      <c r="S906" s="20"/>
      <c r="T906" s="20"/>
      <c r="U906" s="20"/>
      <c r="V906" s="20"/>
    </row>
    <row r="907" spans="1:22" ht="34">
      <c r="B907" s="11" t="s">
        <v>5008</v>
      </c>
      <c r="C907" s="12" t="s">
        <v>184</v>
      </c>
      <c r="D907" s="13" t="s">
        <v>185</v>
      </c>
      <c r="E907" s="24">
        <v>100</v>
      </c>
      <c r="F907" s="25">
        <f>Table2[[#This Row],[Price]]/Table2[[#This Row],[Tot Ht Area]]</f>
        <v>1.4963339817447255E-2</v>
      </c>
      <c r="G907" s="16">
        <v>6683</v>
      </c>
      <c r="H907" s="16">
        <v>6943</v>
      </c>
      <c r="I907" s="17" t="s">
        <v>5009</v>
      </c>
      <c r="J907" s="18" t="s">
        <v>358</v>
      </c>
      <c r="K907" s="19" t="s">
        <v>48</v>
      </c>
      <c r="L907" s="19"/>
      <c r="M907" s="19" t="s">
        <v>5010</v>
      </c>
      <c r="N907" s="20" t="s">
        <v>1598</v>
      </c>
      <c r="O907" s="20" t="s">
        <v>27</v>
      </c>
      <c r="P907" s="21" t="s">
        <v>3042</v>
      </c>
      <c r="Q907" s="20"/>
      <c r="R907" s="20" t="s">
        <v>5011</v>
      </c>
      <c r="S907" s="20"/>
      <c r="T907" s="20" t="s">
        <v>6318</v>
      </c>
      <c r="U907" s="20"/>
      <c r="V907" s="20"/>
    </row>
    <row r="908" spans="1:22" ht="17">
      <c r="B908" s="11" t="s">
        <v>5012</v>
      </c>
      <c r="C908" s="12" t="s">
        <v>184</v>
      </c>
      <c r="D908" s="13" t="s">
        <v>407</v>
      </c>
      <c r="E908" s="24">
        <v>1300000</v>
      </c>
      <c r="F908" s="25">
        <f>Table2[[#This Row],[Price]]/Table2[[#This Row],[Tot Ht Area]]</f>
        <v>269.821502698215</v>
      </c>
      <c r="G908" s="16">
        <v>4818</v>
      </c>
      <c r="H908" s="16">
        <v>5346</v>
      </c>
      <c r="I908" s="17" t="s">
        <v>5013</v>
      </c>
      <c r="J908" s="18" t="s">
        <v>566</v>
      </c>
      <c r="K908" s="19" t="s">
        <v>48</v>
      </c>
      <c r="L908" s="19"/>
      <c r="M908" s="19" t="s">
        <v>5014</v>
      </c>
      <c r="N908" s="20" t="s">
        <v>1598</v>
      </c>
      <c r="O908" s="20" t="s">
        <v>27</v>
      </c>
      <c r="P908" s="21" t="s">
        <v>2926</v>
      </c>
      <c r="Q908" s="20"/>
      <c r="R908" s="20" t="s">
        <v>5015</v>
      </c>
      <c r="S908" s="20"/>
      <c r="T908" s="20"/>
      <c r="U908" s="20"/>
      <c r="V908" s="20"/>
    </row>
    <row r="909" spans="1:22" ht="34">
      <c r="A909">
        <v>3</v>
      </c>
      <c r="B909" s="11" t="s">
        <v>5016</v>
      </c>
      <c r="C909" s="12" t="s">
        <v>184</v>
      </c>
      <c r="D909" s="13" t="s">
        <v>896</v>
      </c>
      <c r="E909" s="24">
        <v>1600000</v>
      </c>
      <c r="F909" s="25">
        <f>Table2[[#This Row],[Price]]/Table2[[#This Row],[Tot Ht Area]]</f>
        <v>153.84615384615384</v>
      </c>
      <c r="G909" s="16">
        <v>10400</v>
      </c>
      <c r="H909" s="16">
        <v>10712</v>
      </c>
      <c r="I909" s="17" t="s">
        <v>5017</v>
      </c>
      <c r="J909" s="18" t="s">
        <v>225</v>
      </c>
      <c r="K909" s="19" t="s">
        <v>37</v>
      </c>
      <c r="L909" s="19"/>
      <c r="M909" s="19" t="s">
        <v>5018</v>
      </c>
      <c r="N909" s="20" t="s">
        <v>1598</v>
      </c>
      <c r="O909" s="20" t="s">
        <v>27</v>
      </c>
      <c r="P909" s="21" t="s">
        <v>2926</v>
      </c>
      <c r="Q909" s="20"/>
      <c r="R909" s="20" t="s">
        <v>5019</v>
      </c>
      <c r="S909" s="20"/>
      <c r="T909" s="20"/>
      <c r="U909" s="20"/>
      <c r="V909" s="20"/>
    </row>
    <row r="910" spans="1:22" ht="34">
      <c r="B910" s="11" t="s">
        <v>5020</v>
      </c>
      <c r="C910" s="12" t="s">
        <v>184</v>
      </c>
      <c r="D910" s="13" t="s">
        <v>579</v>
      </c>
      <c r="E910" s="24">
        <v>100</v>
      </c>
      <c r="F910" s="25">
        <f>Table2[[#This Row],[Price]]/Table2[[#This Row],[Tot Ht Area]]</f>
        <v>0.02</v>
      </c>
      <c r="G910" s="16">
        <v>5000</v>
      </c>
      <c r="H910" s="16">
        <v>5500</v>
      </c>
      <c r="I910" s="17" t="s">
        <v>5021</v>
      </c>
      <c r="J910" s="18" t="s">
        <v>566</v>
      </c>
      <c r="K910" s="19" t="s">
        <v>37</v>
      </c>
      <c r="L910" s="19"/>
      <c r="M910" s="19" t="s">
        <v>5022</v>
      </c>
      <c r="N910" s="20" t="s">
        <v>1598</v>
      </c>
      <c r="O910" s="20" t="s">
        <v>27</v>
      </c>
      <c r="P910" s="21" t="s">
        <v>3042</v>
      </c>
      <c r="Q910" s="20"/>
      <c r="R910" s="20" t="s">
        <v>5023</v>
      </c>
      <c r="S910" s="20"/>
      <c r="T910" s="20" t="s">
        <v>6318</v>
      </c>
      <c r="U910" s="20"/>
      <c r="V910" s="20"/>
    </row>
    <row r="911" spans="1:22" ht="17">
      <c r="B911" s="11" t="s">
        <v>5024</v>
      </c>
      <c r="C911" s="12" t="s">
        <v>184</v>
      </c>
      <c r="D911" s="13" t="s">
        <v>428</v>
      </c>
      <c r="E911" s="24">
        <v>716000</v>
      </c>
      <c r="F911" s="25">
        <f>Table2[[#This Row],[Price]]/Table2[[#This Row],[Tot Ht Area]]</f>
        <v>143.19999999999999</v>
      </c>
      <c r="G911" s="16">
        <v>5000</v>
      </c>
      <c r="H911" s="16">
        <v>5400</v>
      </c>
      <c r="I911" s="17" t="s">
        <v>5025</v>
      </c>
      <c r="J911" s="18" t="s">
        <v>66</v>
      </c>
      <c r="K911" s="19" t="s">
        <v>37</v>
      </c>
      <c r="L911" s="19"/>
      <c r="M911" s="19" t="s">
        <v>5026</v>
      </c>
      <c r="N911" s="20" t="s">
        <v>1598</v>
      </c>
      <c r="O911" s="20" t="s">
        <v>27</v>
      </c>
      <c r="P911" s="21" t="s">
        <v>2926</v>
      </c>
      <c r="Q911" s="20"/>
      <c r="R911" s="20" t="s">
        <v>5027</v>
      </c>
      <c r="S911" s="20"/>
      <c r="T911" s="20"/>
      <c r="U911" s="20"/>
      <c r="V911" s="20"/>
    </row>
    <row r="912" spans="1:22" ht="34">
      <c r="B912" s="11" t="s">
        <v>5028</v>
      </c>
      <c r="C912" s="12" t="s">
        <v>184</v>
      </c>
      <c r="D912" s="13" t="s">
        <v>579</v>
      </c>
      <c r="E912" s="24">
        <v>100</v>
      </c>
      <c r="F912" s="25">
        <f>Table2[[#This Row],[Price]]/Table2[[#This Row],[Tot Ht Area]]</f>
        <v>1.6E-2</v>
      </c>
      <c r="G912" s="16">
        <v>6250</v>
      </c>
      <c r="H912" s="16">
        <v>6750</v>
      </c>
      <c r="I912" s="17" t="s">
        <v>5021</v>
      </c>
      <c r="J912" s="18" t="s">
        <v>767</v>
      </c>
      <c r="K912" s="19" t="s">
        <v>37</v>
      </c>
      <c r="L912" s="19"/>
      <c r="M912" s="19" t="s">
        <v>5029</v>
      </c>
      <c r="N912" s="20" t="s">
        <v>1598</v>
      </c>
      <c r="O912" s="20" t="s">
        <v>27</v>
      </c>
      <c r="P912" s="21" t="s">
        <v>3042</v>
      </c>
      <c r="Q912" s="20"/>
      <c r="R912" s="20" t="s">
        <v>5030</v>
      </c>
      <c r="S912" s="20"/>
      <c r="T912" s="20" t="s">
        <v>6318</v>
      </c>
      <c r="U912" s="20"/>
      <c r="V912" s="20"/>
    </row>
    <row r="913" spans="2:22" ht="34">
      <c r="B913" s="11" t="s">
        <v>5031</v>
      </c>
      <c r="C913" s="12" t="s">
        <v>184</v>
      </c>
      <c r="D913" s="13" t="s">
        <v>108</v>
      </c>
      <c r="E913" s="24">
        <v>100</v>
      </c>
      <c r="F913" s="25">
        <f>Table2[[#This Row],[Price]]/Table2[[#This Row],[Tot Ht Area]]</f>
        <v>2.5252525252525252E-2</v>
      </c>
      <c r="G913" s="16">
        <v>3960</v>
      </c>
      <c r="H913" s="16">
        <v>3960</v>
      </c>
      <c r="I913" s="17" t="s">
        <v>5032</v>
      </c>
      <c r="J913" s="18" t="s">
        <v>2746</v>
      </c>
      <c r="K913" s="19" t="s">
        <v>37</v>
      </c>
      <c r="L913" s="19"/>
      <c r="M913" s="19" t="s">
        <v>5033</v>
      </c>
      <c r="N913" s="20" t="s">
        <v>1598</v>
      </c>
      <c r="O913" s="20" t="s">
        <v>27</v>
      </c>
      <c r="P913" s="21" t="s">
        <v>5034</v>
      </c>
      <c r="Q913" s="20"/>
      <c r="R913" s="20" t="s">
        <v>5035</v>
      </c>
      <c r="S913" s="20"/>
      <c r="T913" s="20" t="s">
        <v>6318</v>
      </c>
      <c r="U913" s="20"/>
      <c r="V913" s="20"/>
    </row>
    <row r="914" spans="2:22" ht="34">
      <c r="B914" s="11" t="s">
        <v>5036</v>
      </c>
      <c r="C914" s="12" t="s">
        <v>184</v>
      </c>
      <c r="D914" s="13" t="s">
        <v>877</v>
      </c>
      <c r="E914" s="24">
        <v>975000</v>
      </c>
      <c r="F914" s="25">
        <f>Table2[[#This Row],[Price]]/Table2[[#This Row],[Tot Ht Area]]</f>
        <v>205.56609740670461</v>
      </c>
      <c r="G914" s="16">
        <v>4743</v>
      </c>
      <c r="H914" s="16">
        <v>4928</v>
      </c>
      <c r="I914" s="17" t="s">
        <v>5037</v>
      </c>
      <c r="J914" s="18" t="s">
        <v>518</v>
      </c>
      <c r="K914" s="19" t="s">
        <v>37</v>
      </c>
      <c r="L914" s="19"/>
      <c r="M914" s="19" t="s">
        <v>5038</v>
      </c>
      <c r="N914" s="20" t="s">
        <v>1598</v>
      </c>
      <c r="O914" s="20" t="s">
        <v>27</v>
      </c>
      <c r="P914" s="21" t="s">
        <v>5039</v>
      </c>
      <c r="Q914" s="20"/>
      <c r="R914" s="20" t="s">
        <v>5040</v>
      </c>
      <c r="S914" s="20"/>
      <c r="T914" s="20"/>
      <c r="U914" s="20"/>
      <c r="V914" s="20"/>
    </row>
    <row r="915" spans="2:22" ht="17">
      <c r="B915" s="11" t="s">
        <v>5041</v>
      </c>
      <c r="C915" s="12" t="s">
        <v>184</v>
      </c>
      <c r="D915" s="13" t="s">
        <v>450</v>
      </c>
      <c r="E915" s="24">
        <v>100</v>
      </c>
      <c r="F915" s="25">
        <f>Table2[[#This Row],[Price]]/Table2[[#This Row],[Tot Ht Area]]</f>
        <v>4.2140750105351878E-2</v>
      </c>
      <c r="G915" s="16">
        <v>2373</v>
      </c>
      <c r="H915" s="16">
        <v>2433</v>
      </c>
      <c r="I915" s="17" t="s">
        <v>5042</v>
      </c>
      <c r="J915" s="18" t="s">
        <v>2797</v>
      </c>
      <c r="K915" s="19" t="s">
        <v>37</v>
      </c>
      <c r="L915" s="19"/>
      <c r="M915" s="19" t="s">
        <v>5043</v>
      </c>
      <c r="N915" s="20" t="s">
        <v>1598</v>
      </c>
      <c r="O915" s="20" t="s">
        <v>27</v>
      </c>
      <c r="P915" s="21" t="s">
        <v>5044</v>
      </c>
      <c r="Q915" s="20" t="s">
        <v>5045</v>
      </c>
      <c r="R915" s="20" t="s">
        <v>5046</v>
      </c>
      <c r="S915" s="20"/>
      <c r="T915" s="20" t="s">
        <v>6318</v>
      </c>
      <c r="U915" s="20"/>
      <c r="V915" s="20"/>
    </row>
    <row r="916" spans="2:22" ht="17">
      <c r="B916" s="11" t="s">
        <v>5047</v>
      </c>
      <c r="C916" s="12" t="s">
        <v>184</v>
      </c>
      <c r="D916" s="13" t="s">
        <v>185</v>
      </c>
      <c r="E916" s="24">
        <v>100</v>
      </c>
      <c r="F916" s="25">
        <f>Table2[[#This Row],[Price]]/Table2[[#This Row],[Tot Ht Area]]</f>
        <v>3.3333333333333333E-2</v>
      </c>
      <c r="G916" s="16">
        <v>3000</v>
      </c>
      <c r="H916" s="16">
        <v>3548</v>
      </c>
      <c r="I916" s="17" t="s">
        <v>5042</v>
      </c>
      <c r="J916" s="18" t="s">
        <v>415</v>
      </c>
      <c r="K916" s="19" t="s">
        <v>37</v>
      </c>
      <c r="L916" s="19"/>
      <c r="M916" s="19" t="s">
        <v>5048</v>
      </c>
      <c r="N916" s="20" t="s">
        <v>1598</v>
      </c>
      <c r="O916" s="20" t="s">
        <v>27</v>
      </c>
      <c r="P916" s="21" t="s">
        <v>5049</v>
      </c>
      <c r="Q916" s="20"/>
      <c r="R916" s="20" t="s">
        <v>5050</v>
      </c>
      <c r="S916" s="20"/>
      <c r="T916" s="20" t="s">
        <v>6318</v>
      </c>
      <c r="U916" s="20"/>
      <c r="V916" s="20"/>
    </row>
    <row r="917" spans="2:22" ht="34">
      <c r="B917" s="11" t="s">
        <v>5051</v>
      </c>
      <c r="C917" s="12" t="s">
        <v>184</v>
      </c>
      <c r="D917" s="13" t="s">
        <v>982</v>
      </c>
      <c r="E917" s="24">
        <v>1500000</v>
      </c>
      <c r="F917" s="25">
        <f>Table2[[#This Row],[Price]]/Table2[[#This Row],[Tot Ht Area]]</f>
        <v>181.07194591984549</v>
      </c>
      <c r="G917" s="16">
        <v>8284</v>
      </c>
      <c r="H917" s="16">
        <v>8464</v>
      </c>
      <c r="I917" s="17" t="s">
        <v>5052</v>
      </c>
      <c r="J917" s="18" t="s">
        <v>117</v>
      </c>
      <c r="K917" s="19" t="s">
        <v>37</v>
      </c>
      <c r="L917" s="19"/>
      <c r="M917" s="19" t="s">
        <v>5053</v>
      </c>
      <c r="N917" s="20" t="s">
        <v>1598</v>
      </c>
      <c r="O917" s="20" t="s">
        <v>27</v>
      </c>
      <c r="P917" s="21" t="s">
        <v>5054</v>
      </c>
      <c r="Q917" s="20"/>
      <c r="R917" s="20" t="s">
        <v>5055</v>
      </c>
      <c r="S917" s="20"/>
      <c r="T917" s="20"/>
      <c r="U917" s="20"/>
      <c r="V917" s="20"/>
    </row>
    <row r="918" spans="2:22" ht="17">
      <c r="B918" s="11" t="s">
        <v>5056</v>
      </c>
      <c r="C918" s="12" t="s">
        <v>184</v>
      </c>
      <c r="D918" s="13" t="s">
        <v>177</v>
      </c>
      <c r="E918" s="24">
        <v>215000</v>
      </c>
      <c r="F918" s="25">
        <f>Table2[[#This Row],[Price]]/Table2[[#This Row],[Tot Ht Area]]</f>
        <v>114.05835543766578</v>
      </c>
      <c r="G918" s="16">
        <v>1885</v>
      </c>
      <c r="H918" s="16">
        <v>3109</v>
      </c>
      <c r="I918" s="17" t="s">
        <v>5057</v>
      </c>
      <c r="J918" s="18" t="s">
        <v>619</v>
      </c>
      <c r="K918" s="19" t="s">
        <v>37</v>
      </c>
      <c r="L918" s="19"/>
      <c r="M918" s="19" t="s">
        <v>5058</v>
      </c>
      <c r="N918" s="20" t="s">
        <v>1598</v>
      </c>
      <c r="O918" s="20" t="s">
        <v>27</v>
      </c>
      <c r="P918" s="21" t="s">
        <v>2975</v>
      </c>
      <c r="Q918" s="20"/>
      <c r="R918" s="20" t="s">
        <v>5059</v>
      </c>
      <c r="S918" s="20"/>
      <c r="T918" s="20"/>
      <c r="U918" s="20"/>
      <c r="V918" s="20"/>
    </row>
    <row r="919" spans="2:22" ht="34">
      <c r="B919" s="11" t="s">
        <v>5060</v>
      </c>
      <c r="C919" s="12" t="s">
        <v>184</v>
      </c>
      <c r="D919" s="13" t="s">
        <v>474</v>
      </c>
      <c r="E919" s="24">
        <v>2100000</v>
      </c>
      <c r="F919" s="25">
        <f>Table2[[#This Row],[Price]]/Table2[[#This Row],[Tot Ht Area]]</f>
        <v>437.5</v>
      </c>
      <c r="G919" s="16">
        <v>4800</v>
      </c>
      <c r="H919" s="16">
        <v>7200</v>
      </c>
      <c r="I919" s="17" t="s">
        <v>5061</v>
      </c>
      <c r="J919" s="18" t="s">
        <v>75</v>
      </c>
      <c r="K919" s="19" t="s">
        <v>101</v>
      </c>
      <c r="L919" s="19"/>
      <c r="M919" s="19" t="s">
        <v>5062</v>
      </c>
      <c r="N919" s="20" t="s">
        <v>1598</v>
      </c>
      <c r="O919" s="20" t="s">
        <v>27</v>
      </c>
      <c r="P919" s="21" t="s">
        <v>5063</v>
      </c>
      <c r="Q919" s="20"/>
      <c r="R919" s="20" t="s">
        <v>5064</v>
      </c>
      <c r="S919" s="20"/>
      <c r="T919" s="20"/>
      <c r="U919" s="20"/>
      <c r="V919" s="20"/>
    </row>
    <row r="920" spans="2:22" ht="34">
      <c r="B920" s="11" t="s">
        <v>5065</v>
      </c>
      <c r="C920" s="12" t="s">
        <v>184</v>
      </c>
      <c r="D920" s="13" t="s">
        <v>474</v>
      </c>
      <c r="E920" s="24">
        <v>2100000</v>
      </c>
      <c r="F920" s="25">
        <f>Table2[[#This Row],[Price]]/Table2[[#This Row],[Tot Ht Area]]</f>
        <v>486.11111111111109</v>
      </c>
      <c r="G920" s="16">
        <v>4320</v>
      </c>
      <c r="H920" s="16">
        <v>8784</v>
      </c>
      <c r="I920" s="17" t="s">
        <v>5061</v>
      </c>
      <c r="J920" s="18" t="s">
        <v>400</v>
      </c>
      <c r="K920" s="19" t="s">
        <v>37</v>
      </c>
      <c r="L920" s="19"/>
      <c r="M920" s="19" t="s">
        <v>5066</v>
      </c>
      <c r="N920" s="20" t="s">
        <v>1598</v>
      </c>
      <c r="O920" s="20" t="s">
        <v>27</v>
      </c>
      <c r="P920" s="21" t="s">
        <v>5063</v>
      </c>
      <c r="Q920" s="20"/>
      <c r="R920" s="20" t="s">
        <v>5067</v>
      </c>
      <c r="S920" s="20"/>
      <c r="T920" s="20"/>
      <c r="U920" s="20"/>
      <c r="V920" s="20"/>
    </row>
    <row r="921" spans="2:22" ht="34">
      <c r="B921" s="11" t="s">
        <v>5068</v>
      </c>
      <c r="C921" s="12" t="s">
        <v>184</v>
      </c>
      <c r="D921" s="13" t="s">
        <v>64</v>
      </c>
      <c r="E921" s="24">
        <v>475000</v>
      </c>
      <c r="F921" s="25">
        <f>Table2[[#This Row],[Price]]/Table2[[#This Row],[Tot Ht Area]]</f>
        <v>94.696969696969703</v>
      </c>
      <c r="G921" s="16">
        <v>5016</v>
      </c>
      <c r="H921" s="16">
        <v>5108</v>
      </c>
      <c r="I921" s="17" t="s">
        <v>5069</v>
      </c>
      <c r="J921" s="18" t="s">
        <v>233</v>
      </c>
      <c r="K921" s="19" t="s">
        <v>48</v>
      </c>
      <c r="L921" s="19"/>
      <c r="M921" s="19" t="s">
        <v>5070</v>
      </c>
      <c r="N921" s="20" t="s">
        <v>1598</v>
      </c>
      <c r="O921" s="20" t="s">
        <v>27</v>
      </c>
      <c r="P921" s="21" t="s">
        <v>5071</v>
      </c>
      <c r="Q921" s="20"/>
      <c r="R921" s="20" t="s">
        <v>5072</v>
      </c>
      <c r="S921" s="20"/>
      <c r="T921" s="20"/>
      <c r="U921" s="20"/>
      <c r="V921" s="20"/>
    </row>
    <row r="922" spans="2:22" ht="34">
      <c r="B922" s="11" t="s">
        <v>5073</v>
      </c>
      <c r="C922" s="12" t="s">
        <v>184</v>
      </c>
      <c r="D922" s="13" t="s">
        <v>474</v>
      </c>
      <c r="E922" s="24">
        <v>2720000</v>
      </c>
      <c r="F922" s="25">
        <f>Table2[[#This Row],[Price]]/Table2[[#This Row],[Tot Ht Area]]</f>
        <v>680</v>
      </c>
      <c r="G922" s="16">
        <v>4000</v>
      </c>
      <c r="H922" s="16">
        <v>4000</v>
      </c>
      <c r="I922" s="17" t="s">
        <v>5074</v>
      </c>
      <c r="J922" s="18" t="s">
        <v>1754</v>
      </c>
      <c r="K922" s="19" t="s">
        <v>48</v>
      </c>
      <c r="L922" s="19"/>
      <c r="M922" s="19" t="s">
        <v>5075</v>
      </c>
      <c r="N922" s="20" t="s">
        <v>1598</v>
      </c>
      <c r="O922" s="20" t="s">
        <v>27</v>
      </c>
      <c r="P922" s="21" t="s">
        <v>5076</v>
      </c>
      <c r="Q922" s="20"/>
      <c r="R922" s="20" t="s">
        <v>5077</v>
      </c>
      <c r="S922" s="20"/>
      <c r="T922" s="20"/>
      <c r="U922" s="20"/>
      <c r="V922" s="20"/>
    </row>
    <row r="923" spans="2:22" ht="34">
      <c r="B923" s="11" t="s">
        <v>5078</v>
      </c>
      <c r="C923" s="12" t="s">
        <v>184</v>
      </c>
      <c r="D923" s="13" t="s">
        <v>709</v>
      </c>
      <c r="E923" s="24">
        <v>3040000</v>
      </c>
      <c r="F923" s="25">
        <f>Table2[[#This Row],[Price]]/Table2[[#This Row],[Tot Ht Area]]</f>
        <v>613.52169525731586</v>
      </c>
      <c r="G923" s="16">
        <v>4955</v>
      </c>
      <c r="H923" s="16">
        <v>4955</v>
      </c>
      <c r="I923" s="17" t="s">
        <v>5079</v>
      </c>
      <c r="J923" s="18" t="s">
        <v>100</v>
      </c>
      <c r="K923" s="19" t="s">
        <v>48</v>
      </c>
      <c r="L923" s="19"/>
      <c r="M923" s="19" t="s">
        <v>5080</v>
      </c>
      <c r="N923" s="20" t="s">
        <v>1598</v>
      </c>
      <c r="O923" s="20" t="s">
        <v>27</v>
      </c>
      <c r="P923" s="21" t="s">
        <v>5081</v>
      </c>
      <c r="Q923" s="20"/>
      <c r="R923" s="20" t="s">
        <v>5082</v>
      </c>
      <c r="S923" s="20"/>
      <c r="T923" s="20"/>
      <c r="U923" s="20"/>
      <c r="V923" s="20"/>
    </row>
    <row r="924" spans="2:22" ht="17">
      <c r="B924" s="11" t="s">
        <v>5083</v>
      </c>
      <c r="C924" s="12" t="s">
        <v>184</v>
      </c>
      <c r="D924" s="13" t="s">
        <v>285</v>
      </c>
      <c r="E924" s="24">
        <v>100</v>
      </c>
      <c r="F924" s="25">
        <f>Table2[[#This Row],[Price]]/Table2[[#This Row],[Tot Ht Area]]</f>
        <v>5.6439778756067274E-3</v>
      </c>
      <c r="G924" s="16">
        <v>17718</v>
      </c>
      <c r="H924" s="16">
        <v>24266</v>
      </c>
      <c r="I924" s="17" t="s">
        <v>5084</v>
      </c>
      <c r="J924" s="18" t="s">
        <v>415</v>
      </c>
      <c r="K924" s="19" t="s">
        <v>101</v>
      </c>
      <c r="L924" s="19"/>
      <c r="M924" s="19" t="s">
        <v>5085</v>
      </c>
      <c r="N924" s="20" t="s">
        <v>1598</v>
      </c>
      <c r="O924" s="20" t="s">
        <v>27</v>
      </c>
      <c r="P924" s="21" t="s">
        <v>3245</v>
      </c>
      <c r="Q924" s="20"/>
      <c r="R924" s="20" t="s">
        <v>5086</v>
      </c>
      <c r="S924" s="20"/>
      <c r="T924" s="20" t="s">
        <v>6318</v>
      </c>
      <c r="U924" s="20"/>
      <c r="V924" s="20"/>
    </row>
    <row r="925" spans="2:22" ht="34">
      <c r="B925" s="11" t="s">
        <v>5087</v>
      </c>
      <c r="C925" s="12" t="s">
        <v>184</v>
      </c>
      <c r="D925" s="13" t="s">
        <v>516</v>
      </c>
      <c r="E925" s="24">
        <v>100</v>
      </c>
      <c r="F925" s="25">
        <f>Table2[[#This Row],[Price]]/Table2[[#This Row],[Tot Ht Area]]</f>
        <v>2.0072260136491368E-2</v>
      </c>
      <c r="G925" s="16">
        <v>4982</v>
      </c>
      <c r="H925" s="16">
        <v>5234</v>
      </c>
      <c r="I925" s="17" t="s">
        <v>5088</v>
      </c>
      <c r="J925" s="18" t="s">
        <v>100</v>
      </c>
      <c r="K925" s="19" t="s">
        <v>37</v>
      </c>
      <c r="L925" s="19"/>
      <c r="M925" s="19" t="s">
        <v>5089</v>
      </c>
      <c r="N925" s="20" t="s">
        <v>1598</v>
      </c>
      <c r="O925" s="20" t="s">
        <v>27</v>
      </c>
      <c r="P925" s="21" t="s">
        <v>5090</v>
      </c>
      <c r="Q925" s="20" t="s">
        <v>5091</v>
      </c>
      <c r="R925" s="20" t="s">
        <v>5092</v>
      </c>
      <c r="S925" s="20"/>
      <c r="T925" s="20" t="s">
        <v>6318</v>
      </c>
      <c r="U925" s="20"/>
      <c r="V925" s="20"/>
    </row>
    <row r="926" spans="2:22" ht="34">
      <c r="B926" s="11" t="s">
        <v>5093</v>
      </c>
      <c r="C926" s="12" t="s">
        <v>184</v>
      </c>
      <c r="D926" s="13" t="s">
        <v>982</v>
      </c>
      <c r="E926" s="24">
        <v>100</v>
      </c>
      <c r="F926" s="25">
        <f>Table2[[#This Row],[Price]]/Table2[[#This Row],[Tot Ht Area]]</f>
        <v>8.8731144631765749E-3</v>
      </c>
      <c r="G926" s="16">
        <v>11270</v>
      </c>
      <c r="H926" s="16">
        <v>12893</v>
      </c>
      <c r="I926" s="17" t="s">
        <v>5088</v>
      </c>
      <c r="J926" s="18" t="s">
        <v>358</v>
      </c>
      <c r="K926" s="19" t="s">
        <v>101</v>
      </c>
      <c r="L926" s="19"/>
      <c r="M926" s="19" t="s">
        <v>5094</v>
      </c>
      <c r="N926" s="20" t="s">
        <v>1598</v>
      </c>
      <c r="O926" s="20" t="s">
        <v>27</v>
      </c>
      <c r="P926" s="21" t="s">
        <v>5090</v>
      </c>
      <c r="Q926" s="20" t="s">
        <v>5095</v>
      </c>
      <c r="R926" s="20" t="s">
        <v>5096</v>
      </c>
      <c r="S926" s="20"/>
      <c r="T926" s="20" t="s">
        <v>6318</v>
      </c>
      <c r="U926" s="20"/>
      <c r="V926" s="20"/>
    </row>
    <row r="927" spans="2:22" ht="17">
      <c r="B927" s="11" t="s">
        <v>5097</v>
      </c>
      <c r="C927" s="12" t="s">
        <v>184</v>
      </c>
      <c r="D927" s="13" t="s">
        <v>177</v>
      </c>
      <c r="E927" s="24">
        <v>1275000</v>
      </c>
      <c r="F927" s="25">
        <f>Table2[[#This Row],[Price]]/Table2[[#This Row],[Tot Ht Area]]</f>
        <v>211.09271523178808</v>
      </c>
      <c r="G927" s="16">
        <v>6040</v>
      </c>
      <c r="H927" s="16">
        <v>7498</v>
      </c>
      <c r="I927" s="17" t="s">
        <v>5098</v>
      </c>
      <c r="J927" s="18" t="s">
        <v>379</v>
      </c>
      <c r="K927" s="19" t="s">
        <v>48</v>
      </c>
      <c r="L927" s="19"/>
      <c r="M927" s="19" t="s">
        <v>5099</v>
      </c>
      <c r="N927" s="20" t="s">
        <v>1598</v>
      </c>
      <c r="O927" s="20" t="s">
        <v>27</v>
      </c>
      <c r="P927" s="21" t="s">
        <v>3021</v>
      </c>
      <c r="Q927" s="20"/>
      <c r="R927" s="20" t="s">
        <v>5100</v>
      </c>
      <c r="S927" s="20"/>
      <c r="T927" s="20"/>
      <c r="U927" s="20"/>
      <c r="V927" s="20"/>
    </row>
    <row r="928" spans="2:22" ht="17">
      <c r="B928" s="11" t="s">
        <v>5101</v>
      </c>
      <c r="C928" s="12" t="s">
        <v>184</v>
      </c>
      <c r="D928" s="13" t="s">
        <v>372</v>
      </c>
      <c r="E928" s="24">
        <v>2900000</v>
      </c>
      <c r="F928" s="25">
        <f>Table2[[#This Row],[Price]]/Table2[[#This Row],[Tot Ht Area]]</f>
        <v>145.3269857178652</v>
      </c>
      <c r="G928" s="16">
        <v>19955</v>
      </c>
      <c r="H928" s="16">
        <v>20099</v>
      </c>
      <c r="I928" s="17" t="s">
        <v>5102</v>
      </c>
      <c r="J928" s="18" t="s">
        <v>688</v>
      </c>
      <c r="K928" s="19" t="s">
        <v>48</v>
      </c>
      <c r="L928" s="19"/>
      <c r="M928" s="19" t="s">
        <v>5103</v>
      </c>
      <c r="N928" s="20" t="s">
        <v>1598</v>
      </c>
      <c r="O928" s="20" t="s">
        <v>27</v>
      </c>
      <c r="P928" s="21" t="s">
        <v>5104</v>
      </c>
      <c r="Q928" s="20"/>
      <c r="R928" s="20" t="s">
        <v>5105</v>
      </c>
      <c r="S928" s="20"/>
      <c r="T928" s="20"/>
      <c r="U928" s="20"/>
      <c r="V928" s="20"/>
    </row>
    <row r="929" spans="2:22" ht="17">
      <c r="B929" s="11" t="s">
        <v>5106</v>
      </c>
      <c r="C929" s="12" t="s">
        <v>184</v>
      </c>
      <c r="D929" s="13" t="s">
        <v>474</v>
      </c>
      <c r="E929" s="24">
        <v>780000</v>
      </c>
      <c r="F929" s="25">
        <f>Table2[[#This Row],[Price]]/Table2[[#This Row],[Tot Ht Area]]</f>
        <v>191.55206286836935</v>
      </c>
      <c r="G929" s="16">
        <v>4072</v>
      </c>
      <c r="H929" s="16">
        <v>4240</v>
      </c>
      <c r="I929" s="17" t="s">
        <v>5107</v>
      </c>
      <c r="J929" s="18" t="s">
        <v>716</v>
      </c>
      <c r="K929" s="19" t="s">
        <v>37</v>
      </c>
      <c r="L929" s="19"/>
      <c r="M929" s="19" t="s">
        <v>5108</v>
      </c>
      <c r="N929" s="20" t="s">
        <v>1598</v>
      </c>
      <c r="O929" s="20" t="s">
        <v>27</v>
      </c>
      <c r="P929" s="21" t="s">
        <v>5109</v>
      </c>
      <c r="Q929" s="20"/>
      <c r="R929" s="20" t="s">
        <v>5110</v>
      </c>
      <c r="S929" s="20"/>
      <c r="T929" s="20"/>
      <c r="U929" s="20"/>
      <c r="V929" s="20"/>
    </row>
    <row r="930" spans="2:22" ht="34">
      <c r="B930" s="11" t="s">
        <v>5111</v>
      </c>
      <c r="C930" s="12" t="s">
        <v>184</v>
      </c>
      <c r="D930" s="13" t="s">
        <v>207</v>
      </c>
      <c r="E930" s="24">
        <v>525000</v>
      </c>
      <c r="F930" s="25">
        <f>Table2[[#This Row],[Price]]/Table2[[#This Row],[Tot Ht Area]]</f>
        <v>198.86363636363637</v>
      </c>
      <c r="G930" s="16">
        <v>2640</v>
      </c>
      <c r="H930" s="16">
        <v>3080</v>
      </c>
      <c r="I930" s="17" t="s">
        <v>5112</v>
      </c>
      <c r="J930" s="18" t="s">
        <v>1116</v>
      </c>
      <c r="K930" s="19" t="s">
        <v>37</v>
      </c>
      <c r="L930" s="19"/>
      <c r="M930" s="19" t="s">
        <v>5113</v>
      </c>
      <c r="N930" s="20" t="s">
        <v>1598</v>
      </c>
      <c r="O930" s="20" t="s">
        <v>27</v>
      </c>
      <c r="P930" s="21" t="s">
        <v>5114</v>
      </c>
      <c r="Q930" s="20"/>
      <c r="R930" s="20" t="s">
        <v>5115</v>
      </c>
      <c r="S930" s="20"/>
      <c r="T930" s="20"/>
      <c r="U930" s="20"/>
      <c r="V930" s="20"/>
    </row>
    <row r="931" spans="2:22" ht="34">
      <c r="B931" s="11" t="s">
        <v>5116</v>
      </c>
      <c r="C931" s="12" t="s">
        <v>184</v>
      </c>
      <c r="D931" s="13" t="s">
        <v>45</v>
      </c>
      <c r="E931" s="24">
        <v>1397500</v>
      </c>
      <c r="F931" s="25">
        <f>Table2[[#This Row],[Price]]/Table2[[#This Row],[Tot Ht Area]]</f>
        <v>172</v>
      </c>
      <c r="G931" s="16">
        <v>8125</v>
      </c>
      <c r="H931" s="16">
        <v>8365</v>
      </c>
      <c r="I931" s="17" t="s">
        <v>5117</v>
      </c>
      <c r="J931" s="18" t="s">
        <v>47</v>
      </c>
      <c r="K931" s="19" t="s">
        <v>48</v>
      </c>
      <c r="L931" s="19"/>
      <c r="M931" s="19" t="s">
        <v>5118</v>
      </c>
      <c r="N931" s="20" t="s">
        <v>1598</v>
      </c>
      <c r="O931" s="20" t="s">
        <v>27</v>
      </c>
      <c r="P931" s="21" t="s">
        <v>5119</v>
      </c>
      <c r="Q931" s="20"/>
      <c r="R931" s="20" t="s">
        <v>5120</v>
      </c>
      <c r="S931" s="20"/>
      <c r="T931" s="20"/>
      <c r="U931" s="20"/>
      <c r="V931" s="20"/>
    </row>
    <row r="932" spans="2:22" ht="17">
      <c r="B932" s="11" t="s">
        <v>5121</v>
      </c>
      <c r="C932" s="12" t="s">
        <v>184</v>
      </c>
      <c r="D932" s="13" t="s">
        <v>729</v>
      </c>
      <c r="E932" s="24">
        <v>4495000</v>
      </c>
      <c r="F932" s="25">
        <f>Table2[[#This Row],[Price]]/Table2[[#This Row],[Tot Ht Area]]</f>
        <v>553.23076923076928</v>
      </c>
      <c r="G932" s="16">
        <v>8125</v>
      </c>
      <c r="H932" s="16">
        <v>8380</v>
      </c>
      <c r="I932" s="17" t="s">
        <v>5122</v>
      </c>
      <c r="J932" s="18" t="s">
        <v>47</v>
      </c>
      <c r="K932" s="19" t="s">
        <v>48</v>
      </c>
      <c r="L932" s="19"/>
      <c r="M932" s="19" t="s">
        <v>5123</v>
      </c>
      <c r="N932" s="20" t="s">
        <v>1598</v>
      </c>
      <c r="O932" s="20" t="s">
        <v>27</v>
      </c>
      <c r="P932" s="21" t="s">
        <v>5124</v>
      </c>
      <c r="Q932" s="20"/>
      <c r="R932" s="20" t="s">
        <v>5125</v>
      </c>
      <c r="S932" s="20"/>
      <c r="T932" s="20"/>
      <c r="U932" s="20"/>
      <c r="V932" s="20"/>
    </row>
    <row r="933" spans="2:22" ht="17">
      <c r="B933" s="11" t="s">
        <v>5126</v>
      </c>
      <c r="C933" s="12" t="s">
        <v>184</v>
      </c>
      <c r="D933" s="13" t="s">
        <v>45</v>
      </c>
      <c r="E933" s="24">
        <v>658000</v>
      </c>
      <c r="F933" s="25">
        <f>Table2[[#This Row],[Price]]/Table2[[#This Row],[Tot Ht Area]]</f>
        <v>133.90313390313389</v>
      </c>
      <c r="G933" s="16">
        <v>4914</v>
      </c>
      <c r="H933" s="16">
        <v>4914</v>
      </c>
      <c r="I933" s="17" t="s">
        <v>5127</v>
      </c>
      <c r="J933" s="18" t="s">
        <v>47</v>
      </c>
      <c r="K933" s="19" t="s">
        <v>48</v>
      </c>
      <c r="L933" s="19"/>
      <c r="M933" s="19" t="s">
        <v>5128</v>
      </c>
      <c r="N933" s="20" t="s">
        <v>1598</v>
      </c>
      <c r="O933" s="20" t="s">
        <v>27</v>
      </c>
      <c r="P933" s="21" t="s">
        <v>5129</v>
      </c>
      <c r="Q933" s="20"/>
      <c r="R933" s="20" t="s">
        <v>5130</v>
      </c>
      <c r="S933" s="20"/>
      <c r="T933" s="20"/>
      <c r="U933" s="20"/>
      <c r="V933" s="20"/>
    </row>
    <row r="934" spans="2:22" ht="17">
      <c r="B934" s="42"/>
      <c r="C934" s="12" t="s">
        <v>184</v>
      </c>
      <c r="D934" s="13" t="s">
        <v>223</v>
      </c>
      <c r="E934" s="24">
        <v>500000</v>
      </c>
      <c r="F934" s="25">
        <f>Table2[[#This Row],[Price]]/Table2[[#This Row],[Tot Ht Area]]</f>
        <v>111.16051578479325</v>
      </c>
      <c r="G934" s="16">
        <v>4498</v>
      </c>
      <c r="H934" s="16">
        <v>4552</v>
      </c>
      <c r="I934" s="17" t="s">
        <v>5131</v>
      </c>
      <c r="J934" s="18" t="s">
        <v>287</v>
      </c>
      <c r="K934" s="19" t="s">
        <v>48</v>
      </c>
      <c r="L934" s="19"/>
      <c r="M934" s="19" t="s">
        <v>5132</v>
      </c>
      <c r="N934" s="20" t="s">
        <v>1598</v>
      </c>
      <c r="O934" s="20" t="s">
        <v>27</v>
      </c>
      <c r="P934" s="21" t="s">
        <v>5133</v>
      </c>
      <c r="Q934" s="20"/>
      <c r="R934" s="20"/>
      <c r="S934" s="20"/>
      <c r="T934" s="20"/>
      <c r="U934" s="20"/>
      <c r="V934" s="20"/>
    </row>
    <row r="935" spans="2:22" ht="17">
      <c r="B935" s="42"/>
      <c r="C935" s="12" t="s">
        <v>184</v>
      </c>
      <c r="D935" s="13" t="s">
        <v>64</v>
      </c>
      <c r="E935" s="24"/>
      <c r="F935" s="25">
        <f>Table2[[#This Row],[Price]]/Table2[[#This Row],[Tot Ht Area]]</f>
        <v>0</v>
      </c>
      <c r="G935" s="16">
        <v>9504</v>
      </c>
      <c r="H935" s="16">
        <v>10199</v>
      </c>
      <c r="I935" s="17" t="s">
        <v>5134</v>
      </c>
      <c r="J935" s="18" t="s">
        <v>47</v>
      </c>
      <c r="K935" s="19" t="s">
        <v>48</v>
      </c>
      <c r="L935" s="19"/>
      <c r="M935" s="19" t="s">
        <v>5135</v>
      </c>
      <c r="N935" s="20" t="s">
        <v>1598</v>
      </c>
      <c r="O935" s="20" t="s">
        <v>27</v>
      </c>
      <c r="P935" s="21" t="s">
        <v>5136</v>
      </c>
      <c r="Q935" s="20"/>
      <c r="R935" s="20"/>
      <c r="S935" s="20"/>
      <c r="T935" s="20"/>
      <c r="U935" s="20"/>
      <c r="V935" s="20"/>
    </row>
    <row r="936" spans="2:22" ht="17">
      <c r="B936" s="11" t="s">
        <v>5137</v>
      </c>
      <c r="C936" s="12" t="s">
        <v>184</v>
      </c>
      <c r="D936" s="13" t="s">
        <v>64</v>
      </c>
      <c r="E936" s="24">
        <v>100</v>
      </c>
      <c r="F936" s="25">
        <f>Table2[[#This Row],[Price]]/Table2[[#This Row],[Tot Ht Area]]</f>
        <v>2.6109660574412531E-2</v>
      </c>
      <c r="G936" s="16">
        <v>3830</v>
      </c>
      <c r="H936" s="16">
        <v>4030</v>
      </c>
      <c r="I936" s="17" t="s">
        <v>5138</v>
      </c>
      <c r="J936" s="18" t="s">
        <v>23</v>
      </c>
      <c r="K936" s="19" t="s">
        <v>48</v>
      </c>
      <c r="L936" s="19"/>
      <c r="M936" s="19" t="s">
        <v>5139</v>
      </c>
      <c r="N936" s="20" t="s">
        <v>1598</v>
      </c>
      <c r="O936" s="20" t="s">
        <v>27</v>
      </c>
      <c r="P936" s="21" t="s">
        <v>5140</v>
      </c>
      <c r="Q936" s="20"/>
      <c r="R936" s="20" t="s">
        <v>5141</v>
      </c>
      <c r="S936" s="20"/>
      <c r="T936" s="20" t="s">
        <v>6318</v>
      </c>
      <c r="U936" s="20"/>
      <c r="V936" s="20"/>
    </row>
    <row r="937" spans="2:22" ht="17">
      <c r="B937" s="11" t="s">
        <v>5142</v>
      </c>
      <c r="C937" s="12" t="s">
        <v>184</v>
      </c>
      <c r="D937" s="13" t="s">
        <v>428</v>
      </c>
      <c r="E937" s="24">
        <v>100</v>
      </c>
      <c r="F937" s="25">
        <f>Table2[[#This Row],[Price]]/Table2[[#This Row],[Tot Ht Area]]</f>
        <v>3.4340659340659344E-2</v>
      </c>
      <c r="G937" s="16">
        <v>2912</v>
      </c>
      <c r="H937" s="16">
        <v>2912</v>
      </c>
      <c r="I937" s="17" t="s">
        <v>5143</v>
      </c>
      <c r="J937" s="18" t="s">
        <v>400</v>
      </c>
      <c r="K937" s="19" t="s">
        <v>37</v>
      </c>
      <c r="L937" s="19"/>
      <c r="M937" s="19" t="s">
        <v>5144</v>
      </c>
      <c r="N937" s="20" t="s">
        <v>1598</v>
      </c>
      <c r="O937" s="20" t="s">
        <v>27</v>
      </c>
      <c r="P937" s="21" t="s">
        <v>5145</v>
      </c>
      <c r="Q937" s="20"/>
      <c r="R937" s="20" t="s">
        <v>5146</v>
      </c>
      <c r="S937" s="20"/>
      <c r="T937" s="20" t="s">
        <v>6318</v>
      </c>
      <c r="U937" s="20"/>
      <c r="V937" s="20"/>
    </row>
    <row r="938" spans="2:22" ht="34">
      <c r="B938" s="11" t="s">
        <v>5147</v>
      </c>
      <c r="C938" s="12" t="s">
        <v>184</v>
      </c>
      <c r="D938" s="13" t="s">
        <v>1860</v>
      </c>
      <c r="E938" s="24">
        <v>776400</v>
      </c>
      <c r="F938" s="25">
        <f>Table2[[#This Row],[Price]]/Table2[[#This Row],[Tot Ht Area]]</f>
        <v>321.35761589403972</v>
      </c>
      <c r="G938" s="16">
        <v>2416</v>
      </c>
      <c r="H938" s="16">
        <v>2452</v>
      </c>
      <c r="I938" s="17" t="s">
        <v>5148</v>
      </c>
      <c r="J938" s="18" t="s">
        <v>209</v>
      </c>
      <c r="K938" s="19" t="s">
        <v>48</v>
      </c>
      <c r="L938" s="19"/>
      <c r="M938" s="19" t="s">
        <v>5149</v>
      </c>
      <c r="N938" s="20" t="s">
        <v>1598</v>
      </c>
      <c r="O938" s="20" t="s">
        <v>27</v>
      </c>
      <c r="P938" s="21" t="s">
        <v>5150</v>
      </c>
      <c r="Q938" s="20"/>
      <c r="R938" s="20" t="s">
        <v>5151</v>
      </c>
      <c r="S938" s="20"/>
      <c r="T938" s="20"/>
      <c r="U938" s="20"/>
      <c r="V938" s="20"/>
    </row>
    <row r="939" spans="2:22" ht="17">
      <c r="B939" s="11" t="s">
        <v>5152</v>
      </c>
      <c r="C939" s="12" t="s">
        <v>184</v>
      </c>
      <c r="D939" s="13" t="s">
        <v>336</v>
      </c>
      <c r="E939" s="24">
        <v>100</v>
      </c>
      <c r="F939" s="25">
        <f>Table2[[#This Row],[Price]]/Table2[[#This Row],[Tot Ht Area]]</f>
        <v>1.658374792703151E-2</v>
      </c>
      <c r="G939" s="16">
        <v>6030</v>
      </c>
      <c r="H939" s="16">
        <v>6030</v>
      </c>
      <c r="I939" s="17" t="s">
        <v>5153</v>
      </c>
      <c r="J939" s="18" t="s">
        <v>316</v>
      </c>
      <c r="K939" s="19" t="s">
        <v>37</v>
      </c>
      <c r="L939" s="19"/>
      <c r="M939" s="19" t="s">
        <v>5154</v>
      </c>
      <c r="N939" s="20" t="s">
        <v>1598</v>
      </c>
      <c r="O939" s="20" t="s">
        <v>27</v>
      </c>
      <c r="P939" s="21" t="s">
        <v>5155</v>
      </c>
      <c r="Q939" s="20"/>
      <c r="R939" s="20" t="s">
        <v>5156</v>
      </c>
      <c r="S939" s="20"/>
      <c r="T939" s="20" t="s">
        <v>6318</v>
      </c>
      <c r="U939" s="20"/>
      <c r="V939" s="20"/>
    </row>
    <row r="940" spans="2:22" ht="34">
      <c r="B940" s="11" t="s">
        <v>5157</v>
      </c>
      <c r="C940" s="12" t="s">
        <v>184</v>
      </c>
      <c r="D940" s="13" t="s">
        <v>149</v>
      </c>
      <c r="E940" s="24">
        <v>5712000</v>
      </c>
      <c r="F940" s="25">
        <f>Table2[[#This Row],[Price]]/Table2[[#This Row],[Tot Ht Area]]</f>
        <v>383.30425446248825</v>
      </c>
      <c r="G940" s="16">
        <v>14902</v>
      </c>
      <c r="H940" s="16">
        <v>15687</v>
      </c>
      <c r="I940" s="17" t="s">
        <v>5158</v>
      </c>
      <c r="J940" s="18" t="s">
        <v>2230</v>
      </c>
      <c r="K940" s="19" t="s">
        <v>48</v>
      </c>
      <c r="L940" s="19"/>
      <c r="M940" s="19" t="s">
        <v>5159</v>
      </c>
      <c r="N940" s="20" t="s">
        <v>1598</v>
      </c>
      <c r="O940" s="20" t="s">
        <v>27</v>
      </c>
      <c r="P940" s="21" t="s">
        <v>5160</v>
      </c>
      <c r="Q940" s="20"/>
      <c r="R940" s="20" t="s">
        <v>5161</v>
      </c>
      <c r="S940" s="20"/>
      <c r="T940" s="20"/>
      <c r="U940" s="20"/>
      <c r="V940" s="20"/>
    </row>
    <row r="941" spans="2:22" ht="17">
      <c r="B941" s="11" t="s">
        <v>5162</v>
      </c>
      <c r="C941" s="12" t="s">
        <v>184</v>
      </c>
      <c r="D941" s="13" t="s">
        <v>1399</v>
      </c>
      <c r="E941" s="24">
        <v>11250000</v>
      </c>
      <c r="F941" s="25">
        <f>Table2[[#This Row],[Price]]/Table2[[#This Row],[Tot Ht Area]]</f>
        <v>450.2521411990715</v>
      </c>
      <c r="G941" s="16">
        <v>24986</v>
      </c>
      <c r="H941" s="16">
        <v>25698</v>
      </c>
      <c r="I941" s="17" t="s">
        <v>5163</v>
      </c>
      <c r="J941" s="18" t="s">
        <v>201</v>
      </c>
      <c r="K941" s="19" t="s">
        <v>48</v>
      </c>
      <c r="L941" s="19"/>
      <c r="M941" s="19" t="s">
        <v>5164</v>
      </c>
      <c r="N941" s="20" t="s">
        <v>1598</v>
      </c>
      <c r="O941" s="20" t="s">
        <v>27</v>
      </c>
      <c r="P941" s="21" t="s">
        <v>5165</v>
      </c>
      <c r="Q941" s="20"/>
      <c r="R941" s="20" t="s">
        <v>5166</v>
      </c>
      <c r="S941" s="20"/>
      <c r="T941" s="20"/>
      <c r="U941" s="20"/>
      <c r="V941" s="20"/>
    </row>
    <row r="942" spans="2:22" ht="17">
      <c r="B942" s="11" t="s">
        <v>5167</v>
      </c>
      <c r="C942" s="12" t="s">
        <v>184</v>
      </c>
      <c r="D942" s="13" t="s">
        <v>722</v>
      </c>
      <c r="E942" s="24">
        <v>100</v>
      </c>
      <c r="F942" s="25">
        <f>Table2[[#This Row],[Price]]/Table2[[#This Row],[Tot Ht Area]]</f>
        <v>4.084967320261438E-2</v>
      </c>
      <c r="G942" s="16">
        <v>2448</v>
      </c>
      <c r="H942" s="16">
        <v>2688</v>
      </c>
      <c r="I942" s="17" t="s">
        <v>5168</v>
      </c>
      <c r="J942" s="18" t="s">
        <v>627</v>
      </c>
      <c r="K942" s="19" t="s">
        <v>48</v>
      </c>
      <c r="L942" s="19"/>
      <c r="M942" s="19" t="s">
        <v>5169</v>
      </c>
      <c r="N942" s="20" t="s">
        <v>1598</v>
      </c>
      <c r="O942" s="20" t="s">
        <v>27</v>
      </c>
      <c r="P942" s="21" t="s">
        <v>5170</v>
      </c>
      <c r="Q942" s="20"/>
      <c r="R942" s="20" t="s">
        <v>5171</v>
      </c>
      <c r="S942" s="20"/>
      <c r="T942" s="20" t="s">
        <v>6318</v>
      </c>
      <c r="U942" s="20"/>
      <c r="V942" s="20"/>
    </row>
    <row r="943" spans="2:22" ht="17">
      <c r="B943" s="11" t="s">
        <v>5172</v>
      </c>
      <c r="C943" s="12" t="s">
        <v>184</v>
      </c>
      <c r="D943" s="13" t="s">
        <v>356</v>
      </c>
      <c r="E943" s="24">
        <v>350000</v>
      </c>
      <c r="F943" s="25">
        <f>Table2[[#This Row],[Price]]/Table2[[#This Row],[Tot Ht Area]]</f>
        <v>167.78523489932886</v>
      </c>
      <c r="G943" s="16">
        <v>2086</v>
      </c>
      <c r="H943" s="16">
        <v>2086</v>
      </c>
      <c r="I943" s="17" t="s">
        <v>5173</v>
      </c>
      <c r="J943" s="18" t="s">
        <v>1624</v>
      </c>
      <c r="K943" s="19" t="s">
        <v>37</v>
      </c>
      <c r="L943" s="19"/>
      <c r="M943" s="19" t="s">
        <v>5174</v>
      </c>
      <c r="N943" s="20" t="s">
        <v>1598</v>
      </c>
      <c r="O943" s="20" t="s">
        <v>27</v>
      </c>
      <c r="P943" s="21" t="s">
        <v>3042</v>
      </c>
      <c r="Q943" s="20"/>
      <c r="R943" s="20" t="s">
        <v>5175</v>
      </c>
      <c r="S943" s="20"/>
      <c r="T943" s="20"/>
      <c r="U943" s="20"/>
      <c r="V943" s="20"/>
    </row>
    <row r="944" spans="2:22" ht="34">
      <c r="B944" s="11" t="s">
        <v>5176</v>
      </c>
      <c r="C944" s="12" t="s">
        <v>184</v>
      </c>
      <c r="D944" s="13" t="s">
        <v>276</v>
      </c>
      <c r="E944" s="24">
        <v>100</v>
      </c>
      <c r="F944" s="25">
        <f>Table2[[#This Row],[Price]]/Table2[[#This Row],[Tot Ht Area]]</f>
        <v>4.4642857142857144E-2</v>
      </c>
      <c r="G944" s="16">
        <v>2240</v>
      </c>
      <c r="H944" s="16">
        <v>2534</v>
      </c>
      <c r="I944" s="17" t="s">
        <v>5177</v>
      </c>
      <c r="J944" s="18" t="s">
        <v>269</v>
      </c>
      <c r="K944" s="19" t="s">
        <v>37</v>
      </c>
      <c r="L944" s="19"/>
      <c r="M944" s="19" t="s">
        <v>5178</v>
      </c>
      <c r="N944" s="20" t="s">
        <v>1598</v>
      </c>
      <c r="O944" s="20" t="s">
        <v>27</v>
      </c>
      <c r="P944" s="21" t="s">
        <v>4369</v>
      </c>
      <c r="Q944" s="20"/>
      <c r="R944" s="20" t="s">
        <v>5179</v>
      </c>
      <c r="S944" s="20"/>
      <c r="T944" s="20" t="s">
        <v>6318</v>
      </c>
      <c r="U944" s="20"/>
      <c r="V944" s="20"/>
    </row>
    <row r="945" spans="2:22" ht="34">
      <c r="B945" s="11" t="s">
        <v>5180</v>
      </c>
      <c r="C945" s="12" t="s">
        <v>184</v>
      </c>
      <c r="D945" s="13" t="s">
        <v>1641</v>
      </c>
      <c r="E945" s="24">
        <v>1325000</v>
      </c>
      <c r="F945" s="25">
        <f>Table2[[#This Row],[Price]]/Table2[[#This Row],[Tot Ht Area]]</f>
        <v>401.39351711602546</v>
      </c>
      <c r="G945" s="16">
        <v>3301</v>
      </c>
      <c r="H945" s="16">
        <v>4393</v>
      </c>
      <c r="I945" s="17" t="s">
        <v>5181</v>
      </c>
      <c r="J945" s="18" t="s">
        <v>23</v>
      </c>
      <c r="K945" s="19" t="s">
        <v>48</v>
      </c>
      <c r="L945" s="19"/>
      <c r="M945" s="19" t="s">
        <v>5182</v>
      </c>
      <c r="N945" s="20" t="s">
        <v>1598</v>
      </c>
      <c r="O945" s="20" t="s">
        <v>27</v>
      </c>
      <c r="P945" s="21" t="s">
        <v>5183</v>
      </c>
      <c r="Q945" s="20"/>
      <c r="R945" s="20" t="s">
        <v>5184</v>
      </c>
      <c r="S945" s="20"/>
      <c r="T945" s="20"/>
      <c r="U945" s="20"/>
      <c r="V945" s="20"/>
    </row>
    <row r="946" spans="2:22" ht="17">
      <c r="B946" s="11" t="s">
        <v>5185</v>
      </c>
      <c r="C946" s="12" t="s">
        <v>184</v>
      </c>
      <c r="D946" s="13" t="s">
        <v>55</v>
      </c>
      <c r="E946" s="24">
        <v>2045200</v>
      </c>
      <c r="F946" s="25">
        <f>Table2[[#This Row],[Price]]/Table2[[#This Row],[Tot Ht Area]]</f>
        <v>380.43154761904759</v>
      </c>
      <c r="G946" s="16">
        <v>5376</v>
      </c>
      <c r="H946" s="16">
        <v>5520</v>
      </c>
      <c r="I946" s="17" t="s">
        <v>4502</v>
      </c>
      <c r="J946" s="18" t="s">
        <v>415</v>
      </c>
      <c r="K946" s="19" t="s">
        <v>48</v>
      </c>
      <c r="L946" s="19"/>
      <c r="M946" s="19" t="s">
        <v>5186</v>
      </c>
      <c r="N946" s="20" t="s">
        <v>1598</v>
      </c>
      <c r="O946" s="20" t="s">
        <v>27</v>
      </c>
      <c r="P946" s="21" t="s">
        <v>4571</v>
      </c>
      <c r="Q946" s="20"/>
      <c r="R946" s="20" t="s">
        <v>5187</v>
      </c>
      <c r="S946" s="20"/>
      <c r="T946" s="20"/>
      <c r="U946" s="20"/>
      <c r="V946" s="20"/>
    </row>
    <row r="947" spans="2:22" ht="17">
      <c r="B947" s="11" t="s">
        <v>5188</v>
      </c>
      <c r="C947" s="12" t="s">
        <v>184</v>
      </c>
      <c r="D947" s="13" t="s">
        <v>591</v>
      </c>
      <c r="E947" s="24"/>
      <c r="F947" s="25">
        <f>Table2[[#This Row],[Price]]/Table2[[#This Row],[Tot Ht Area]]</f>
        <v>0</v>
      </c>
      <c r="G947" s="16">
        <v>7877</v>
      </c>
      <c r="H947" s="16">
        <v>7877</v>
      </c>
      <c r="I947" s="17" t="s">
        <v>5189</v>
      </c>
      <c r="J947" s="18" t="s">
        <v>57</v>
      </c>
      <c r="K947" s="19" t="s">
        <v>37</v>
      </c>
      <c r="L947" s="19"/>
      <c r="M947" s="19" t="s">
        <v>5190</v>
      </c>
      <c r="N947" s="20" t="s">
        <v>1598</v>
      </c>
      <c r="O947" s="20" t="s">
        <v>27</v>
      </c>
      <c r="P947" s="21" t="s">
        <v>5191</v>
      </c>
      <c r="Q947" s="20"/>
      <c r="R947" s="20" t="s">
        <v>5192</v>
      </c>
      <c r="S947" s="20"/>
      <c r="T947" s="20"/>
      <c r="U947" s="20"/>
      <c r="V947" s="20"/>
    </row>
    <row r="948" spans="2:22" ht="17">
      <c r="B948" s="11" t="s">
        <v>5193</v>
      </c>
      <c r="C948" s="12" t="s">
        <v>184</v>
      </c>
      <c r="D948" s="13" t="s">
        <v>253</v>
      </c>
      <c r="E948" s="24"/>
      <c r="F948" s="25">
        <f>Table2[[#This Row],[Price]]/Table2[[#This Row],[Tot Ht Area]]</f>
        <v>0</v>
      </c>
      <c r="G948" s="16">
        <v>4036</v>
      </c>
      <c r="H948" s="16">
        <v>4136</v>
      </c>
      <c r="I948" s="17" t="s">
        <v>5189</v>
      </c>
      <c r="J948" s="18" t="s">
        <v>1057</v>
      </c>
      <c r="K948" s="19" t="s">
        <v>37</v>
      </c>
      <c r="L948" s="19"/>
      <c r="M948" s="19" t="s">
        <v>5194</v>
      </c>
      <c r="N948" s="20" t="s">
        <v>1598</v>
      </c>
      <c r="O948" s="20" t="s">
        <v>27</v>
      </c>
      <c r="P948" s="21" t="s">
        <v>5191</v>
      </c>
      <c r="Q948" s="20"/>
      <c r="R948" s="20" t="s">
        <v>5195</v>
      </c>
      <c r="S948" s="20"/>
      <c r="T948" s="20"/>
      <c r="U948" s="20"/>
      <c r="V948" s="20"/>
    </row>
    <row r="949" spans="2:22" ht="17">
      <c r="B949" s="11" t="s">
        <v>5196</v>
      </c>
      <c r="C949" s="12" t="s">
        <v>184</v>
      </c>
      <c r="D949" s="13" t="s">
        <v>55</v>
      </c>
      <c r="E949" s="24">
        <v>937400</v>
      </c>
      <c r="F949" s="25">
        <f>Table2[[#This Row],[Price]]/Table2[[#This Row],[Tot Ht Area]]</f>
        <v>380.43831168831167</v>
      </c>
      <c r="G949" s="16">
        <v>2464</v>
      </c>
      <c r="H949" s="16">
        <v>2596</v>
      </c>
      <c r="I949" s="17" t="s">
        <v>4502</v>
      </c>
      <c r="J949" s="18" t="s">
        <v>75</v>
      </c>
      <c r="K949" s="19" t="s">
        <v>48</v>
      </c>
      <c r="L949" s="19"/>
      <c r="M949" s="19" t="s">
        <v>5197</v>
      </c>
      <c r="N949" s="20" t="s">
        <v>1598</v>
      </c>
      <c r="O949" s="20" t="s">
        <v>27</v>
      </c>
      <c r="P949" s="21" t="s">
        <v>4571</v>
      </c>
      <c r="Q949" s="20"/>
      <c r="R949" s="20" t="s">
        <v>5198</v>
      </c>
      <c r="S949" s="20"/>
      <c r="T949" s="20"/>
      <c r="U949" s="20"/>
      <c r="V949" s="20"/>
    </row>
    <row r="950" spans="2:22" ht="34">
      <c r="B950" s="11"/>
      <c r="C950" s="12" t="s">
        <v>20</v>
      </c>
      <c r="D950" s="13" t="s">
        <v>686</v>
      </c>
      <c r="E950" s="24">
        <v>6000000</v>
      </c>
      <c r="F950" s="25">
        <f>Table2[[#This Row],[Price]]/Table2[[#This Row],[Tot Ht Area]]</f>
        <v>456.20437956204381</v>
      </c>
      <c r="G950" s="16">
        <v>13152</v>
      </c>
      <c r="H950" s="16">
        <v>13152</v>
      </c>
      <c r="I950" s="17" t="s">
        <v>2577</v>
      </c>
      <c r="J950" s="18" t="s">
        <v>760</v>
      </c>
      <c r="K950" s="19" t="s">
        <v>172</v>
      </c>
      <c r="L950" s="19"/>
      <c r="M950" s="19" t="s">
        <v>5199</v>
      </c>
      <c r="N950" s="20" t="s">
        <v>1598</v>
      </c>
      <c r="O950" s="20" t="s">
        <v>27</v>
      </c>
      <c r="P950" s="21" t="s">
        <v>5200</v>
      </c>
      <c r="Q950" s="20"/>
      <c r="R950" s="20" t="s">
        <v>5201</v>
      </c>
      <c r="S950" s="20"/>
      <c r="T950" s="20"/>
      <c r="U950" s="20"/>
      <c r="V950" s="20"/>
    </row>
    <row r="951" spans="2:22" ht="34">
      <c r="B951" s="11" t="s">
        <v>5202</v>
      </c>
      <c r="C951" s="12" t="s">
        <v>20</v>
      </c>
      <c r="D951" s="13" t="s">
        <v>686</v>
      </c>
      <c r="E951" s="24">
        <v>1200000</v>
      </c>
      <c r="F951" s="25" t="e">
        <f>Table2[[#This Row],[Price]]/Table2[[#This Row],[Tot Ht Area]]</f>
        <v>#DIV/0!</v>
      </c>
      <c r="G951" s="16"/>
      <c r="H951" s="16">
        <v>10500</v>
      </c>
      <c r="I951" s="17" t="s">
        <v>5203</v>
      </c>
      <c r="J951" s="18" t="s">
        <v>385</v>
      </c>
      <c r="K951" s="19" t="s">
        <v>1320</v>
      </c>
      <c r="L951" s="19"/>
      <c r="M951" s="19" t="s">
        <v>5204</v>
      </c>
      <c r="N951" s="20" t="s">
        <v>1598</v>
      </c>
      <c r="O951" s="20" t="s">
        <v>27</v>
      </c>
      <c r="P951" s="21" t="s">
        <v>3042</v>
      </c>
      <c r="Q951" s="20"/>
      <c r="R951" s="20" t="s">
        <v>5205</v>
      </c>
      <c r="S951" s="20"/>
      <c r="T951" s="20"/>
      <c r="U951" s="20"/>
      <c r="V951" s="20"/>
    </row>
    <row r="952" spans="2:22" ht="17">
      <c r="B952" s="11" t="s">
        <v>5206</v>
      </c>
      <c r="C952" s="12" t="s">
        <v>20</v>
      </c>
      <c r="D952" s="13" t="s">
        <v>64</v>
      </c>
      <c r="E952" s="24">
        <v>2025000</v>
      </c>
      <c r="F952" s="25" t="e">
        <f>Table2[[#This Row],[Price]]/Table2[[#This Row],[Tot Ht Area]]</f>
        <v>#DIV/0!</v>
      </c>
      <c r="G952" s="16"/>
      <c r="H952" s="16">
        <v>21000</v>
      </c>
      <c r="I952" s="17" t="s">
        <v>5207</v>
      </c>
      <c r="J952" s="18" t="s">
        <v>135</v>
      </c>
      <c r="K952" s="19" t="s">
        <v>1320</v>
      </c>
      <c r="L952" s="19"/>
      <c r="M952" s="19" t="s">
        <v>5208</v>
      </c>
      <c r="N952" s="20" t="s">
        <v>1598</v>
      </c>
      <c r="O952" s="20" t="s">
        <v>27</v>
      </c>
      <c r="P952" s="21" t="s">
        <v>5209</v>
      </c>
      <c r="Q952" s="20"/>
      <c r="R952" s="20" t="s">
        <v>5210</v>
      </c>
      <c r="S952" s="20"/>
      <c r="T952" s="20"/>
      <c r="U952" s="20"/>
      <c r="V952" s="20"/>
    </row>
    <row r="953" spans="2:22" ht="34">
      <c r="B953" s="11" t="s">
        <v>5211</v>
      </c>
      <c r="C953" s="12" t="s">
        <v>20</v>
      </c>
      <c r="D953" s="13" t="s">
        <v>554</v>
      </c>
      <c r="E953" s="24">
        <v>15250000</v>
      </c>
      <c r="F953" s="25" t="e">
        <f>Table2[[#This Row],[Price]]/Table2[[#This Row],[Tot Ht Area]]</f>
        <v>#DIV/0!</v>
      </c>
      <c r="G953" s="16"/>
      <c r="H953" s="16">
        <v>129121</v>
      </c>
      <c r="I953" s="17" t="s">
        <v>5212</v>
      </c>
      <c r="J953" s="18" t="s">
        <v>57</v>
      </c>
      <c r="K953" s="19" t="s">
        <v>1716</v>
      </c>
      <c r="L953" s="19"/>
      <c r="M953" s="19" t="s">
        <v>5213</v>
      </c>
      <c r="N953" s="20" t="s">
        <v>1598</v>
      </c>
      <c r="O953" s="20" t="s">
        <v>27</v>
      </c>
      <c r="P953" s="21" t="s">
        <v>5214</v>
      </c>
      <c r="Q953" s="20"/>
      <c r="R953" s="20" t="s">
        <v>5215</v>
      </c>
      <c r="S953" s="20"/>
      <c r="T953" s="20"/>
      <c r="U953" s="20"/>
      <c r="V953" s="20"/>
    </row>
    <row r="954" spans="2:22" ht="34">
      <c r="B954" s="11" t="s">
        <v>5216</v>
      </c>
      <c r="C954" s="12" t="s">
        <v>20</v>
      </c>
      <c r="D954" s="13" t="s">
        <v>428</v>
      </c>
      <c r="E954" s="24">
        <v>1700000</v>
      </c>
      <c r="F954" s="25" t="e">
        <f>Table2[[#This Row],[Price]]/Table2[[#This Row],[Tot Ht Area]]</f>
        <v>#DIV/0!</v>
      </c>
      <c r="G954" s="16"/>
      <c r="H954" s="16">
        <v>16524</v>
      </c>
      <c r="I954" s="17" t="s">
        <v>5217</v>
      </c>
      <c r="J954" s="18" t="s">
        <v>2637</v>
      </c>
      <c r="K954" s="19" t="s">
        <v>1585</v>
      </c>
      <c r="L954" s="19"/>
      <c r="M954" s="19" t="s">
        <v>5218</v>
      </c>
      <c r="N954" s="20" t="s">
        <v>1598</v>
      </c>
      <c r="O954" s="20" t="s">
        <v>27</v>
      </c>
      <c r="P954" s="21" t="s">
        <v>5219</v>
      </c>
      <c r="Q954" s="20"/>
      <c r="R954" s="20" t="s">
        <v>5220</v>
      </c>
      <c r="S954" s="20"/>
      <c r="T954" s="20"/>
      <c r="U954" s="20"/>
      <c r="V954" s="20"/>
    </row>
    <row r="955" spans="2:22" ht="34">
      <c r="B955" s="11" t="s">
        <v>5221</v>
      </c>
      <c r="C955" s="12" t="s">
        <v>20</v>
      </c>
      <c r="D955" s="13" t="s">
        <v>779</v>
      </c>
      <c r="E955" s="24">
        <v>2150000</v>
      </c>
      <c r="F955" s="25">
        <f>Table2[[#This Row],[Price]]/Table2[[#This Row],[Tot Ht Area]]</f>
        <v>139.15857605177993</v>
      </c>
      <c r="G955" s="16">
        <v>15450</v>
      </c>
      <c r="H955" s="16">
        <v>15450</v>
      </c>
      <c r="I955" s="17" t="s">
        <v>5222</v>
      </c>
      <c r="J955" s="18" t="s">
        <v>241</v>
      </c>
      <c r="K955" s="19" t="s">
        <v>1630</v>
      </c>
      <c r="L955" s="19"/>
      <c r="M955" s="19" t="s">
        <v>5223</v>
      </c>
      <c r="N955" s="20" t="s">
        <v>1598</v>
      </c>
      <c r="O955" s="20" t="s">
        <v>27</v>
      </c>
      <c r="P955" s="21" t="s">
        <v>5224</v>
      </c>
      <c r="Q955" s="20"/>
      <c r="R955" s="20" t="s">
        <v>5225</v>
      </c>
      <c r="S955" s="20"/>
      <c r="T955" s="20"/>
      <c r="U955" s="20"/>
      <c r="V955" s="20"/>
    </row>
    <row r="956" spans="2:22" ht="34">
      <c r="B956" s="11" t="s">
        <v>5226</v>
      </c>
      <c r="C956" s="12" t="s">
        <v>20</v>
      </c>
      <c r="D956" s="13" t="s">
        <v>1490</v>
      </c>
      <c r="E956" s="24">
        <v>4700000</v>
      </c>
      <c r="F956" s="25">
        <f>Table2[[#This Row],[Price]]/Table2[[#This Row],[Tot Ht Area]]</f>
        <v>1093.2775063968365</v>
      </c>
      <c r="G956" s="16">
        <v>4299</v>
      </c>
      <c r="H956" s="16">
        <v>4299</v>
      </c>
      <c r="I956" s="17" t="s">
        <v>5227</v>
      </c>
      <c r="J956" s="18" t="s">
        <v>716</v>
      </c>
      <c r="K956" s="19" t="s">
        <v>172</v>
      </c>
      <c r="L956" s="19"/>
      <c r="M956" s="19" t="s">
        <v>5228</v>
      </c>
      <c r="N956" s="20" t="s">
        <v>1598</v>
      </c>
      <c r="O956" s="20" t="s">
        <v>27</v>
      </c>
      <c r="P956" s="21" t="s">
        <v>5229</v>
      </c>
      <c r="Q956" s="20"/>
      <c r="R956" s="20" t="s">
        <v>5230</v>
      </c>
      <c r="S956" s="20"/>
      <c r="T956" s="20"/>
      <c r="U956" s="20"/>
      <c r="V956" s="20"/>
    </row>
    <row r="957" spans="2:22" ht="34">
      <c r="B957" s="11" t="s">
        <v>5231</v>
      </c>
      <c r="C957" s="12" t="s">
        <v>20</v>
      </c>
      <c r="D957" s="13" t="s">
        <v>1490</v>
      </c>
      <c r="E957" s="24">
        <v>4700000</v>
      </c>
      <c r="F957" s="25">
        <f>Table2[[#This Row],[Price]]/Table2[[#This Row],[Tot Ht Area]]</f>
        <v>1196.2331382031052</v>
      </c>
      <c r="G957" s="16">
        <v>3929</v>
      </c>
      <c r="H957" s="16">
        <v>3929</v>
      </c>
      <c r="I957" s="17" t="s">
        <v>5227</v>
      </c>
      <c r="J957" s="18" t="s">
        <v>716</v>
      </c>
      <c r="K957" s="19" t="s">
        <v>172</v>
      </c>
      <c r="L957" s="19"/>
      <c r="M957" s="19" t="s">
        <v>5232</v>
      </c>
      <c r="N957" s="20" t="s">
        <v>1598</v>
      </c>
      <c r="O957" s="20" t="s">
        <v>27</v>
      </c>
      <c r="P957" s="21" t="s">
        <v>5229</v>
      </c>
      <c r="Q957" s="20"/>
      <c r="R957" s="20" t="s">
        <v>5233</v>
      </c>
      <c r="S957" s="20"/>
      <c r="T957" s="20"/>
      <c r="U957" s="20"/>
      <c r="V957" s="20"/>
    </row>
    <row r="958" spans="2:22" ht="17">
      <c r="B958" s="11" t="s">
        <v>5234</v>
      </c>
      <c r="C958" s="12" t="s">
        <v>20</v>
      </c>
      <c r="D958" s="13" t="s">
        <v>982</v>
      </c>
      <c r="E958" s="24">
        <v>1200000</v>
      </c>
      <c r="F958" s="25">
        <f>Table2[[#This Row],[Price]]/Table2[[#This Row],[Tot Ht Area]]</f>
        <v>258.73221216041395</v>
      </c>
      <c r="G958" s="16">
        <v>4638</v>
      </c>
      <c r="H958" s="16">
        <v>4638</v>
      </c>
      <c r="I958" s="17" t="s">
        <v>5235</v>
      </c>
      <c r="J958" s="18" t="s">
        <v>716</v>
      </c>
      <c r="K958" s="19" t="s">
        <v>172</v>
      </c>
      <c r="L958" s="19"/>
      <c r="M958" s="19" t="s">
        <v>5236</v>
      </c>
      <c r="N958" s="20" t="s">
        <v>1598</v>
      </c>
      <c r="O958" s="20" t="s">
        <v>27</v>
      </c>
      <c r="P958" s="21" t="s">
        <v>5237</v>
      </c>
      <c r="Q958" s="20"/>
      <c r="R958" s="20" t="s">
        <v>5238</v>
      </c>
      <c r="S958" s="20"/>
      <c r="T958" s="20"/>
      <c r="U958" s="20"/>
      <c r="V958" s="20"/>
    </row>
    <row r="959" spans="2:22" ht="34">
      <c r="B959" s="11" t="s">
        <v>5239</v>
      </c>
      <c r="C959" s="12" t="s">
        <v>20</v>
      </c>
      <c r="D959" s="13" t="s">
        <v>1490</v>
      </c>
      <c r="E959" s="24">
        <v>4700000</v>
      </c>
      <c r="F959" s="25">
        <f>Table2[[#This Row],[Price]]/Table2[[#This Row],[Tot Ht Area]]</f>
        <v>336.72445909156039</v>
      </c>
      <c r="G959" s="16">
        <v>13958</v>
      </c>
      <c r="H959" s="16">
        <v>13958</v>
      </c>
      <c r="I959" s="17" t="s">
        <v>5227</v>
      </c>
      <c r="J959" s="18" t="s">
        <v>760</v>
      </c>
      <c r="K959" s="19" t="s">
        <v>172</v>
      </c>
      <c r="L959" s="19"/>
      <c r="M959" s="19" t="s">
        <v>5240</v>
      </c>
      <c r="N959" s="20" t="s">
        <v>1598</v>
      </c>
      <c r="O959" s="20" t="s">
        <v>27</v>
      </c>
      <c r="P959" s="21" t="s">
        <v>5229</v>
      </c>
      <c r="Q959" s="20"/>
      <c r="R959" s="20" t="s">
        <v>5241</v>
      </c>
      <c r="S959" s="20"/>
      <c r="T959" s="20"/>
      <c r="U959" s="20"/>
      <c r="V959" s="20"/>
    </row>
    <row r="960" spans="2:22" ht="34">
      <c r="B960" s="11" t="s">
        <v>5242</v>
      </c>
      <c r="C960" s="12" t="s">
        <v>20</v>
      </c>
      <c r="D960" s="13" t="s">
        <v>1490</v>
      </c>
      <c r="E960" s="24">
        <v>4700000</v>
      </c>
      <c r="F960" s="25">
        <f>Table2[[#This Row],[Price]]/Table2[[#This Row],[Tot Ht Area]]</f>
        <v>2126.6968325791854</v>
      </c>
      <c r="G960" s="16">
        <v>2210</v>
      </c>
      <c r="H960" s="16">
        <v>2210</v>
      </c>
      <c r="I960" s="17" t="s">
        <v>5227</v>
      </c>
      <c r="J960" s="18" t="s">
        <v>760</v>
      </c>
      <c r="K960" s="19" t="s">
        <v>172</v>
      </c>
      <c r="L960" s="19"/>
      <c r="M960" s="19" t="s">
        <v>5243</v>
      </c>
      <c r="N960" s="20" t="s">
        <v>1598</v>
      </c>
      <c r="O960" s="20" t="s">
        <v>27</v>
      </c>
      <c r="P960" s="21" t="s">
        <v>5229</v>
      </c>
      <c r="Q960" s="20"/>
      <c r="R960" s="20" t="s">
        <v>5244</v>
      </c>
      <c r="S960" s="20"/>
      <c r="T960" s="20"/>
      <c r="U960" s="20"/>
      <c r="V960" s="20"/>
    </row>
    <row r="961" spans="1:22" ht="34">
      <c r="B961" s="11" t="s">
        <v>5245</v>
      </c>
      <c r="C961" s="12" t="s">
        <v>20</v>
      </c>
      <c r="D961" s="13" t="s">
        <v>1490</v>
      </c>
      <c r="E961" s="24">
        <v>4700000</v>
      </c>
      <c r="F961" s="25">
        <f>Table2[[#This Row],[Price]]/Table2[[#This Row],[Tot Ht Area]]</f>
        <v>2137.3351523419738</v>
      </c>
      <c r="G961" s="16">
        <v>2199</v>
      </c>
      <c r="H961" s="16">
        <v>2199</v>
      </c>
      <c r="I961" s="17" t="s">
        <v>5227</v>
      </c>
      <c r="J961" s="18" t="s">
        <v>760</v>
      </c>
      <c r="K961" s="19" t="s">
        <v>172</v>
      </c>
      <c r="L961" s="19"/>
      <c r="M961" s="19" t="s">
        <v>5246</v>
      </c>
      <c r="N961" s="20" t="s">
        <v>1598</v>
      </c>
      <c r="O961" s="20" t="s">
        <v>27</v>
      </c>
      <c r="P961" s="21" t="s">
        <v>5229</v>
      </c>
      <c r="Q961" s="20"/>
      <c r="R961" s="20" t="s">
        <v>5247</v>
      </c>
      <c r="S961" s="20"/>
      <c r="T961" s="20"/>
      <c r="U961" s="20"/>
      <c r="V961" s="20"/>
    </row>
    <row r="962" spans="1:22" ht="34">
      <c r="B962" s="11" t="s">
        <v>5248</v>
      </c>
      <c r="C962" s="12" t="s">
        <v>20</v>
      </c>
      <c r="D962" s="13" t="s">
        <v>1490</v>
      </c>
      <c r="E962" s="24">
        <v>4700000</v>
      </c>
      <c r="F962" s="25">
        <f>Table2[[#This Row],[Price]]/Table2[[#This Row],[Tot Ht Area]]</f>
        <v>1270.2702702702702</v>
      </c>
      <c r="G962" s="16">
        <v>3700</v>
      </c>
      <c r="H962" s="16">
        <v>3700</v>
      </c>
      <c r="I962" s="17" t="s">
        <v>5227</v>
      </c>
      <c r="J962" s="18" t="s">
        <v>400</v>
      </c>
      <c r="K962" s="19" t="s">
        <v>172</v>
      </c>
      <c r="L962" s="19"/>
      <c r="M962" s="19" t="s">
        <v>5249</v>
      </c>
      <c r="N962" s="20" t="s">
        <v>1598</v>
      </c>
      <c r="O962" s="20" t="s">
        <v>27</v>
      </c>
      <c r="P962" s="21" t="s">
        <v>5229</v>
      </c>
      <c r="Q962" s="20"/>
      <c r="R962" s="20" t="s">
        <v>5250</v>
      </c>
      <c r="S962" s="20"/>
      <c r="T962" s="20"/>
      <c r="U962" s="20"/>
      <c r="V962" s="20"/>
    </row>
    <row r="963" spans="1:22" ht="51">
      <c r="B963" s="11" t="s">
        <v>5251</v>
      </c>
      <c r="C963" s="12" t="s">
        <v>20</v>
      </c>
      <c r="D963" s="13" t="s">
        <v>925</v>
      </c>
      <c r="E963" s="24">
        <v>275000</v>
      </c>
      <c r="F963" s="25">
        <f>Table2[[#This Row],[Price]]/Table2[[#This Row],[Tot Ht Area]]</f>
        <v>104.88176964149504</v>
      </c>
      <c r="G963" s="16">
        <v>2622</v>
      </c>
      <c r="H963" s="16">
        <v>2622</v>
      </c>
      <c r="I963" s="17" t="s">
        <v>5252</v>
      </c>
      <c r="J963" s="18" t="s">
        <v>1057</v>
      </c>
      <c r="K963" s="19" t="s">
        <v>172</v>
      </c>
      <c r="L963" s="19"/>
      <c r="M963" s="19" t="s">
        <v>5253</v>
      </c>
      <c r="N963" s="20" t="s">
        <v>1598</v>
      </c>
      <c r="O963" s="20" t="s">
        <v>27</v>
      </c>
      <c r="P963" s="21" t="s">
        <v>5254</v>
      </c>
      <c r="Q963" s="20"/>
      <c r="R963" s="20" t="s">
        <v>5255</v>
      </c>
      <c r="S963" s="20"/>
      <c r="T963" s="20"/>
      <c r="U963" s="20"/>
      <c r="V963" s="20"/>
    </row>
    <row r="964" spans="1:22" ht="17">
      <c r="B964" s="11" t="s">
        <v>5256</v>
      </c>
      <c r="C964" s="12" t="s">
        <v>20</v>
      </c>
      <c r="D964" s="13" t="s">
        <v>133</v>
      </c>
      <c r="E964" s="24">
        <v>100</v>
      </c>
      <c r="F964" s="25" t="e">
        <f>Table2[[#This Row],[Price]]/Table2[[#This Row],[Tot Ht Area]]</f>
        <v>#DIV/0!</v>
      </c>
      <c r="G964" s="16"/>
      <c r="H964" s="16">
        <v>3152</v>
      </c>
      <c r="I964" s="17" t="s">
        <v>5257</v>
      </c>
      <c r="J964" s="18" t="s">
        <v>241</v>
      </c>
      <c r="K964" s="19" t="s">
        <v>1320</v>
      </c>
      <c r="L964" s="19"/>
      <c r="M964" s="19" t="s">
        <v>5258</v>
      </c>
      <c r="N964" s="20" t="s">
        <v>1598</v>
      </c>
      <c r="O964" s="20" t="s">
        <v>27</v>
      </c>
      <c r="P964" s="21" t="s">
        <v>5259</v>
      </c>
      <c r="Q964" s="20"/>
      <c r="R964" s="20" t="s">
        <v>5260</v>
      </c>
      <c r="S964" s="20"/>
      <c r="T964" s="20" t="s">
        <v>6318</v>
      </c>
      <c r="U964" s="20"/>
      <c r="V964" s="20"/>
    </row>
    <row r="965" spans="1:22" ht="34">
      <c r="B965" s="11" t="s">
        <v>5261</v>
      </c>
      <c r="C965" s="12" t="s">
        <v>20</v>
      </c>
      <c r="D965" s="13" t="s">
        <v>21</v>
      </c>
      <c r="E965" s="24">
        <v>450000</v>
      </c>
      <c r="F965" s="25" t="e">
        <f>Table2[[#This Row],[Price]]/Table2[[#This Row],[Tot Ht Area]]</f>
        <v>#DIV/0!</v>
      </c>
      <c r="G965" s="16"/>
      <c r="H965" s="16">
        <v>3090</v>
      </c>
      <c r="I965" s="17" t="s">
        <v>5262</v>
      </c>
      <c r="J965" s="18" t="s">
        <v>716</v>
      </c>
      <c r="K965" s="19" t="s">
        <v>1630</v>
      </c>
      <c r="L965" s="19"/>
      <c r="M965" s="19" t="s">
        <v>5263</v>
      </c>
      <c r="N965" s="20" t="s">
        <v>1598</v>
      </c>
      <c r="O965" s="20" t="s">
        <v>27</v>
      </c>
      <c r="P965" s="21" t="s">
        <v>5264</v>
      </c>
      <c r="Q965" s="20"/>
      <c r="R965" s="20" t="s">
        <v>5265</v>
      </c>
      <c r="S965" s="20"/>
      <c r="T965" s="20"/>
      <c r="U965" s="20"/>
      <c r="V965" s="20"/>
    </row>
    <row r="966" spans="1:22" ht="34">
      <c r="B966" s="11" t="s">
        <v>5266</v>
      </c>
      <c r="C966" s="12" t="s">
        <v>20</v>
      </c>
      <c r="D966" s="13" t="s">
        <v>554</v>
      </c>
      <c r="E966" s="24">
        <v>475000</v>
      </c>
      <c r="F966" s="25" t="e">
        <f>Table2[[#This Row],[Price]]/Table2[[#This Row],[Tot Ht Area]]</f>
        <v>#DIV/0!</v>
      </c>
      <c r="G966" s="16"/>
      <c r="H966" s="16">
        <v>2740</v>
      </c>
      <c r="I966" s="17" t="s">
        <v>5267</v>
      </c>
      <c r="J966" s="18" t="s">
        <v>1664</v>
      </c>
      <c r="K966" s="19" t="s">
        <v>1320</v>
      </c>
      <c r="L966" s="19"/>
      <c r="M966" s="19" t="s">
        <v>5268</v>
      </c>
      <c r="N966" s="20" t="s">
        <v>1598</v>
      </c>
      <c r="O966" s="20" t="s">
        <v>27</v>
      </c>
      <c r="P966" s="21" t="s">
        <v>3042</v>
      </c>
      <c r="Q966" s="20"/>
      <c r="R966" s="20" t="s">
        <v>5269</v>
      </c>
      <c r="S966" s="20"/>
      <c r="T966" s="20"/>
      <c r="U966" s="20"/>
      <c r="V966" s="20"/>
    </row>
    <row r="967" spans="1:22" ht="34">
      <c r="B967" s="11" t="s">
        <v>5270</v>
      </c>
      <c r="C967" s="12" t="s">
        <v>20</v>
      </c>
      <c r="D967" s="13" t="s">
        <v>223</v>
      </c>
      <c r="E967" s="24">
        <v>775000</v>
      </c>
      <c r="F967" s="25" t="e">
        <f>Table2[[#This Row],[Price]]/Table2[[#This Row],[Tot Ht Area]]</f>
        <v>#DIV/0!</v>
      </c>
      <c r="G967" s="16"/>
      <c r="H967" s="16">
        <v>7319</v>
      </c>
      <c r="I967" s="17" t="s">
        <v>5271</v>
      </c>
      <c r="J967" s="18" t="s">
        <v>560</v>
      </c>
      <c r="K967" s="19" t="s">
        <v>1320</v>
      </c>
      <c r="L967" s="19"/>
      <c r="M967" s="19" t="s">
        <v>5272</v>
      </c>
      <c r="N967" s="20" t="s">
        <v>1598</v>
      </c>
      <c r="O967" s="20" t="s">
        <v>27</v>
      </c>
      <c r="P967" s="21" t="s">
        <v>5273</v>
      </c>
      <c r="Q967" s="20"/>
      <c r="R967" s="20" t="s">
        <v>5274</v>
      </c>
      <c r="S967" s="20"/>
      <c r="T967" s="20"/>
      <c r="U967" s="20"/>
      <c r="V967" s="20"/>
    </row>
    <row r="968" spans="1:22" ht="34">
      <c r="B968" s="11" t="s">
        <v>5275</v>
      </c>
      <c r="C968" s="12" t="s">
        <v>20</v>
      </c>
      <c r="D968" s="13" t="s">
        <v>73</v>
      </c>
      <c r="E968" s="24">
        <v>100</v>
      </c>
      <c r="F968" s="25" t="e">
        <f>Table2[[#This Row],[Price]]/Table2[[#This Row],[Tot Ht Area]]</f>
        <v>#DIV/0!</v>
      </c>
      <c r="G968" s="16"/>
      <c r="H968" s="16">
        <v>2480</v>
      </c>
      <c r="I968" s="17" t="s">
        <v>5276</v>
      </c>
      <c r="J968" s="18" t="s">
        <v>430</v>
      </c>
      <c r="K968" s="19" t="s">
        <v>1630</v>
      </c>
      <c r="L968" s="19"/>
      <c r="M968" s="19" t="s">
        <v>5277</v>
      </c>
      <c r="N968" s="20" t="s">
        <v>1598</v>
      </c>
      <c r="O968" s="20" t="s">
        <v>27</v>
      </c>
      <c r="P968" s="21" t="s">
        <v>4639</v>
      </c>
      <c r="Q968" s="20"/>
      <c r="R968" s="20" t="s">
        <v>5278</v>
      </c>
      <c r="S968" s="20"/>
      <c r="T968" s="20" t="s">
        <v>6318</v>
      </c>
      <c r="U968" s="20"/>
      <c r="V968" s="20"/>
    </row>
    <row r="969" spans="1:22" ht="34">
      <c r="B969" s="11" t="s">
        <v>5279</v>
      </c>
      <c r="C969" s="12" t="s">
        <v>20</v>
      </c>
      <c r="D969" s="13" t="s">
        <v>231</v>
      </c>
      <c r="E969" s="24">
        <v>710000</v>
      </c>
      <c r="F969" s="25" t="e">
        <f>Table2[[#This Row],[Price]]/Table2[[#This Row],[Tot Ht Area]]</f>
        <v>#DIV/0!</v>
      </c>
      <c r="G969" s="16"/>
      <c r="H969" s="16">
        <v>5150</v>
      </c>
      <c r="I969" s="17" t="s">
        <v>5280</v>
      </c>
      <c r="J969" s="18" t="s">
        <v>1116</v>
      </c>
      <c r="K969" s="19" t="s">
        <v>1320</v>
      </c>
      <c r="L969" s="19"/>
      <c r="M969" s="19" t="s">
        <v>5281</v>
      </c>
      <c r="N969" s="20" t="s">
        <v>1598</v>
      </c>
      <c r="O969" s="20" t="s">
        <v>27</v>
      </c>
      <c r="P969" s="21" t="s">
        <v>5282</v>
      </c>
      <c r="Q969" s="20"/>
      <c r="R969" s="20" t="s">
        <v>5283</v>
      </c>
      <c r="S969" s="20"/>
      <c r="T969" s="20"/>
      <c r="U969" s="20"/>
      <c r="V969" s="20"/>
    </row>
    <row r="970" spans="1:22" ht="17">
      <c r="B970" s="11" t="s">
        <v>5284</v>
      </c>
      <c r="C970" s="12" t="s">
        <v>20</v>
      </c>
      <c r="D970" s="13" t="s">
        <v>285</v>
      </c>
      <c r="E970" s="24">
        <v>1225000</v>
      </c>
      <c r="F970" s="25">
        <f>Table2[[#This Row],[Price]]/Table2[[#This Row],[Tot Ht Area]]</f>
        <v>278.47238008638328</v>
      </c>
      <c r="G970" s="16">
        <v>4399</v>
      </c>
      <c r="H970" s="16">
        <v>4400</v>
      </c>
      <c r="I970" s="17" t="s">
        <v>5285</v>
      </c>
      <c r="J970" s="18" t="s">
        <v>135</v>
      </c>
      <c r="K970" s="19" t="s">
        <v>24</v>
      </c>
      <c r="L970" s="19"/>
      <c r="M970" s="19" t="s">
        <v>5286</v>
      </c>
      <c r="N970" s="20" t="s">
        <v>1598</v>
      </c>
      <c r="O970" s="20" t="s">
        <v>27</v>
      </c>
      <c r="P970" s="21" t="s">
        <v>5287</v>
      </c>
      <c r="Q970" s="20"/>
      <c r="R970" s="20" t="s">
        <v>5288</v>
      </c>
      <c r="S970" s="20"/>
      <c r="T970" s="20"/>
      <c r="U970" s="20"/>
      <c r="V970" s="20"/>
    </row>
    <row r="971" spans="1:22" ht="17">
      <c r="B971" s="11" t="s">
        <v>5289</v>
      </c>
      <c r="C971" s="12" t="s">
        <v>20</v>
      </c>
      <c r="D971" s="13" t="s">
        <v>1255</v>
      </c>
      <c r="E971" s="24">
        <v>675000</v>
      </c>
      <c r="F971" s="25" t="e">
        <f>Table2[[#This Row],[Price]]/Table2[[#This Row],[Tot Ht Area]]</f>
        <v>#DIV/0!</v>
      </c>
      <c r="G971" s="16"/>
      <c r="H971" s="16">
        <v>4880</v>
      </c>
      <c r="I971" s="17" t="s">
        <v>5290</v>
      </c>
      <c r="J971" s="18" t="s">
        <v>135</v>
      </c>
      <c r="K971" s="19" t="s">
        <v>172</v>
      </c>
      <c r="L971" s="19"/>
      <c r="M971" s="19" t="s">
        <v>5291</v>
      </c>
      <c r="N971" s="20" t="s">
        <v>1598</v>
      </c>
      <c r="O971" s="20" t="s">
        <v>27</v>
      </c>
      <c r="P971" s="21" t="s">
        <v>5292</v>
      </c>
      <c r="Q971" s="20"/>
      <c r="R971" s="20" t="s">
        <v>5293</v>
      </c>
      <c r="S971" s="20"/>
      <c r="T971" s="20"/>
      <c r="U971" s="20"/>
      <c r="V971" s="20"/>
    </row>
    <row r="972" spans="1:22" ht="17">
      <c r="A972" s="40">
        <v>3</v>
      </c>
      <c r="B972" s="11" t="s">
        <v>5294</v>
      </c>
      <c r="C972" s="12" t="s">
        <v>20</v>
      </c>
      <c r="D972" s="13" t="s">
        <v>177</v>
      </c>
      <c r="E972" s="24">
        <v>82700</v>
      </c>
      <c r="F972" s="25" t="e">
        <f>Table2[[#This Row],[Price]]/Table2[[#This Row],[Tot Ht Area]]</f>
        <v>#DIV/0!</v>
      </c>
      <c r="G972" s="16"/>
      <c r="H972" s="16">
        <v>6440</v>
      </c>
      <c r="I972" s="17" t="s">
        <v>5295</v>
      </c>
      <c r="J972" s="18" t="s">
        <v>1057</v>
      </c>
      <c r="K972" s="19" t="s">
        <v>1630</v>
      </c>
      <c r="L972" s="19"/>
      <c r="M972" s="19" t="s">
        <v>5296</v>
      </c>
      <c r="N972" s="20" t="s">
        <v>1598</v>
      </c>
      <c r="O972" s="20" t="s">
        <v>27</v>
      </c>
      <c r="P972" s="21" t="s">
        <v>5297</v>
      </c>
      <c r="Q972" s="20"/>
      <c r="R972" s="20" t="s">
        <v>5298</v>
      </c>
      <c r="S972" s="20"/>
      <c r="T972" s="20"/>
      <c r="U972" s="20"/>
      <c r="V972" s="20"/>
    </row>
    <row r="973" spans="1:22" ht="17">
      <c r="B973" s="11" t="s">
        <v>5299</v>
      </c>
      <c r="C973" s="12" t="s">
        <v>20</v>
      </c>
      <c r="D973" s="13" t="s">
        <v>141</v>
      </c>
      <c r="E973" s="24">
        <v>795000</v>
      </c>
      <c r="F973" s="25" t="e">
        <f>Table2[[#This Row],[Price]]/Table2[[#This Row],[Tot Ht Area]]</f>
        <v>#DIV/0!</v>
      </c>
      <c r="G973" s="16"/>
      <c r="H973" s="16">
        <v>3890</v>
      </c>
      <c r="I973" s="17" t="s">
        <v>5300</v>
      </c>
      <c r="J973" s="18" t="s">
        <v>716</v>
      </c>
      <c r="K973" s="19" t="s">
        <v>1630</v>
      </c>
      <c r="L973" s="19"/>
      <c r="M973" s="19" t="s">
        <v>5301</v>
      </c>
      <c r="N973" s="20" t="s">
        <v>1598</v>
      </c>
      <c r="O973" s="20" t="s">
        <v>27</v>
      </c>
      <c r="P973" s="21" t="s">
        <v>5302</v>
      </c>
      <c r="Q973" s="20" t="s">
        <v>5303</v>
      </c>
      <c r="R973" s="20" t="s">
        <v>5304</v>
      </c>
      <c r="S973" s="20"/>
      <c r="T973" s="20"/>
      <c r="U973" s="20"/>
      <c r="V973" s="20"/>
    </row>
    <row r="974" spans="1:22" ht="34">
      <c r="B974" s="11" t="s">
        <v>5305</v>
      </c>
      <c r="C974" s="12" t="s">
        <v>20</v>
      </c>
      <c r="D974" s="13" t="s">
        <v>925</v>
      </c>
      <c r="E974" s="24">
        <v>100</v>
      </c>
      <c r="F974" s="25">
        <f>Table2[[#This Row],[Price]]/Table2[[#This Row],[Tot Ht Area]]</f>
        <v>1.0126582278481013E-2</v>
      </c>
      <c r="G974" s="16">
        <v>9875</v>
      </c>
      <c r="H974" s="16">
        <v>9875</v>
      </c>
      <c r="I974" s="17" t="s">
        <v>5306</v>
      </c>
      <c r="J974" s="18" t="s">
        <v>233</v>
      </c>
      <c r="K974" s="19" t="s">
        <v>24</v>
      </c>
      <c r="L974" s="19"/>
      <c r="M974" s="19" t="s">
        <v>5307</v>
      </c>
      <c r="N974" s="20" t="s">
        <v>1598</v>
      </c>
      <c r="O974" s="20" t="s">
        <v>27</v>
      </c>
      <c r="P974" s="21" t="s">
        <v>5308</v>
      </c>
      <c r="Q974" s="20"/>
      <c r="R974" s="20" t="s">
        <v>5309</v>
      </c>
      <c r="S974" s="20"/>
      <c r="T974" s="20" t="s">
        <v>6318</v>
      </c>
      <c r="U974" s="20"/>
      <c r="V974" s="20"/>
    </row>
    <row r="975" spans="1:22" ht="68">
      <c r="B975" s="11" t="s">
        <v>5310</v>
      </c>
      <c r="C975" s="12" t="s">
        <v>20</v>
      </c>
      <c r="D975" s="13" t="s">
        <v>207</v>
      </c>
      <c r="E975" s="24">
        <v>850000</v>
      </c>
      <c r="F975" s="25" t="e">
        <f>Table2[[#This Row],[Price]]/Table2[[#This Row],[Tot Ht Area]]</f>
        <v>#DIV/0!</v>
      </c>
      <c r="G975" s="16"/>
      <c r="H975" s="16">
        <v>3862</v>
      </c>
      <c r="I975" s="17" t="s">
        <v>5311</v>
      </c>
      <c r="J975" s="18" t="s">
        <v>358</v>
      </c>
      <c r="K975" s="19" t="s">
        <v>1320</v>
      </c>
      <c r="L975" s="19"/>
      <c r="M975" s="19" t="s">
        <v>5312</v>
      </c>
      <c r="N975" s="20" t="s">
        <v>1598</v>
      </c>
      <c r="O975" s="20" t="s">
        <v>27</v>
      </c>
      <c r="P975" s="21" t="s">
        <v>5313</v>
      </c>
      <c r="Q975" s="20"/>
      <c r="R975" s="20" t="s">
        <v>5314</v>
      </c>
      <c r="S975" s="20"/>
      <c r="T975" s="20"/>
      <c r="U975" s="20"/>
      <c r="V975" s="20"/>
    </row>
    <row r="976" spans="1:22" ht="17">
      <c r="B976" s="11" t="s">
        <v>5315</v>
      </c>
      <c r="C976" s="12" t="s">
        <v>20</v>
      </c>
      <c r="D976" s="13" t="s">
        <v>73</v>
      </c>
      <c r="E976" s="24">
        <v>425000</v>
      </c>
      <c r="F976" s="25">
        <f>Table2[[#This Row],[Price]]/Table2[[#This Row],[Tot Ht Area]]</f>
        <v>108.06000508517671</v>
      </c>
      <c r="G976" s="16">
        <v>3933</v>
      </c>
      <c r="H976" s="16">
        <v>3877</v>
      </c>
      <c r="I976" s="17" t="s">
        <v>5316</v>
      </c>
      <c r="J976" s="18" t="s">
        <v>5317</v>
      </c>
      <c r="K976" s="19" t="s">
        <v>1465</v>
      </c>
      <c r="L976" s="19"/>
      <c r="M976" s="19" t="s">
        <v>5318</v>
      </c>
      <c r="N976" s="20" t="s">
        <v>1598</v>
      </c>
      <c r="O976" s="20" t="s">
        <v>27</v>
      </c>
      <c r="P976" s="21" t="s">
        <v>5319</v>
      </c>
      <c r="Q976" s="20"/>
      <c r="R976" s="20" t="s">
        <v>5320</v>
      </c>
      <c r="S976" s="20"/>
      <c r="T976" s="20"/>
      <c r="U976" s="20"/>
      <c r="V976" s="20"/>
    </row>
    <row r="977" spans="2:22" ht="34">
      <c r="B977" s="11" t="s">
        <v>5321</v>
      </c>
      <c r="C977" s="12" t="s">
        <v>20</v>
      </c>
      <c r="D977" s="13" t="s">
        <v>1860</v>
      </c>
      <c r="E977" s="24">
        <v>750000</v>
      </c>
      <c r="F977" s="25">
        <f>Table2[[#This Row],[Price]]/Table2[[#This Row],[Tot Ht Area]]</f>
        <v>200</v>
      </c>
      <c r="G977" s="16">
        <v>3750</v>
      </c>
      <c r="H977" s="16">
        <v>3750</v>
      </c>
      <c r="I977" s="17" t="s">
        <v>5322</v>
      </c>
      <c r="J977" s="18" t="s">
        <v>187</v>
      </c>
      <c r="K977" s="19" t="s">
        <v>172</v>
      </c>
      <c r="L977" s="19"/>
      <c r="M977" s="19" t="s">
        <v>5323</v>
      </c>
      <c r="N977" s="20" t="s">
        <v>1598</v>
      </c>
      <c r="O977" s="20" t="s">
        <v>27</v>
      </c>
      <c r="P977" s="21" t="s">
        <v>5324</v>
      </c>
      <c r="Q977" s="20"/>
      <c r="R977" s="20" t="s">
        <v>5325</v>
      </c>
      <c r="S977" s="20"/>
      <c r="T977" s="20"/>
      <c r="U977" s="20"/>
      <c r="V977" s="20"/>
    </row>
    <row r="978" spans="2:22" ht="34">
      <c r="B978" s="11" t="s">
        <v>5326</v>
      </c>
      <c r="C978" s="12" t="s">
        <v>20</v>
      </c>
      <c r="D978" s="13" t="s">
        <v>407</v>
      </c>
      <c r="E978" s="24">
        <v>100</v>
      </c>
      <c r="F978" s="25">
        <f>Table2[[#This Row],[Price]]/Table2[[#This Row],[Tot Ht Area]]</f>
        <v>3.82262996941896E-2</v>
      </c>
      <c r="G978" s="16">
        <v>2616</v>
      </c>
      <c r="H978" s="16">
        <v>2616</v>
      </c>
      <c r="I978" s="17" t="s">
        <v>5327</v>
      </c>
      <c r="J978" s="18" t="s">
        <v>1057</v>
      </c>
      <c r="K978" s="19" t="s">
        <v>24</v>
      </c>
      <c r="L978" s="19"/>
      <c r="M978" s="19" t="s">
        <v>5328</v>
      </c>
      <c r="N978" s="20" t="s">
        <v>1598</v>
      </c>
      <c r="O978" s="20" t="s">
        <v>27</v>
      </c>
      <c r="P978" s="21" t="s">
        <v>5329</v>
      </c>
      <c r="Q978" s="20"/>
      <c r="R978" s="20" t="s">
        <v>5330</v>
      </c>
      <c r="S978" s="20"/>
      <c r="T978" s="20" t="s">
        <v>6318</v>
      </c>
      <c r="U978" s="20"/>
      <c r="V978" s="20"/>
    </row>
    <row r="979" spans="2:22" ht="34">
      <c r="B979" s="11" t="s">
        <v>5331</v>
      </c>
      <c r="C979" s="12" t="s">
        <v>20</v>
      </c>
      <c r="D979" s="13" t="s">
        <v>474</v>
      </c>
      <c r="E979" s="24">
        <v>2200000</v>
      </c>
      <c r="F979" s="25" t="e">
        <f>Table2[[#This Row],[Price]]/Table2[[#This Row],[Tot Ht Area]]</f>
        <v>#DIV/0!</v>
      </c>
      <c r="G979" s="16"/>
      <c r="H979" s="16">
        <v>20054</v>
      </c>
      <c r="I979" s="17" t="s">
        <v>5332</v>
      </c>
      <c r="J979" s="18" t="s">
        <v>75</v>
      </c>
      <c r="K979" s="19" t="s">
        <v>1585</v>
      </c>
      <c r="L979" s="19"/>
      <c r="M979" s="19" t="s">
        <v>5333</v>
      </c>
      <c r="N979" s="20" t="s">
        <v>1598</v>
      </c>
      <c r="O979" s="20" t="s">
        <v>27</v>
      </c>
      <c r="P979" s="21" t="s">
        <v>5334</v>
      </c>
      <c r="Q979" s="20"/>
      <c r="R979" s="20" t="s">
        <v>5335</v>
      </c>
      <c r="S979" s="20"/>
      <c r="T979" s="20"/>
      <c r="U979" s="20"/>
      <c r="V979" s="20"/>
    </row>
    <row r="980" spans="2:22" ht="34">
      <c r="B980" s="11" t="s">
        <v>5336</v>
      </c>
      <c r="C980" s="12" t="s">
        <v>20</v>
      </c>
      <c r="D980" s="13" t="s">
        <v>1399</v>
      </c>
      <c r="E980" s="24">
        <v>1015000</v>
      </c>
      <c r="F980" s="25">
        <f>Table2[[#This Row],[Price]]/Table2[[#This Row],[Tot Ht Area]]</f>
        <v>240.86378737541528</v>
      </c>
      <c r="G980" s="16">
        <v>4214</v>
      </c>
      <c r="H980" s="16">
        <v>4214</v>
      </c>
      <c r="I980" s="17" t="s">
        <v>5337</v>
      </c>
      <c r="J980" s="18" t="s">
        <v>278</v>
      </c>
      <c r="K980" s="19" t="s">
        <v>24</v>
      </c>
      <c r="L980" s="19"/>
      <c r="M980" s="19" t="s">
        <v>5338</v>
      </c>
      <c r="N980" s="20" t="s">
        <v>1598</v>
      </c>
      <c r="O980" s="20" t="s">
        <v>27</v>
      </c>
      <c r="P980" s="21" t="s">
        <v>5339</v>
      </c>
      <c r="Q980" s="20"/>
      <c r="R980" s="20" t="s">
        <v>5340</v>
      </c>
      <c r="S980" s="20"/>
      <c r="T980" s="20"/>
      <c r="U980" s="20"/>
      <c r="V980" s="20"/>
    </row>
    <row r="981" spans="2:22" ht="34">
      <c r="B981" s="11" t="s">
        <v>5341</v>
      </c>
      <c r="C981" s="12" t="s">
        <v>20</v>
      </c>
      <c r="D981" s="13" t="s">
        <v>729</v>
      </c>
      <c r="E981" s="24">
        <v>801500</v>
      </c>
      <c r="F981" s="25" t="e">
        <f>Table2[[#This Row],[Price]]/Table2[[#This Row],[Tot Ht Area]]</f>
        <v>#DIV/0!</v>
      </c>
      <c r="G981" s="16"/>
      <c r="H981" s="16">
        <v>2280</v>
      </c>
      <c r="I981" s="17" t="s">
        <v>5342</v>
      </c>
      <c r="J981" s="18" t="s">
        <v>135</v>
      </c>
      <c r="K981" s="19" t="s">
        <v>1320</v>
      </c>
      <c r="L981" s="19"/>
      <c r="M981" s="19" t="s">
        <v>5343</v>
      </c>
      <c r="N981" s="20" t="s">
        <v>1598</v>
      </c>
      <c r="O981" s="20" t="s">
        <v>27</v>
      </c>
      <c r="P981" s="21" t="s">
        <v>5344</v>
      </c>
      <c r="Q981" s="20"/>
      <c r="R981" s="20" t="s">
        <v>5345</v>
      </c>
      <c r="S981" s="20"/>
      <c r="T981" s="20"/>
      <c r="U981" s="20"/>
      <c r="V981" s="20"/>
    </row>
    <row r="982" spans="2:22" ht="17">
      <c r="B982" s="11" t="s">
        <v>5346</v>
      </c>
      <c r="C982" s="12" t="s">
        <v>20</v>
      </c>
      <c r="D982" s="13" t="s">
        <v>579</v>
      </c>
      <c r="E982" s="24">
        <v>100</v>
      </c>
      <c r="F982" s="25" t="e">
        <f>Table2[[#This Row],[Price]]/Table2[[#This Row],[Tot Ht Area]]</f>
        <v>#DIV/0!</v>
      </c>
      <c r="G982" s="16"/>
      <c r="H982" s="16">
        <v>15766</v>
      </c>
      <c r="I982" s="17" t="s">
        <v>5347</v>
      </c>
      <c r="J982" s="18" t="s">
        <v>57</v>
      </c>
      <c r="K982" s="19" t="s">
        <v>1630</v>
      </c>
      <c r="L982" s="19"/>
      <c r="M982" s="19" t="s">
        <v>5348</v>
      </c>
      <c r="N982" s="20" t="s">
        <v>1598</v>
      </c>
      <c r="O982" s="20" t="s">
        <v>27</v>
      </c>
      <c r="P982" s="21" t="s">
        <v>5349</v>
      </c>
      <c r="Q982" s="20"/>
      <c r="R982" s="20" t="s">
        <v>5350</v>
      </c>
      <c r="S982" s="20"/>
      <c r="T982" s="20" t="s">
        <v>6318</v>
      </c>
      <c r="U982" s="20"/>
      <c r="V982" s="20"/>
    </row>
    <row r="983" spans="2:22" ht="17">
      <c r="B983" s="11" t="s">
        <v>5351</v>
      </c>
      <c r="C983" s="12" t="s">
        <v>20</v>
      </c>
      <c r="D983" s="13" t="s">
        <v>124</v>
      </c>
      <c r="E983" s="24">
        <v>1925000</v>
      </c>
      <c r="F983" s="25" t="e">
        <f>Table2[[#This Row],[Price]]/Table2[[#This Row],[Tot Ht Area]]</f>
        <v>#DIV/0!</v>
      </c>
      <c r="G983" s="16"/>
      <c r="H983" s="16">
        <v>14919</v>
      </c>
      <c r="I983" s="17" t="s">
        <v>5352</v>
      </c>
      <c r="J983" s="18" t="s">
        <v>57</v>
      </c>
      <c r="K983" s="19" t="s">
        <v>1630</v>
      </c>
      <c r="L983" s="19"/>
      <c r="M983" s="19" t="s">
        <v>5353</v>
      </c>
      <c r="N983" s="20" t="s">
        <v>1598</v>
      </c>
      <c r="O983" s="20" t="s">
        <v>27</v>
      </c>
      <c r="P983" s="21" t="s">
        <v>5354</v>
      </c>
      <c r="Q983" s="20"/>
      <c r="R983" s="20" t="s">
        <v>5355</v>
      </c>
      <c r="S983" s="20"/>
      <c r="T983" s="20"/>
      <c r="U983" s="20"/>
      <c r="V983" s="20"/>
    </row>
    <row r="984" spans="2:22" ht="51">
      <c r="B984" s="11" t="s">
        <v>5356</v>
      </c>
      <c r="C984" s="12" t="s">
        <v>20</v>
      </c>
      <c r="D984" s="13" t="s">
        <v>207</v>
      </c>
      <c r="E984" s="24">
        <v>2200000</v>
      </c>
      <c r="F984" s="25">
        <f>Table2[[#This Row],[Price]]/Table2[[#This Row],[Tot Ht Area]]</f>
        <v>101.8094312554954</v>
      </c>
      <c r="G984" s="16">
        <v>21609</v>
      </c>
      <c r="H984" s="16">
        <v>21609</v>
      </c>
      <c r="I984" s="17" t="s">
        <v>5357</v>
      </c>
      <c r="J984" s="18" t="s">
        <v>1116</v>
      </c>
      <c r="K984" s="19" t="s">
        <v>24</v>
      </c>
      <c r="L984" s="19"/>
      <c r="M984" s="19" t="s">
        <v>5358</v>
      </c>
      <c r="N984" s="20" t="s">
        <v>1598</v>
      </c>
      <c r="O984" s="20" t="s">
        <v>27</v>
      </c>
      <c r="P984" s="21" t="s">
        <v>5359</v>
      </c>
      <c r="Q984" s="20"/>
      <c r="R984" s="20" t="s">
        <v>5360</v>
      </c>
      <c r="S984" s="20"/>
      <c r="T984" s="20"/>
      <c r="U984" s="20"/>
      <c r="V984" s="20"/>
    </row>
    <row r="985" spans="2:22" ht="17">
      <c r="B985" s="11" t="s">
        <v>5361</v>
      </c>
      <c r="C985" s="12" t="s">
        <v>20</v>
      </c>
      <c r="D985" s="13" t="s">
        <v>207</v>
      </c>
      <c r="E985" s="24">
        <v>720000</v>
      </c>
      <c r="F985" s="25" t="e">
        <f>Table2[[#This Row],[Price]]/Table2[[#This Row],[Tot Ht Area]]</f>
        <v>#DIV/0!</v>
      </c>
      <c r="G985" s="16"/>
      <c r="H985" s="16">
        <v>4734</v>
      </c>
      <c r="I985" s="17" t="s">
        <v>5362</v>
      </c>
      <c r="J985" s="18" t="s">
        <v>75</v>
      </c>
      <c r="K985" s="19" t="s">
        <v>1320</v>
      </c>
      <c r="L985" s="19"/>
      <c r="M985" s="19" t="s">
        <v>5363</v>
      </c>
      <c r="N985" s="20" t="s">
        <v>1598</v>
      </c>
      <c r="O985" s="20" t="s">
        <v>27</v>
      </c>
      <c r="P985" s="21" t="s">
        <v>5364</v>
      </c>
      <c r="Q985" s="20"/>
      <c r="R985" s="20" t="s">
        <v>5365</v>
      </c>
      <c r="S985" s="20"/>
      <c r="T985" s="20"/>
      <c r="U985" s="20"/>
      <c r="V985" s="20"/>
    </row>
    <row r="986" spans="2:22" ht="34">
      <c r="B986" s="11" t="s">
        <v>5366</v>
      </c>
      <c r="C986" s="12" t="s">
        <v>20</v>
      </c>
      <c r="D986" s="13" t="s">
        <v>177</v>
      </c>
      <c r="E986" s="24">
        <v>100</v>
      </c>
      <c r="F986" s="25" t="e">
        <f>Table2[[#This Row],[Price]]/Table2[[#This Row],[Tot Ht Area]]</f>
        <v>#DIV/0!</v>
      </c>
      <c r="G986" s="16"/>
      <c r="H986" s="16">
        <v>14718</v>
      </c>
      <c r="I986" s="17" t="s">
        <v>5367</v>
      </c>
      <c r="J986" s="18" t="s">
        <v>135</v>
      </c>
      <c r="K986" s="19" t="s">
        <v>1585</v>
      </c>
      <c r="L986" s="19"/>
      <c r="M986" s="19" t="s">
        <v>5368</v>
      </c>
      <c r="N986" s="20" t="s">
        <v>1598</v>
      </c>
      <c r="O986" s="20" t="s">
        <v>27</v>
      </c>
      <c r="P986" s="21" t="s">
        <v>5369</v>
      </c>
      <c r="Q986" s="20"/>
      <c r="R986" s="20" t="s">
        <v>5370</v>
      </c>
      <c r="S986" s="20"/>
      <c r="T986" s="20" t="s">
        <v>6318</v>
      </c>
      <c r="U986" s="20"/>
      <c r="V986" s="20"/>
    </row>
    <row r="987" spans="2:22" ht="17">
      <c r="B987" s="11" t="s">
        <v>5371</v>
      </c>
      <c r="C987" s="12" t="s">
        <v>20</v>
      </c>
      <c r="D987" s="13" t="s">
        <v>1490</v>
      </c>
      <c r="E987" s="24">
        <v>695000</v>
      </c>
      <c r="F987" s="25">
        <f>Table2[[#This Row],[Price]]/Table2[[#This Row],[Tot Ht Area]]</f>
        <v>199.19747778733162</v>
      </c>
      <c r="G987" s="16">
        <v>3489</v>
      </c>
      <c r="H987" s="16">
        <v>3489</v>
      </c>
      <c r="I987" s="17" t="s">
        <v>5372</v>
      </c>
      <c r="J987" s="18" t="s">
        <v>400</v>
      </c>
      <c r="K987" s="19" t="s">
        <v>172</v>
      </c>
      <c r="L987" s="19"/>
      <c r="M987" s="19" t="s">
        <v>5373</v>
      </c>
      <c r="N987" s="20" t="s">
        <v>1598</v>
      </c>
      <c r="O987" s="20" t="s">
        <v>27</v>
      </c>
      <c r="P987" s="21" t="s">
        <v>5374</v>
      </c>
      <c r="Q987" s="20"/>
      <c r="R987" s="20" t="s">
        <v>5375</v>
      </c>
      <c r="S987" s="20"/>
      <c r="T987" s="20"/>
      <c r="U987" s="20"/>
      <c r="V987" s="20"/>
    </row>
    <row r="988" spans="2:22" ht="17">
      <c r="B988" s="11" t="s">
        <v>5376</v>
      </c>
      <c r="C988" s="12" t="s">
        <v>20</v>
      </c>
      <c r="D988" s="13" t="s">
        <v>995</v>
      </c>
      <c r="E988" s="24">
        <v>1345000</v>
      </c>
      <c r="F988" s="25" t="e">
        <f>Table2[[#This Row],[Price]]/Table2[[#This Row],[Tot Ht Area]]</f>
        <v>#DIV/0!</v>
      </c>
      <c r="G988" s="16"/>
      <c r="H988" s="16">
        <v>5088</v>
      </c>
      <c r="I988" s="17" t="s">
        <v>5372</v>
      </c>
      <c r="J988" s="18" t="s">
        <v>225</v>
      </c>
      <c r="K988" s="19" t="s">
        <v>172</v>
      </c>
      <c r="L988" s="19"/>
      <c r="M988" s="19" t="s">
        <v>5377</v>
      </c>
      <c r="N988" s="20" t="s">
        <v>1598</v>
      </c>
      <c r="O988" s="20" t="s">
        <v>27</v>
      </c>
      <c r="P988" s="21" t="s">
        <v>5374</v>
      </c>
      <c r="Q988" s="20"/>
      <c r="R988" s="20" t="s">
        <v>5378</v>
      </c>
      <c r="S988" s="20"/>
      <c r="T988" s="20"/>
      <c r="U988" s="20"/>
      <c r="V988" s="20"/>
    </row>
    <row r="989" spans="2:22" ht="17">
      <c r="B989" s="11" t="s">
        <v>5379</v>
      </c>
      <c r="C989" s="12" t="s">
        <v>20</v>
      </c>
      <c r="D989" s="13" t="s">
        <v>2642</v>
      </c>
      <c r="E989" s="24">
        <v>720000</v>
      </c>
      <c r="F989" s="25">
        <f>Table2[[#This Row],[Price]]/Table2[[#This Row],[Tot Ht Area]]</f>
        <v>206.36285468615648</v>
      </c>
      <c r="G989" s="16">
        <v>3489</v>
      </c>
      <c r="H989" s="16">
        <v>3489</v>
      </c>
      <c r="I989" s="17" t="s">
        <v>5380</v>
      </c>
      <c r="J989" s="18" t="s">
        <v>400</v>
      </c>
      <c r="K989" s="19" t="s">
        <v>172</v>
      </c>
      <c r="L989" s="19"/>
      <c r="M989" s="19" t="s">
        <v>5381</v>
      </c>
      <c r="N989" s="20" t="s">
        <v>1598</v>
      </c>
      <c r="O989" s="20" t="s">
        <v>27</v>
      </c>
      <c r="P989" s="21" t="s">
        <v>5382</v>
      </c>
      <c r="Q989" s="20"/>
      <c r="R989" s="20" t="s">
        <v>5383</v>
      </c>
      <c r="S989" s="20"/>
      <c r="T989" s="20"/>
      <c r="U989" s="20"/>
      <c r="V989" s="20"/>
    </row>
    <row r="990" spans="2:22" ht="17">
      <c r="B990" s="11" t="s">
        <v>5384</v>
      </c>
      <c r="C990" s="12" t="s">
        <v>20</v>
      </c>
      <c r="D990" s="13" t="s">
        <v>215</v>
      </c>
      <c r="E990" s="24">
        <v>1680000</v>
      </c>
      <c r="F990" s="25" t="e">
        <f>Table2[[#This Row],[Price]]/Table2[[#This Row],[Tot Ht Area]]</f>
        <v>#DIV/0!</v>
      </c>
      <c r="G990" s="16"/>
      <c r="H990" s="16">
        <v>16080</v>
      </c>
      <c r="I990" s="17" t="s">
        <v>5385</v>
      </c>
      <c r="J990" s="18" t="s">
        <v>566</v>
      </c>
      <c r="K990" s="19" t="s">
        <v>172</v>
      </c>
      <c r="L990" s="19"/>
      <c r="M990" s="19" t="s">
        <v>5386</v>
      </c>
      <c r="N990" s="20" t="s">
        <v>1598</v>
      </c>
      <c r="O990" s="20" t="s">
        <v>27</v>
      </c>
      <c r="P990" s="21" t="s">
        <v>5387</v>
      </c>
      <c r="Q990" s="20"/>
      <c r="R990" s="20" t="s">
        <v>5388</v>
      </c>
      <c r="S990" s="20"/>
      <c r="T990" s="20"/>
      <c r="U990" s="20"/>
      <c r="V990" s="20"/>
    </row>
    <row r="991" spans="2:22" ht="17">
      <c r="B991" s="11" t="s">
        <v>5389</v>
      </c>
      <c r="C991" s="12" t="s">
        <v>20</v>
      </c>
      <c r="D991" s="13" t="s">
        <v>1418</v>
      </c>
      <c r="E991" s="24">
        <v>1850000</v>
      </c>
      <c r="F991" s="25" t="e">
        <f>Table2[[#This Row],[Price]]/Table2[[#This Row],[Tot Ht Area]]</f>
        <v>#DIV/0!</v>
      </c>
      <c r="G991" s="16"/>
      <c r="H991" s="16">
        <v>5331</v>
      </c>
      <c r="I991" s="17" t="s">
        <v>5372</v>
      </c>
      <c r="J991" s="18" t="s">
        <v>241</v>
      </c>
      <c r="K991" s="19" t="s">
        <v>172</v>
      </c>
      <c r="L991" s="19"/>
      <c r="M991" s="19" t="s">
        <v>5390</v>
      </c>
      <c r="N991" s="20" t="s">
        <v>1598</v>
      </c>
      <c r="O991" s="20" t="s">
        <v>27</v>
      </c>
      <c r="P991" s="21" t="s">
        <v>5391</v>
      </c>
      <c r="Q991" s="20"/>
      <c r="R991" s="20" t="s">
        <v>5392</v>
      </c>
      <c r="S991" s="20"/>
      <c r="T991" s="20"/>
      <c r="U991" s="20"/>
      <c r="V991" s="20"/>
    </row>
    <row r="992" spans="2:22" ht="17">
      <c r="B992" s="11" t="s">
        <v>5393</v>
      </c>
      <c r="C992" s="12" t="s">
        <v>20</v>
      </c>
      <c r="D992" s="13" t="s">
        <v>1418</v>
      </c>
      <c r="E992" s="24">
        <v>1850000</v>
      </c>
      <c r="F992" s="25" t="e">
        <f>Table2[[#This Row],[Price]]/Table2[[#This Row],[Tot Ht Area]]</f>
        <v>#DIV/0!</v>
      </c>
      <c r="G992" s="16"/>
      <c r="H992" s="16">
        <v>5379</v>
      </c>
      <c r="I992" s="17" t="s">
        <v>5372</v>
      </c>
      <c r="J992" s="18" t="s">
        <v>241</v>
      </c>
      <c r="K992" s="19" t="s">
        <v>172</v>
      </c>
      <c r="L992" s="19"/>
      <c r="M992" s="19" t="s">
        <v>5394</v>
      </c>
      <c r="N992" s="20" t="s">
        <v>1598</v>
      </c>
      <c r="O992" s="20" t="s">
        <v>27</v>
      </c>
      <c r="P992" s="21" t="s">
        <v>5391</v>
      </c>
      <c r="Q992" s="20"/>
      <c r="R992" s="20" t="s">
        <v>5395</v>
      </c>
      <c r="S992" s="20"/>
      <c r="T992" s="20"/>
      <c r="U992" s="20"/>
      <c r="V992" s="20"/>
    </row>
    <row r="993" spans="2:22" ht="34">
      <c r="B993" s="11" t="s">
        <v>5396</v>
      </c>
      <c r="C993" s="12" t="s">
        <v>20</v>
      </c>
      <c r="D993" s="13" t="s">
        <v>322</v>
      </c>
      <c r="E993" s="24">
        <v>1725000</v>
      </c>
      <c r="F993" s="25" t="e">
        <f>Table2[[#This Row],[Price]]/Table2[[#This Row],[Tot Ht Area]]</f>
        <v>#DIV/0!</v>
      </c>
      <c r="G993" s="16"/>
      <c r="H993" s="16">
        <v>10062</v>
      </c>
      <c r="I993" s="17" t="s">
        <v>5397</v>
      </c>
      <c r="J993" s="18" t="s">
        <v>767</v>
      </c>
      <c r="K993" s="19" t="s">
        <v>1630</v>
      </c>
      <c r="L993" s="19"/>
      <c r="M993" s="19" t="s">
        <v>5398</v>
      </c>
      <c r="N993" s="20" t="s">
        <v>1598</v>
      </c>
      <c r="O993" s="20" t="s">
        <v>27</v>
      </c>
      <c r="P993" s="21" t="s">
        <v>5399</v>
      </c>
      <c r="Q993" s="20"/>
      <c r="R993" s="20" t="s">
        <v>5400</v>
      </c>
      <c r="S993" s="20"/>
      <c r="T993" s="20"/>
      <c r="U993" s="20"/>
      <c r="V993" s="20"/>
    </row>
    <row r="994" spans="2:22" ht="17">
      <c r="B994" s="11" t="s">
        <v>5401</v>
      </c>
      <c r="C994" s="12" t="s">
        <v>20</v>
      </c>
      <c r="D994" s="13" t="s">
        <v>995</v>
      </c>
      <c r="E994" s="24">
        <v>3271200</v>
      </c>
      <c r="F994" s="25" t="e">
        <f>Table2[[#This Row],[Price]]/Table2[[#This Row],[Tot Ht Area]]</f>
        <v>#DIV/0!</v>
      </c>
      <c r="G994" s="16"/>
      <c r="H994" s="16">
        <v>19920</v>
      </c>
      <c r="I994" s="17" t="s">
        <v>5402</v>
      </c>
      <c r="J994" s="18" t="s">
        <v>379</v>
      </c>
      <c r="K994" s="19" t="s">
        <v>1630</v>
      </c>
      <c r="L994" s="19"/>
      <c r="M994" s="19" t="s">
        <v>5403</v>
      </c>
      <c r="N994" s="20" t="s">
        <v>1598</v>
      </c>
      <c r="O994" s="20" t="s">
        <v>27</v>
      </c>
      <c r="P994" s="21" t="s">
        <v>5404</v>
      </c>
      <c r="Q994" s="20" t="s">
        <v>5405</v>
      </c>
      <c r="R994" s="20" t="s">
        <v>5406</v>
      </c>
      <c r="S994" s="20"/>
      <c r="T994" s="20"/>
      <c r="U994" s="20"/>
      <c r="V994" s="20"/>
    </row>
    <row r="995" spans="2:22" ht="34">
      <c r="B995" s="11" t="s">
        <v>5407</v>
      </c>
      <c r="C995" s="12" t="s">
        <v>20</v>
      </c>
      <c r="D995" s="13" t="s">
        <v>223</v>
      </c>
      <c r="E995" s="24">
        <v>3250000</v>
      </c>
      <c r="F995" s="25" t="e">
        <f>Table2[[#This Row],[Price]]/Table2[[#This Row],[Tot Ht Area]]</f>
        <v>#DIV/0!</v>
      </c>
      <c r="G995" s="16"/>
      <c r="H995" s="16">
        <v>31518</v>
      </c>
      <c r="I995" s="17" t="s">
        <v>5408</v>
      </c>
      <c r="J995" s="18" t="s">
        <v>1231</v>
      </c>
      <c r="K995" s="19" t="s">
        <v>1585</v>
      </c>
      <c r="L995" s="19"/>
      <c r="M995" s="19" t="s">
        <v>5409</v>
      </c>
      <c r="N995" s="20" t="s">
        <v>1598</v>
      </c>
      <c r="O995" s="20" t="s">
        <v>27</v>
      </c>
      <c r="P995" s="21" t="s">
        <v>5410</v>
      </c>
      <c r="Q995" s="20"/>
      <c r="R995" s="20" t="s">
        <v>5411</v>
      </c>
      <c r="S995" s="20"/>
      <c r="T995" s="20"/>
      <c r="U995" s="20"/>
      <c r="V995" s="20"/>
    </row>
    <row r="996" spans="2:22" ht="34">
      <c r="B996" s="11" t="s">
        <v>5412</v>
      </c>
      <c r="C996" s="12" t="s">
        <v>20</v>
      </c>
      <c r="D996" s="13" t="s">
        <v>81</v>
      </c>
      <c r="E996" s="24">
        <v>10000000</v>
      </c>
      <c r="F996" s="25" t="e">
        <f>Table2[[#This Row],[Price]]/Table2[[#This Row],[Tot Ht Area]]</f>
        <v>#DIV/0!</v>
      </c>
      <c r="G996" s="16"/>
      <c r="H996" s="16">
        <v>67125</v>
      </c>
      <c r="I996" s="17" t="s">
        <v>5413</v>
      </c>
      <c r="J996" s="18" t="s">
        <v>57</v>
      </c>
      <c r="K996" s="19" t="s">
        <v>1320</v>
      </c>
      <c r="L996" s="19"/>
      <c r="M996" s="19" t="s">
        <v>5414</v>
      </c>
      <c r="N996" s="20" t="s">
        <v>1598</v>
      </c>
      <c r="O996" s="20" t="s">
        <v>27</v>
      </c>
      <c r="P996" s="21" t="s">
        <v>5415</v>
      </c>
      <c r="Q996" s="20"/>
      <c r="R996" s="20" t="s">
        <v>5416</v>
      </c>
      <c r="S996" s="20"/>
      <c r="T996" s="20"/>
      <c r="U996" s="20"/>
      <c r="V996" s="20"/>
    </row>
    <row r="997" spans="2:22" ht="17">
      <c r="B997" s="11" t="s">
        <v>5417</v>
      </c>
      <c r="C997" s="12" t="s">
        <v>20</v>
      </c>
      <c r="D997" s="13" t="s">
        <v>133</v>
      </c>
      <c r="E997" s="24">
        <v>1055000</v>
      </c>
      <c r="F997" s="25">
        <f>Table2[[#This Row],[Price]]/Table2[[#This Row],[Tot Ht Area]]</f>
        <v>173.69114257490946</v>
      </c>
      <c r="G997" s="16">
        <v>6074</v>
      </c>
      <c r="H997" s="16">
        <v>6074</v>
      </c>
      <c r="I997" s="17" t="s">
        <v>5418</v>
      </c>
      <c r="J997" s="18" t="s">
        <v>187</v>
      </c>
      <c r="K997" s="19" t="s">
        <v>24</v>
      </c>
      <c r="L997" s="19"/>
      <c r="M997" s="19" t="s">
        <v>5419</v>
      </c>
      <c r="N997" s="20" t="s">
        <v>1598</v>
      </c>
      <c r="O997" s="20" t="s">
        <v>27</v>
      </c>
      <c r="P997" s="21" t="s">
        <v>3042</v>
      </c>
      <c r="Q997" s="20"/>
      <c r="R997" s="20" t="s">
        <v>5420</v>
      </c>
      <c r="S997" s="20"/>
      <c r="T997" s="20"/>
      <c r="U997" s="20"/>
      <c r="V997" s="20"/>
    </row>
    <row r="998" spans="2:22" ht="51">
      <c r="B998" s="11" t="s">
        <v>5421</v>
      </c>
      <c r="C998" s="12" t="s">
        <v>20</v>
      </c>
      <c r="D998" s="13" t="s">
        <v>330</v>
      </c>
      <c r="E998" s="24">
        <v>1725000</v>
      </c>
      <c r="F998" s="25" t="e">
        <f>Table2[[#This Row],[Price]]/Table2[[#This Row],[Tot Ht Area]]</f>
        <v>#DIV/0!</v>
      </c>
      <c r="G998" s="16"/>
      <c r="H998" s="16">
        <v>9144</v>
      </c>
      <c r="I998" s="17" t="s">
        <v>5422</v>
      </c>
      <c r="J998" s="18" t="s">
        <v>316</v>
      </c>
      <c r="K998" s="19" t="s">
        <v>1630</v>
      </c>
      <c r="L998" s="19"/>
      <c r="M998" s="19" t="s">
        <v>5423</v>
      </c>
      <c r="N998" s="20" t="s">
        <v>1598</v>
      </c>
      <c r="O998" s="20" t="s">
        <v>27</v>
      </c>
      <c r="P998" s="21" t="s">
        <v>5424</v>
      </c>
      <c r="Q998" s="20"/>
      <c r="R998" s="20" t="s">
        <v>5425</v>
      </c>
      <c r="S998" s="20"/>
      <c r="T998" s="20"/>
      <c r="U998" s="20"/>
      <c r="V998" s="20"/>
    </row>
    <row r="999" spans="2:22" ht="17">
      <c r="B999" s="11" t="s">
        <v>5426</v>
      </c>
      <c r="C999" s="12" t="s">
        <v>20</v>
      </c>
      <c r="D999" s="13" t="s">
        <v>170</v>
      </c>
      <c r="E999" s="24">
        <v>565000</v>
      </c>
      <c r="F999" s="25" t="e">
        <f>Table2[[#This Row],[Price]]/Table2[[#This Row],[Tot Ht Area]]</f>
        <v>#DIV/0!</v>
      </c>
      <c r="G999" s="16"/>
      <c r="H999" s="16">
        <v>3800</v>
      </c>
      <c r="I999" s="17" t="s">
        <v>5427</v>
      </c>
      <c r="J999" s="18" t="s">
        <v>716</v>
      </c>
      <c r="K999" s="19" t="s">
        <v>172</v>
      </c>
      <c r="L999" s="19"/>
      <c r="M999" s="19" t="s">
        <v>5428</v>
      </c>
      <c r="N999" s="20" t="s">
        <v>1598</v>
      </c>
      <c r="O999" s="20" t="s">
        <v>27</v>
      </c>
      <c r="P999" s="21" t="s">
        <v>5429</v>
      </c>
      <c r="Q999" s="20"/>
      <c r="R999" s="20" t="s">
        <v>5430</v>
      </c>
      <c r="S999" s="20"/>
      <c r="T999" s="20"/>
      <c r="U999" s="20"/>
      <c r="V999" s="20"/>
    </row>
    <row r="1000" spans="2:22" ht="34">
      <c r="B1000" s="11" t="s">
        <v>5431</v>
      </c>
      <c r="C1000" s="12" t="s">
        <v>20</v>
      </c>
      <c r="D1000" s="13" t="s">
        <v>982</v>
      </c>
      <c r="E1000" s="24">
        <v>600000</v>
      </c>
      <c r="F1000" s="25" t="e">
        <f>Table2[[#This Row],[Price]]/Table2[[#This Row],[Tot Ht Area]]</f>
        <v>#DIV/0!</v>
      </c>
      <c r="G1000" s="16"/>
      <c r="H1000" s="16">
        <v>4512</v>
      </c>
      <c r="I1000" s="17" t="s">
        <v>5432</v>
      </c>
      <c r="J1000" s="18" t="s">
        <v>716</v>
      </c>
      <c r="K1000" s="19" t="s">
        <v>172</v>
      </c>
      <c r="L1000" s="19"/>
      <c r="M1000" s="19" t="s">
        <v>5433</v>
      </c>
      <c r="N1000" s="20" t="s">
        <v>1598</v>
      </c>
      <c r="O1000" s="20" t="s">
        <v>27</v>
      </c>
      <c r="P1000" s="21" t="s">
        <v>5434</v>
      </c>
      <c r="Q1000" s="20"/>
      <c r="R1000" s="20" t="s">
        <v>5435</v>
      </c>
      <c r="S1000" s="20"/>
      <c r="T1000" s="20"/>
      <c r="U1000" s="20"/>
      <c r="V1000" s="20"/>
    </row>
    <row r="1001" spans="2:22" ht="34">
      <c r="B1001" s="11" t="s">
        <v>5436</v>
      </c>
      <c r="C1001" s="12" t="s">
        <v>20</v>
      </c>
      <c r="D1001" s="13" t="s">
        <v>372</v>
      </c>
      <c r="E1001" s="24">
        <v>705000</v>
      </c>
      <c r="F1001" s="25" t="e">
        <f>Table2[[#This Row],[Price]]/Table2[[#This Row],[Tot Ht Area]]</f>
        <v>#DIV/0!</v>
      </c>
      <c r="G1001" s="16"/>
      <c r="H1001" s="16">
        <v>3230</v>
      </c>
      <c r="I1001" s="17" t="s">
        <v>5437</v>
      </c>
      <c r="J1001" s="18" t="s">
        <v>57</v>
      </c>
      <c r="K1001" s="19" t="s">
        <v>24</v>
      </c>
      <c r="L1001" s="19"/>
      <c r="M1001" s="19" t="s">
        <v>5438</v>
      </c>
      <c r="N1001" s="20" t="s">
        <v>1598</v>
      </c>
      <c r="O1001" s="20" t="s">
        <v>27</v>
      </c>
      <c r="P1001" s="21" t="s">
        <v>5439</v>
      </c>
      <c r="Q1001" s="20"/>
      <c r="R1001" s="20" t="s">
        <v>5440</v>
      </c>
      <c r="S1001" s="20"/>
      <c r="T1001" s="20"/>
      <c r="U1001" s="20"/>
      <c r="V1001" s="20"/>
    </row>
    <row r="1002" spans="2:22" ht="51">
      <c r="B1002" s="11" t="s">
        <v>5441</v>
      </c>
      <c r="C1002" s="12" t="s">
        <v>20</v>
      </c>
      <c r="D1002" s="13" t="s">
        <v>158</v>
      </c>
      <c r="E1002" s="24">
        <v>100</v>
      </c>
      <c r="F1002" s="25" t="e">
        <f>Table2[[#This Row],[Price]]/Table2[[#This Row],[Tot Ht Area]]</f>
        <v>#DIV/0!</v>
      </c>
      <c r="G1002" s="16"/>
      <c r="H1002" s="16">
        <v>2584</v>
      </c>
      <c r="I1002" s="17" t="s">
        <v>5442</v>
      </c>
      <c r="J1002" s="18" t="s">
        <v>57</v>
      </c>
      <c r="K1002" s="19" t="s">
        <v>1320</v>
      </c>
      <c r="L1002" s="19"/>
      <c r="M1002" s="19" t="s">
        <v>5443</v>
      </c>
      <c r="N1002" s="20" t="s">
        <v>1598</v>
      </c>
      <c r="O1002" s="20" t="s">
        <v>27</v>
      </c>
      <c r="P1002" s="21" t="s">
        <v>4614</v>
      </c>
      <c r="Q1002" s="20"/>
      <c r="R1002" s="20" t="s">
        <v>5444</v>
      </c>
      <c r="S1002" s="20"/>
      <c r="T1002" s="20" t="s">
        <v>6318</v>
      </c>
      <c r="U1002" s="20"/>
      <c r="V1002" s="20"/>
    </row>
    <row r="1003" spans="2:22" ht="17">
      <c r="B1003" s="11" t="s">
        <v>5445</v>
      </c>
      <c r="C1003" s="12" t="s">
        <v>20</v>
      </c>
      <c r="D1003" s="13" t="s">
        <v>141</v>
      </c>
      <c r="E1003" s="24">
        <v>455000</v>
      </c>
      <c r="F1003" s="25" t="e">
        <f>Table2[[#This Row],[Price]]/Table2[[#This Row],[Tot Ht Area]]</f>
        <v>#DIV/0!</v>
      </c>
      <c r="G1003" s="16"/>
      <c r="H1003" s="16">
        <v>2865</v>
      </c>
      <c r="I1003" s="17" t="s">
        <v>5446</v>
      </c>
      <c r="J1003" s="18" t="s">
        <v>278</v>
      </c>
      <c r="K1003" s="19" t="s">
        <v>1320</v>
      </c>
      <c r="L1003" s="19"/>
      <c r="M1003" s="19" t="s">
        <v>5447</v>
      </c>
      <c r="N1003" s="20" t="s">
        <v>1598</v>
      </c>
      <c r="O1003" s="20" t="s">
        <v>27</v>
      </c>
      <c r="P1003" s="21" t="s">
        <v>5448</v>
      </c>
      <c r="Q1003" s="20"/>
      <c r="R1003" s="20" t="s">
        <v>5449</v>
      </c>
      <c r="S1003" s="20"/>
      <c r="T1003" s="20"/>
      <c r="U1003" s="20"/>
      <c r="V1003" s="20"/>
    </row>
    <row r="1004" spans="2:22" ht="17">
      <c r="B1004" s="11" t="s">
        <v>5450</v>
      </c>
      <c r="C1004" s="12" t="s">
        <v>20</v>
      </c>
      <c r="D1004" s="13" t="s">
        <v>779</v>
      </c>
      <c r="E1004" s="24">
        <v>900000</v>
      </c>
      <c r="F1004" s="25">
        <f>Table2[[#This Row],[Price]]/Table2[[#This Row],[Tot Ht Area]]</f>
        <v>422.53521126760563</v>
      </c>
      <c r="G1004" s="16">
        <v>2130</v>
      </c>
      <c r="H1004" s="16">
        <v>2130</v>
      </c>
      <c r="I1004" s="17" t="s">
        <v>5451</v>
      </c>
      <c r="J1004" s="18" t="s">
        <v>358</v>
      </c>
      <c r="K1004" s="19" t="s">
        <v>172</v>
      </c>
      <c r="L1004" s="19"/>
      <c r="M1004" s="19" t="s">
        <v>5452</v>
      </c>
      <c r="N1004" s="20" t="s">
        <v>1598</v>
      </c>
      <c r="O1004" s="20" t="s">
        <v>27</v>
      </c>
      <c r="P1004" s="21" t="s">
        <v>5453</v>
      </c>
      <c r="Q1004" s="20"/>
      <c r="R1004" s="20" t="s">
        <v>5454</v>
      </c>
      <c r="S1004" s="20"/>
      <c r="T1004" s="20"/>
      <c r="U1004" s="20"/>
      <c r="V1004" s="20"/>
    </row>
    <row r="1005" spans="2:22" ht="17">
      <c r="B1005" s="11" t="s">
        <v>5455</v>
      </c>
      <c r="C1005" s="12" t="s">
        <v>20</v>
      </c>
      <c r="D1005" s="13" t="s">
        <v>223</v>
      </c>
      <c r="E1005" s="24">
        <v>550000</v>
      </c>
      <c r="F1005" s="25" t="e">
        <f>Table2[[#This Row],[Price]]/Table2[[#This Row],[Tot Ht Area]]</f>
        <v>#DIV/0!</v>
      </c>
      <c r="G1005" s="16"/>
      <c r="H1005" s="16">
        <v>10123</v>
      </c>
      <c r="I1005" s="17" t="s">
        <v>5456</v>
      </c>
      <c r="J1005" s="18" t="s">
        <v>2150</v>
      </c>
      <c r="K1005" s="19" t="s">
        <v>1320</v>
      </c>
      <c r="L1005" s="19"/>
      <c r="M1005" s="19" t="s">
        <v>5457</v>
      </c>
      <c r="N1005" s="20" t="s">
        <v>1598</v>
      </c>
      <c r="O1005" s="20" t="s">
        <v>27</v>
      </c>
      <c r="P1005" s="21" t="s">
        <v>5458</v>
      </c>
      <c r="Q1005" s="20"/>
      <c r="R1005" s="20" t="s">
        <v>5459</v>
      </c>
      <c r="S1005" s="20"/>
      <c r="T1005" s="20"/>
      <c r="U1005" s="20"/>
      <c r="V1005" s="20"/>
    </row>
    <row r="1006" spans="2:22" ht="34">
      <c r="B1006" s="11" t="s">
        <v>5460</v>
      </c>
      <c r="C1006" s="12" t="s">
        <v>20</v>
      </c>
      <c r="D1006" s="13" t="s">
        <v>223</v>
      </c>
      <c r="E1006" s="24">
        <v>100</v>
      </c>
      <c r="F1006" s="25" t="e">
        <f>Table2[[#This Row],[Price]]/Table2[[#This Row],[Tot Ht Area]]</f>
        <v>#DIV/0!</v>
      </c>
      <c r="G1006" s="16"/>
      <c r="H1006" s="16">
        <v>2485</v>
      </c>
      <c r="I1006" s="17" t="s">
        <v>5461</v>
      </c>
      <c r="J1006" s="18" t="s">
        <v>560</v>
      </c>
      <c r="K1006" s="19" t="s">
        <v>1320</v>
      </c>
      <c r="L1006" s="19"/>
      <c r="M1006" s="19" t="s">
        <v>5462</v>
      </c>
      <c r="N1006" s="20" t="s">
        <v>1598</v>
      </c>
      <c r="O1006" s="20" t="s">
        <v>27</v>
      </c>
      <c r="P1006" s="21" t="s">
        <v>5463</v>
      </c>
      <c r="Q1006" s="20"/>
      <c r="R1006" s="20" t="s">
        <v>5464</v>
      </c>
      <c r="S1006" s="20"/>
      <c r="T1006" s="20" t="s">
        <v>6318</v>
      </c>
      <c r="U1006" s="20"/>
      <c r="V1006" s="20"/>
    </row>
    <row r="1007" spans="2:22" ht="34">
      <c r="B1007" s="11" t="s">
        <v>5465</v>
      </c>
      <c r="C1007" s="12" t="s">
        <v>20</v>
      </c>
      <c r="D1007" s="13" t="s">
        <v>591</v>
      </c>
      <c r="E1007" s="24">
        <v>960000</v>
      </c>
      <c r="F1007" s="25" t="e">
        <f>Table2[[#This Row],[Price]]/Table2[[#This Row],[Tot Ht Area]]</f>
        <v>#DIV/0!</v>
      </c>
      <c r="G1007" s="16"/>
      <c r="H1007" s="16">
        <v>5056</v>
      </c>
      <c r="I1007" s="17" t="s">
        <v>5466</v>
      </c>
      <c r="J1007" s="18" t="s">
        <v>415</v>
      </c>
      <c r="K1007" s="19" t="s">
        <v>1320</v>
      </c>
      <c r="L1007" s="19"/>
      <c r="M1007" s="19" t="s">
        <v>5467</v>
      </c>
      <c r="N1007" s="20" t="s">
        <v>1598</v>
      </c>
      <c r="O1007" s="20" t="s">
        <v>27</v>
      </c>
      <c r="P1007" s="21" t="s">
        <v>5468</v>
      </c>
      <c r="Q1007" s="20"/>
      <c r="R1007" s="20" t="s">
        <v>5469</v>
      </c>
      <c r="S1007" s="20"/>
      <c r="T1007" s="20"/>
      <c r="U1007" s="20"/>
      <c r="V1007" s="20"/>
    </row>
    <row r="1008" spans="2:22" ht="17">
      <c r="B1008" s="11" t="s">
        <v>5470</v>
      </c>
      <c r="C1008" s="12" t="s">
        <v>20</v>
      </c>
      <c r="D1008" s="13" t="s">
        <v>276</v>
      </c>
      <c r="E1008" s="24">
        <v>100</v>
      </c>
      <c r="F1008" s="25" t="e">
        <f>Table2[[#This Row],[Price]]/Table2[[#This Row],[Tot Ht Area]]</f>
        <v>#DIV/0!</v>
      </c>
      <c r="G1008" s="16"/>
      <c r="H1008" s="16">
        <v>14924</v>
      </c>
      <c r="I1008" s="17" t="s">
        <v>5471</v>
      </c>
      <c r="J1008" s="18" t="s">
        <v>57</v>
      </c>
      <c r="K1008" s="19" t="s">
        <v>1630</v>
      </c>
      <c r="L1008" s="19"/>
      <c r="M1008" s="19" t="s">
        <v>5472</v>
      </c>
      <c r="N1008" s="20" t="s">
        <v>1598</v>
      </c>
      <c r="O1008" s="20" t="s">
        <v>27</v>
      </c>
      <c r="P1008" s="21" t="s">
        <v>5473</v>
      </c>
      <c r="Q1008" s="20"/>
      <c r="R1008" s="20" t="s">
        <v>5474</v>
      </c>
      <c r="S1008" s="20"/>
      <c r="T1008" s="20" t="s">
        <v>6318</v>
      </c>
      <c r="U1008" s="20"/>
      <c r="V1008" s="20"/>
    </row>
    <row r="1009" spans="2:22" ht="17">
      <c r="B1009" s="11" t="s">
        <v>5475</v>
      </c>
      <c r="C1009" s="12" t="s">
        <v>20</v>
      </c>
      <c r="D1009" s="13" t="s">
        <v>1490</v>
      </c>
      <c r="E1009" s="24">
        <v>1900000</v>
      </c>
      <c r="F1009" s="25" t="e">
        <f>Table2[[#This Row],[Price]]/Table2[[#This Row],[Tot Ht Area]]</f>
        <v>#DIV/0!</v>
      </c>
      <c r="G1009" s="16"/>
      <c r="H1009" s="16">
        <v>10761</v>
      </c>
      <c r="I1009" s="17" t="s">
        <v>5476</v>
      </c>
      <c r="J1009" s="18" t="s">
        <v>57</v>
      </c>
      <c r="K1009" s="19" t="s">
        <v>1320</v>
      </c>
      <c r="L1009" s="19"/>
      <c r="M1009" s="19" t="s">
        <v>5477</v>
      </c>
      <c r="N1009" s="20" t="s">
        <v>1598</v>
      </c>
      <c r="O1009" s="20" t="s">
        <v>27</v>
      </c>
      <c r="P1009" s="21" t="s">
        <v>5478</v>
      </c>
      <c r="Q1009" s="20"/>
      <c r="R1009" s="20" t="s">
        <v>5479</v>
      </c>
      <c r="S1009" s="20"/>
      <c r="T1009" s="20"/>
      <c r="U1009" s="20"/>
      <c r="V1009" s="20"/>
    </row>
    <row r="1010" spans="2:22" ht="34">
      <c r="B1010" s="11" t="s">
        <v>5480</v>
      </c>
      <c r="C1010" s="12" t="s">
        <v>20</v>
      </c>
      <c r="D1010" s="13" t="s">
        <v>611</v>
      </c>
      <c r="E1010" s="24">
        <v>100</v>
      </c>
      <c r="F1010" s="25" t="e">
        <f>Table2[[#This Row],[Price]]/Table2[[#This Row],[Tot Ht Area]]</f>
        <v>#DIV/0!</v>
      </c>
      <c r="G1010" s="16"/>
      <c r="H1010" s="16">
        <v>3490</v>
      </c>
      <c r="I1010" s="17" t="s">
        <v>5481</v>
      </c>
      <c r="J1010" s="18" t="s">
        <v>560</v>
      </c>
      <c r="K1010" s="19" t="s">
        <v>24</v>
      </c>
      <c r="L1010" s="19"/>
      <c r="M1010" s="19" t="s">
        <v>5482</v>
      </c>
      <c r="N1010" s="20" t="s">
        <v>1598</v>
      </c>
      <c r="O1010" s="20" t="s">
        <v>27</v>
      </c>
      <c r="P1010" s="21" t="s">
        <v>5483</v>
      </c>
      <c r="Q1010" s="20"/>
      <c r="R1010" s="20" t="s">
        <v>5484</v>
      </c>
      <c r="S1010" s="20"/>
      <c r="T1010" s="20" t="s">
        <v>6318</v>
      </c>
      <c r="U1010" s="20"/>
      <c r="V1010" s="20"/>
    </row>
    <row r="1011" spans="2:22" ht="17">
      <c r="B1011" s="11" t="s">
        <v>5485</v>
      </c>
      <c r="C1011" s="12" t="s">
        <v>20</v>
      </c>
      <c r="D1011" s="13" t="s">
        <v>158</v>
      </c>
      <c r="E1011" s="24">
        <v>100</v>
      </c>
      <c r="F1011" s="25" t="e">
        <f>Table2[[#This Row],[Price]]/Table2[[#This Row],[Tot Ht Area]]</f>
        <v>#DIV/0!</v>
      </c>
      <c r="G1011" s="16"/>
      <c r="H1011" s="16">
        <v>3344</v>
      </c>
      <c r="I1011" s="17" t="s">
        <v>5486</v>
      </c>
      <c r="J1011" s="18" t="s">
        <v>278</v>
      </c>
      <c r="K1011" s="19" t="s">
        <v>1320</v>
      </c>
      <c r="L1011" s="19"/>
      <c r="M1011" s="19" t="s">
        <v>5487</v>
      </c>
      <c r="N1011" s="20" t="s">
        <v>1598</v>
      </c>
      <c r="O1011" s="20" t="s">
        <v>27</v>
      </c>
      <c r="P1011" s="21" t="s">
        <v>5488</v>
      </c>
      <c r="Q1011" s="20"/>
      <c r="R1011" s="20" t="s">
        <v>5489</v>
      </c>
      <c r="S1011" s="20"/>
      <c r="T1011" s="20" t="s">
        <v>6318</v>
      </c>
      <c r="U1011" s="20"/>
      <c r="V1011" s="20"/>
    </row>
    <row r="1012" spans="2:22" ht="34">
      <c r="B1012" s="11" t="s">
        <v>5490</v>
      </c>
      <c r="C1012" s="12" t="s">
        <v>20</v>
      </c>
      <c r="D1012" s="13" t="s">
        <v>436</v>
      </c>
      <c r="E1012" s="24">
        <v>100</v>
      </c>
      <c r="F1012" s="25" t="e">
        <f>Table2[[#This Row],[Price]]/Table2[[#This Row],[Tot Ht Area]]</f>
        <v>#DIV/0!</v>
      </c>
      <c r="G1012" s="16"/>
      <c r="H1012" s="16">
        <v>62400</v>
      </c>
      <c r="I1012" s="17" t="s">
        <v>1715</v>
      </c>
      <c r="J1012" s="18" t="s">
        <v>1492</v>
      </c>
      <c r="K1012" s="19" t="s">
        <v>1716</v>
      </c>
      <c r="L1012" s="19"/>
      <c r="M1012" s="19" t="s">
        <v>5491</v>
      </c>
      <c r="N1012" s="20" t="s">
        <v>1598</v>
      </c>
      <c r="O1012" s="20" t="s">
        <v>27</v>
      </c>
      <c r="P1012" s="21" t="s">
        <v>5492</v>
      </c>
      <c r="Q1012" s="20"/>
      <c r="R1012" s="20" t="s">
        <v>5493</v>
      </c>
      <c r="S1012" s="20"/>
      <c r="T1012" s="20" t="s">
        <v>6318</v>
      </c>
      <c r="U1012" s="20"/>
      <c r="V1012" s="20"/>
    </row>
    <row r="1013" spans="2:22" ht="34">
      <c r="B1013" s="11" t="s">
        <v>5494</v>
      </c>
      <c r="C1013" s="12" t="s">
        <v>20</v>
      </c>
      <c r="D1013" s="13" t="s">
        <v>611</v>
      </c>
      <c r="E1013" s="24">
        <v>352600</v>
      </c>
      <c r="F1013" s="25">
        <f>Table2[[#This Row],[Price]]/Table2[[#This Row],[Tot Ht Area]]</f>
        <v>143.2750914262495</v>
      </c>
      <c r="G1013" s="16">
        <v>2461</v>
      </c>
      <c r="H1013" s="16">
        <v>2461</v>
      </c>
      <c r="I1013" s="17" t="s">
        <v>5495</v>
      </c>
      <c r="J1013" s="18" t="s">
        <v>75</v>
      </c>
      <c r="K1013" s="19" t="s">
        <v>172</v>
      </c>
      <c r="L1013" s="19"/>
      <c r="M1013" s="19" t="s">
        <v>5496</v>
      </c>
      <c r="N1013" s="20" t="s">
        <v>1598</v>
      </c>
      <c r="O1013" s="20" t="s">
        <v>27</v>
      </c>
      <c r="P1013" s="21" t="s">
        <v>5497</v>
      </c>
      <c r="Q1013" s="20"/>
      <c r="R1013" s="20" t="s">
        <v>5498</v>
      </c>
      <c r="S1013" s="20"/>
      <c r="T1013" s="20"/>
      <c r="U1013" s="20"/>
      <c r="V1013" s="20"/>
    </row>
    <row r="1014" spans="2:22" ht="34">
      <c r="B1014" s="11" t="s">
        <v>5499</v>
      </c>
      <c r="C1014" s="12" t="s">
        <v>20</v>
      </c>
      <c r="D1014" s="13" t="s">
        <v>133</v>
      </c>
      <c r="E1014" s="24">
        <v>3150000</v>
      </c>
      <c r="F1014" s="25">
        <f>Table2[[#This Row],[Price]]/Table2[[#This Row],[Tot Ht Area]]</f>
        <v>468.75</v>
      </c>
      <c r="G1014" s="16">
        <v>6720</v>
      </c>
      <c r="H1014" s="16">
        <v>14080</v>
      </c>
      <c r="I1014" s="17" t="s">
        <v>5500</v>
      </c>
      <c r="J1014" s="18" t="s">
        <v>1231</v>
      </c>
      <c r="K1014" s="19" t="s">
        <v>172</v>
      </c>
      <c r="L1014" s="19"/>
      <c r="M1014" s="19" t="s">
        <v>5501</v>
      </c>
      <c r="N1014" s="20" t="s">
        <v>1598</v>
      </c>
      <c r="O1014" s="20" t="s">
        <v>27</v>
      </c>
      <c r="P1014" s="21" t="s">
        <v>5502</v>
      </c>
      <c r="Q1014" s="20"/>
      <c r="R1014" s="20" t="s">
        <v>5503</v>
      </c>
      <c r="S1014" s="20"/>
      <c r="T1014" s="20"/>
      <c r="U1014" s="20"/>
      <c r="V1014" s="20"/>
    </row>
    <row r="1015" spans="2:22" ht="17">
      <c r="B1015" s="11" t="s">
        <v>5504</v>
      </c>
      <c r="C1015" s="12" t="s">
        <v>20</v>
      </c>
      <c r="D1015" s="13" t="s">
        <v>177</v>
      </c>
      <c r="E1015" s="24">
        <v>450000</v>
      </c>
      <c r="F1015" s="25">
        <f>Table2[[#This Row],[Price]]/Table2[[#This Row],[Tot Ht Area]]</f>
        <v>155.17241379310346</v>
      </c>
      <c r="G1015" s="16">
        <v>2900</v>
      </c>
      <c r="H1015" s="16">
        <v>2900</v>
      </c>
      <c r="I1015" s="17" t="s">
        <v>5505</v>
      </c>
      <c r="J1015" s="18" t="s">
        <v>1231</v>
      </c>
      <c r="K1015" s="19" t="s">
        <v>172</v>
      </c>
      <c r="L1015" s="19"/>
      <c r="M1015" s="19" t="s">
        <v>5506</v>
      </c>
      <c r="N1015" s="20" t="s">
        <v>1598</v>
      </c>
      <c r="O1015" s="20" t="s">
        <v>27</v>
      </c>
      <c r="P1015" s="21" t="s">
        <v>5507</v>
      </c>
      <c r="Q1015" s="20"/>
      <c r="R1015" s="20" t="s">
        <v>5508</v>
      </c>
      <c r="S1015" s="20"/>
      <c r="T1015" s="20"/>
      <c r="U1015" s="20"/>
      <c r="V1015" s="20"/>
    </row>
    <row r="1016" spans="2:22" ht="34">
      <c r="B1016" s="11" t="s">
        <v>5509</v>
      </c>
      <c r="C1016" s="12" t="s">
        <v>20</v>
      </c>
      <c r="D1016" s="13" t="s">
        <v>2642</v>
      </c>
      <c r="E1016" s="24">
        <v>525000</v>
      </c>
      <c r="F1016" s="25">
        <f>Table2[[#This Row],[Price]]/Table2[[#This Row],[Tot Ht Area]]</f>
        <v>179.79452054794521</v>
      </c>
      <c r="G1016" s="16">
        <v>2920</v>
      </c>
      <c r="H1016" s="16">
        <v>2920</v>
      </c>
      <c r="I1016" s="17" t="s">
        <v>5510</v>
      </c>
      <c r="J1016" s="18" t="s">
        <v>1231</v>
      </c>
      <c r="K1016" s="19" t="s">
        <v>172</v>
      </c>
      <c r="L1016" s="19"/>
      <c r="M1016" s="19" t="s">
        <v>5511</v>
      </c>
      <c r="N1016" s="20" t="s">
        <v>1598</v>
      </c>
      <c r="O1016" s="20" t="s">
        <v>27</v>
      </c>
      <c r="P1016" s="21" t="s">
        <v>5512</v>
      </c>
      <c r="Q1016" s="20"/>
      <c r="R1016" s="20" t="s">
        <v>5513</v>
      </c>
      <c r="S1016" s="20"/>
      <c r="T1016" s="20"/>
      <c r="U1016" s="20"/>
      <c r="V1016" s="20"/>
    </row>
    <row r="1017" spans="2:22" ht="51">
      <c r="B1017" s="11" t="s">
        <v>5514</v>
      </c>
      <c r="C1017" s="12" t="s">
        <v>20</v>
      </c>
      <c r="D1017" s="13" t="s">
        <v>4272</v>
      </c>
      <c r="E1017" s="24">
        <v>4250000</v>
      </c>
      <c r="F1017" s="25">
        <f>Table2[[#This Row],[Price]]/Table2[[#This Row],[Tot Ht Area]]</f>
        <v>192.90123456790124</v>
      </c>
      <c r="G1017" s="16">
        <v>22032</v>
      </c>
      <c r="H1017" s="16">
        <v>22032</v>
      </c>
      <c r="I1017" s="17" t="s">
        <v>5515</v>
      </c>
      <c r="J1017" s="18" t="s">
        <v>278</v>
      </c>
      <c r="K1017" s="19" t="s">
        <v>48</v>
      </c>
      <c r="L1017" s="19"/>
      <c r="M1017" s="19" t="s">
        <v>5516</v>
      </c>
      <c r="N1017" s="20" t="s">
        <v>1598</v>
      </c>
      <c r="O1017" s="20" t="s">
        <v>27</v>
      </c>
      <c r="P1017" s="21" t="s">
        <v>5517</v>
      </c>
      <c r="Q1017" s="20"/>
      <c r="R1017" s="20" t="s">
        <v>5518</v>
      </c>
      <c r="S1017" s="20"/>
      <c r="T1017" s="20"/>
      <c r="U1017" s="20"/>
      <c r="V1017" s="20"/>
    </row>
    <row r="1018" spans="2:22" ht="34">
      <c r="B1018" s="11" t="s">
        <v>5519</v>
      </c>
      <c r="C1018" s="12" t="s">
        <v>20</v>
      </c>
      <c r="D1018" s="13" t="s">
        <v>1641</v>
      </c>
      <c r="E1018" s="24">
        <v>5350000</v>
      </c>
      <c r="F1018" s="25" t="e">
        <f>Table2[[#This Row],[Price]]/Table2[[#This Row],[Tot Ht Area]]</f>
        <v>#DIV/0!</v>
      </c>
      <c r="G1018" s="16"/>
      <c r="H1018" s="16">
        <v>3704</v>
      </c>
      <c r="I1018" s="17" t="s">
        <v>5520</v>
      </c>
      <c r="J1018" s="18" t="s">
        <v>560</v>
      </c>
      <c r="K1018" s="19" t="s">
        <v>1320</v>
      </c>
      <c r="L1018" s="19"/>
      <c r="M1018" s="19" t="s">
        <v>5521</v>
      </c>
      <c r="N1018" s="20" t="s">
        <v>1598</v>
      </c>
      <c r="O1018" s="20" t="s">
        <v>27</v>
      </c>
      <c r="P1018" s="21" t="s">
        <v>3272</v>
      </c>
      <c r="Q1018" s="20"/>
      <c r="R1018" s="20" t="s">
        <v>5522</v>
      </c>
      <c r="S1018" s="20"/>
      <c r="T1018" s="20"/>
      <c r="U1018" s="20"/>
      <c r="V1018" s="20"/>
    </row>
    <row r="1019" spans="2:22" ht="34">
      <c r="B1019" s="11" t="s">
        <v>5523</v>
      </c>
      <c r="C1019" s="12" t="s">
        <v>20</v>
      </c>
      <c r="D1019" s="13" t="s">
        <v>1641</v>
      </c>
      <c r="E1019" s="24">
        <v>5350000</v>
      </c>
      <c r="F1019" s="25">
        <f>Table2[[#This Row],[Price]]/Table2[[#This Row],[Tot Ht Area]]</f>
        <v>630.97063332940206</v>
      </c>
      <c r="G1019" s="16">
        <v>8479</v>
      </c>
      <c r="H1019" s="16">
        <v>7641</v>
      </c>
      <c r="I1019" s="17" t="s">
        <v>5520</v>
      </c>
      <c r="J1019" s="18" t="s">
        <v>4162</v>
      </c>
      <c r="K1019" s="19" t="s">
        <v>24</v>
      </c>
      <c r="L1019" s="19"/>
      <c r="M1019" s="19" t="s">
        <v>5524</v>
      </c>
      <c r="N1019" s="20" t="s">
        <v>1598</v>
      </c>
      <c r="O1019" s="20" t="s">
        <v>27</v>
      </c>
      <c r="P1019" s="21" t="s">
        <v>3272</v>
      </c>
      <c r="Q1019" s="20"/>
      <c r="R1019" s="20" t="s">
        <v>5525</v>
      </c>
      <c r="S1019" s="20"/>
      <c r="T1019" s="20"/>
      <c r="U1019" s="20"/>
      <c r="V1019" s="20"/>
    </row>
    <row r="1020" spans="2:22" ht="17">
      <c r="B1020" s="11" t="s">
        <v>5526</v>
      </c>
      <c r="C1020" s="12" t="s">
        <v>20</v>
      </c>
      <c r="D1020" s="13" t="s">
        <v>995</v>
      </c>
      <c r="E1020" s="24">
        <v>21100000</v>
      </c>
      <c r="F1020" s="25" t="e">
        <f>Table2[[#This Row],[Price]]/Table2[[#This Row],[Tot Ht Area]]</f>
        <v>#DIV/0!</v>
      </c>
      <c r="G1020" s="16"/>
      <c r="H1020" s="16">
        <v>101264</v>
      </c>
      <c r="I1020" s="17" t="s">
        <v>5527</v>
      </c>
      <c r="J1020" s="18" t="s">
        <v>126</v>
      </c>
      <c r="K1020" s="19" t="s">
        <v>5528</v>
      </c>
      <c r="L1020" s="19"/>
      <c r="M1020" s="19" t="s">
        <v>5529</v>
      </c>
      <c r="N1020" s="20" t="s">
        <v>1598</v>
      </c>
      <c r="O1020" s="20" t="s">
        <v>27</v>
      </c>
      <c r="P1020" s="21" t="s">
        <v>3197</v>
      </c>
      <c r="Q1020" s="20" t="s">
        <v>5530</v>
      </c>
      <c r="R1020" s="20" t="s">
        <v>5531</v>
      </c>
      <c r="S1020" s="20"/>
      <c r="T1020" s="20"/>
      <c r="U1020" s="20"/>
      <c r="V1020" s="20"/>
    </row>
    <row r="1021" spans="2:22" ht="34">
      <c r="B1021" s="11" t="s">
        <v>5532</v>
      </c>
      <c r="C1021" s="12" t="s">
        <v>20</v>
      </c>
      <c r="D1021" s="13" t="s">
        <v>231</v>
      </c>
      <c r="E1021" s="24">
        <v>100</v>
      </c>
      <c r="F1021" s="25" t="e">
        <f>Table2[[#This Row],[Price]]/Table2[[#This Row],[Tot Ht Area]]</f>
        <v>#DIV/0!</v>
      </c>
      <c r="G1021" s="16"/>
      <c r="H1021" s="16">
        <v>8064</v>
      </c>
      <c r="I1021" s="17" t="s">
        <v>5533</v>
      </c>
      <c r="J1021" s="18" t="s">
        <v>430</v>
      </c>
      <c r="K1021" s="19" t="s">
        <v>1630</v>
      </c>
      <c r="L1021" s="19"/>
      <c r="M1021" s="19" t="s">
        <v>5534</v>
      </c>
      <c r="N1021" s="20" t="s">
        <v>1598</v>
      </c>
      <c r="O1021" s="20" t="s">
        <v>27</v>
      </c>
      <c r="P1021" s="21" t="s">
        <v>5533</v>
      </c>
      <c r="Q1021" s="20"/>
      <c r="R1021" s="20" t="s">
        <v>5535</v>
      </c>
      <c r="S1021" s="20"/>
      <c r="T1021" s="20" t="s">
        <v>6318</v>
      </c>
      <c r="U1021" s="20"/>
      <c r="V1021" s="20"/>
    </row>
    <row r="1022" spans="2:22" ht="17">
      <c r="B1022" s="11" t="s">
        <v>5536</v>
      </c>
      <c r="C1022" s="12" t="s">
        <v>20</v>
      </c>
      <c r="D1022" s="13" t="s">
        <v>170</v>
      </c>
      <c r="E1022" s="24">
        <v>2900000</v>
      </c>
      <c r="F1022" s="25" t="e">
        <f>Table2[[#This Row],[Price]]/Table2[[#This Row],[Tot Ht Area]]</f>
        <v>#DIV/0!</v>
      </c>
      <c r="G1022" s="16"/>
      <c r="H1022" s="16">
        <v>36168</v>
      </c>
      <c r="I1022" s="17" t="s">
        <v>5537</v>
      </c>
      <c r="J1022" s="18" t="s">
        <v>1231</v>
      </c>
      <c r="K1022" s="19" t="s">
        <v>1585</v>
      </c>
      <c r="L1022" s="19"/>
      <c r="M1022" s="19" t="s">
        <v>5538</v>
      </c>
      <c r="N1022" s="20" t="s">
        <v>1598</v>
      </c>
      <c r="O1022" s="20" t="s">
        <v>27</v>
      </c>
      <c r="P1022" s="21" t="s">
        <v>5539</v>
      </c>
      <c r="Q1022" s="20"/>
      <c r="R1022" s="20" t="s">
        <v>5540</v>
      </c>
      <c r="S1022" s="20"/>
      <c r="T1022" s="20"/>
      <c r="U1022" s="20"/>
      <c r="V1022" s="20"/>
    </row>
    <row r="1023" spans="2:22" ht="17">
      <c r="B1023" s="11" t="s">
        <v>5541</v>
      </c>
      <c r="C1023" s="12" t="s">
        <v>20</v>
      </c>
      <c r="D1023" s="13" t="s">
        <v>428</v>
      </c>
      <c r="E1023" s="24">
        <v>625000</v>
      </c>
      <c r="F1023" s="25">
        <f>Table2[[#This Row],[Price]]/Table2[[#This Row],[Tot Ht Area]]</f>
        <v>150.82046332046332</v>
      </c>
      <c r="G1023" s="16">
        <v>4144</v>
      </c>
      <c r="H1023" s="16">
        <v>4144</v>
      </c>
      <c r="I1023" s="17" t="s">
        <v>5542</v>
      </c>
      <c r="J1023" s="18" t="s">
        <v>126</v>
      </c>
      <c r="K1023" s="19" t="s">
        <v>24</v>
      </c>
      <c r="L1023" s="19"/>
      <c r="M1023" s="19" t="s">
        <v>5543</v>
      </c>
      <c r="N1023" s="20" t="s">
        <v>1598</v>
      </c>
      <c r="O1023" s="20" t="s">
        <v>27</v>
      </c>
      <c r="P1023" s="21" t="s">
        <v>5544</v>
      </c>
      <c r="Q1023" s="20"/>
      <c r="R1023" s="20" t="s">
        <v>5545</v>
      </c>
      <c r="S1023" s="20"/>
      <c r="T1023" s="20"/>
      <c r="U1023" s="20"/>
      <c r="V1023" s="20"/>
    </row>
    <row r="1024" spans="2:22" ht="17">
      <c r="B1024" s="11" t="s">
        <v>5546</v>
      </c>
      <c r="C1024" s="12" t="s">
        <v>20</v>
      </c>
      <c r="D1024" s="13" t="s">
        <v>260</v>
      </c>
      <c r="E1024" s="24">
        <v>770000</v>
      </c>
      <c r="F1024" s="25" t="e">
        <f>Table2[[#This Row],[Price]]/Table2[[#This Row],[Tot Ht Area]]</f>
        <v>#DIV/0!</v>
      </c>
      <c r="G1024" s="16"/>
      <c r="H1024" s="16">
        <v>2340</v>
      </c>
      <c r="I1024" s="17" t="s">
        <v>5547</v>
      </c>
      <c r="J1024" s="18" t="s">
        <v>483</v>
      </c>
      <c r="K1024" s="19" t="s">
        <v>1320</v>
      </c>
      <c r="L1024" s="19"/>
      <c r="M1024" s="19" t="s">
        <v>5548</v>
      </c>
      <c r="N1024" s="20" t="s">
        <v>1598</v>
      </c>
      <c r="O1024" s="20" t="s">
        <v>27</v>
      </c>
      <c r="P1024" s="21" t="s">
        <v>5549</v>
      </c>
      <c r="Q1024" s="20"/>
      <c r="R1024" s="26" t="s">
        <v>5550</v>
      </c>
      <c r="S1024" s="20"/>
      <c r="T1024" s="20"/>
      <c r="U1024" s="20"/>
      <c r="V1024" s="20"/>
    </row>
    <row r="1025" spans="2:22" ht="17">
      <c r="B1025" s="11" t="s">
        <v>5551</v>
      </c>
      <c r="C1025" s="12" t="s">
        <v>20</v>
      </c>
      <c r="D1025" s="13" t="s">
        <v>1399</v>
      </c>
      <c r="E1025" s="24">
        <v>425000</v>
      </c>
      <c r="F1025" s="25">
        <f>Table2[[#This Row],[Price]]/Table2[[#This Row],[Tot Ht Area]]</f>
        <v>189.90169794459339</v>
      </c>
      <c r="G1025" s="16">
        <v>2238</v>
      </c>
      <c r="H1025" s="16">
        <v>2238</v>
      </c>
      <c r="I1025" s="17" t="s">
        <v>5552</v>
      </c>
      <c r="J1025" s="18" t="s">
        <v>760</v>
      </c>
      <c r="K1025" s="19" t="s">
        <v>172</v>
      </c>
      <c r="L1025" s="19"/>
      <c r="M1025" s="19" t="s">
        <v>5553</v>
      </c>
      <c r="N1025" s="20" t="s">
        <v>1598</v>
      </c>
      <c r="O1025" s="20" t="s">
        <v>27</v>
      </c>
      <c r="P1025" s="21" t="s">
        <v>5554</v>
      </c>
      <c r="Q1025" s="20"/>
      <c r="R1025" s="20" t="s">
        <v>5555</v>
      </c>
      <c r="S1025" s="20"/>
      <c r="T1025" s="20"/>
      <c r="U1025" s="20"/>
      <c r="V1025" s="20"/>
    </row>
    <row r="1026" spans="2:22" ht="34">
      <c r="B1026" s="11" t="s">
        <v>5556</v>
      </c>
      <c r="C1026" s="12" t="s">
        <v>20</v>
      </c>
      <c r="D1026" s="13" t="s">
        <v>149</v>
      </c>
      <c r="E1026" s="24">
        <v>13800000</v>
      </c>
      <c r="F1026" s="25" t="e">
        <f>Table2[[#This Row],[Price]]/Table2[[#This Row],[Tot Ht Area]]</f>
        <v>#DIV/0!</v>
      </c>
      <c r="G1026" s="16"/>
      <c r="H1026" s="16">
        <v>155712</v>
      </c>
      <c r="I1026" s="17" t="s">
        <v>5557</v>
      </c>
      <c r="J1026" s="18" t="s">
        <v>1231</v>
      </c>
      <c r="K1026" s="19" t="s">
        <v>1630</v>
      </c>
      <c r="L1026" s="19"/>
      <c r="M1026" s="19" t="s">
        <v>5558</v>
      </c>
      <c r="N1026" s="20" t="s">
        <v>1598</v>
      </c>
      <c r="O1026" s="20" t="s">
        <v>27</v>
      </c>
      <c r="P1026" s="21" t="s">
        <v>5559</v>
      </c>
      <c r="Q1026" s="20"/>
      <c r="R1026" s="20" t="s">
        <v>5560</v>
      </c>
      <c r="S1026" s="20"/>
      <c r="T1026" s="20"/>
      <c r="U1026" s="20"/>
      <c r="V1026" s="20"/>
    </row>
    <row r="1027" spans="2:22" ht="17">
      <c r="B1027" s="11" t="s">
        <v>5561</v>
      </c>
      <c r="C1027" s="12" t="s">
        <v>20</v>
      </c>
      <c r="D1027" s="13" t="s">
        <v>207</v>
      </c>
      <c r="E1027" s="24">
        <v>1720000</v>
      </c>
      <c r="F1027" s="25" t="e">
        <f>Table2[[#This Row],[Price]]/Table2[[#This Row],[Tot Ht Area]]</f>
        <v>#DIV/0!</v>
      </c>
      <c r="G1027" s="16"/>
      <c r="H1027" s="16">
        <v>14514</v>
      </c>
      <c r="I1027" s="17" t="s">
        <v>5562</v>
      </c>
      <c r="J1027" s="18" t="s">
        <v>430</v>
      </c>
      <c r="K1027" s="19" t="s">
        <v>1630</v>
      </c>
      <c r="L1027" s="19"/>
      <c r="M1027" s="19" t="s">
        <v>5563</v>
      </c>
      <c r="N1027" s="20" t="s">
        <v>1598</v>
      </c>
      <c r="O1027" s="20" t="s">
        <v>27</v>
      </c>
      <c r="P1027" s="21" t="s">
        <v>5564</v>
      </c>
      <c r="Q1027" s="20"/>
      <c r="R1027" s="20" t="s">
        <v>5565</v>
      </c>
      <c r="S1027" s="20"/>
      <c r="T1027" s="20"/>
      <c r="U1027" s="20"/>
      <c r="V1027" s="20"/>
    </row>
    <row r="1028" spans="2:22" ht="34">
      <c r="B1028" s="11" t="s">
        <v>5566</v>
      </c>
      <c r="C1028" s="12" t="s">
        <v>20</v>
      </c>
      <c r="D1028" s="13" t="s">
        <v>64</v>
      </c>
      <c r="E1028" s="24">
        <v>1695000</v>
      </c>
      <c r="F1028" s="25" t="e">
        <f>Table2[[#This Row],[Price]]/Table2[[#This Row],[Tot Ht Area]]</f>
        <v>#DIV/0!</v>
      </c>
      <c r="G1028" s="16"/>
      <c r="H1028" s="16">
        <v>14514</v>
      </c>
      <c r="I1028" s="17" t="s">
        <v>5567</v>
      </c>
      <c r="J1028" s="18" t="s">
        <v>57</v>
      </c>
      <c r="K1028" s="19" t="s">
        <v>1630</v>
      </c>
      <c r="L1028" s="19"/>
      <c r="M1028" s="19" t="s">
        <v>5568</v>
      </c>
      <c r="N1028" s="20" t="s">
        <v>1598</v>
      </c>
      <c r="O1028" s="20" t="s">
        <v>27</v>
      </c>
      <c r="P1028" s="21" t="s">
        <v>5567</v>
      </c>
      <c r="Q1028" s="20"/>
      <c r="R1028" s="20" t="s">
        <v>5569</v>
      </c>
      <c r="S1028" s="20"/>
      <c r="T1028" s="20"/>
      <c r="U1028" s="20"/>
      <c r="V1028" s="20"/>
    </row>
    <row r="1029" spans="2:22" ht="34">
      <c r="B1029" s="11" t="s">
        <v>5570</v>
      </c>
      <c r="C1029" s="12" t="s">
        <v>20</v>
      </c>
      <c r="D1029" s="13" t="s">
        <v>45</v>
      </c>
      <c r="E1029" s="24">
        <v>2850000</v>
      </c>
      <c r="F1029" s="25" t="e">
        <f>Table2[[#This Row],[Price]]/Table2[[#This Row],[Tot Ht Area]]</f>
        <v>#DIV/0!</v>
      </c>
      <c r="G1029" s="16"/>
      <c r="H1029" s="16">
        <v>7488</v>
      </c>
      <c r="I1029" s="17" t="s">
        <v>429</v>
      </c>
      <c r="J1029" s="18" t="s">
        <v>135</v>
      </c>
      <c r="K1029" s="19" t="s">
        <v>1630</v>
      </c>
      <c r="L1029" s="19"/>
      <c r="M1029" s="19" t="s">
        <v>5571</v>
      </c>
      <c r="N1029" s="20" t="s">
        <v>1598</v>
      </c>
      <c r="O1029" s="20" t="s">
        <v>27</v>
      </c>
      <c r="P1029" s="21" t="s">
        <v>5572</v>
      </c>
      <c r="Q1029" s="20"/>
      <c r="R1029" s="20" t="s">
        <v>5573</v>
      </c>
      <c r="S1029" s="20"/>
      <c r="T1029" s="20"/>
      <c r="U1029" s="20"/>
      <c r="V1029" s="20"/>
    </row>
    <row r="1030" spans="2:22" ht="34">
      <c r="B1030" s="11" t="s">
        <v>5574</v>
      </c>
      <c r="C1030" s="12" t="s">
        <v>20</v>
      </c>
      <c r="D1030" s="13" t="s">
        <v>45</v>
      </c>
      <c r="E1030" s="24">
        <v>2850000</v>
      </c>
      <c r="F1030" s="25" t="e">
        <f>Table2[[#This Row],[Price]]/Table2[[#This Row],[Tot Ht Area]]</f>
        <v>#DIV/0!</v>
      </c>
      <c r="G1030" s="16"/>
      <c r="H1030" s="16">
        <v>7488</v>
      </c>
      <c r="I1030" s="17" t="s">
        <v>429</v>
      </c>
      <c r="J1030" s="18" t="s">
        <v>135</v>
      </c>
      <c r="K1030" s="19" t="s">
        <v>1630</v>
      </c>
      <c r="L1030" s="19"/>
      <c r="M1030" s="19" t="s">
        <v>5575</v>
      </c>
      <c r="N1030" s="20" t="s">
        <v>1598</v>
      </c>
      <c r="O1030" s="20" t="s">
        <v>27</v>
      </c>
      <c r="P1030" s="21" t="s">
        <v>5576</v>
      </c>
      <c r="Q1030" s="20"/>
      <c r="R1030" s="20" t="s">
        <v>5577</v>
      </c>
      <c r="S1030" s="20"/>
      <c r="T1030" s="20"/>
      <c r="U1030" s="20"/>
      <c r="V1030" s="20"/>
    </row>
    <row r="1031" spans="2:22" ht="17">
      <c r="B1031" s="11"/>
      <c r="C1031" s="12" t="s">
        <v>20</v>
      </c>
      <c r="D1031" s="13" t="s">
        <v>722</v>
      </c>
      <c r="E1031" s="24">
        <v>1400000</v>
      </c>
      <c r="F1031" s="25" t="e">
        <f>Table2[[#This Row],[Price]]/Table2[[#This Row],[Tot Ht Area]]</f>
        <v>#DIV/0!</v>
      </c>
      <c r="G1031" s="16"/>
      <c r="H1031" s="16">
        <v>7090</v>
      </c>
      <c r="I1031" s="17" t="s">
        <v>5578</v>
      </c>
      <c r="J1031" s="18" t="s">
        <v>1231</v>
      </c>
      <c r="K1031" s="19" t="s">
        <v>1630</v>
      </c>
      <c r="L1031" s="19"/>
      <c r="M1031" s="19" t="s">
        <v>5579</v>
      </c>
      <c r="N1031" s="20" t="s">
        <v>1598</v>
      </c>
      <c r="O1031" s="20" t="s">
        <v>27</v>
      </c>
      <c r="P1031" s="21" t="s">
        <v>5580</v>
      </c>
      <c r="Q1031" s="20"/>
      <c r="R1031" s="20" t="s">
        <v>5201</v>
      </c>
      <c r="S1031" s="20"/>
      <c r="T1031" s="20"/>
      <c r="U1031" s="20"/>
      <c r="V1031" s="20"/>
    </row>
    <row r="1032" spans="2:22" ht="34">
      <c r="B1032" s="11" t="s">
        <v>5581</v>
      </c>
      <c r="C1032" s="12" t="s">
        <v>20</v>
      </c>
      <c r="D1032" s="13" t="s">
        <v>407</v>
      </c>
      <c r="E1032" s="24">
        <v>6625000</v>
      </c>
      <c r="F1032" s="25" t="e">
        <f>Table2[[#This Row],[Price]]/Table2[[#This Row],[Tot Ht Area]]</f>
        <v>#DIV/0!</v>
      </c>
      <c r="G1032" s="16"/>
      <c r="H1032" s="16">
        <v>57802</v>
      </c>
      <c r="I1032" s="17" t="s">
        <v>429</v>
      </c>
      <c r="J1032" s="18" t="s">
        <v>75</v>
      </c>
      <c r="K1032" s="19" t="s">
        <v>1585</v>
      </c>
      <c r="L1032" s="19"/>
      <c r="M1032" s="19" t="s">
        <v>5582</v>
      </c>
      <c r="N1032" s="20" t="s">
        <v>1598</v>
      </c>
      <c r="O1032" s="20" t="s">
        <v>27</v>
      </c>
      <c r="P1032" s="21" t="s">
        <v>5583</v>
      </c>
      <c r="Q1032" s="20"/>
      <c r="R1032" s="20" t="s">
        <v>5584</v>
      </c>
      <c r="S1032" s="20"/>
      <c r="T1032" s="20"/>
      <c r="U1032" s="20"/>
      <c r="V1032" s="20"/>
    </row>
    <row r="1033" spans="2:22" ht="34">
      <c r="B1033" s="11" t="s">
        <v>5585</v>
      </c>
      <c r="C1033" s="12" t="s">
        <v>20</v>
      </c>
      <c r="D1033" s="13" t="s">
        <v>207</v>
      </c>
      <c r="E1033" s="24">
        <v>1900000</v>
      </c>
      <c r="F1033" s="25" t="e">
        <f>Table2[[#This Row],[Price]]/Table2[[#This Row],[Tot Ht Area]]</f>
        <v>#DIV/0!</v>
      </c>
      <c r="G1033" s="16"/>
      <c r="H1033" s="16">
        <v>10580</v>
      </c>
      <c r="I1033" s="17" t="s">
        <v>5586</v>
      </c>
      <c r="J1033" s="18" t="s">
        <v>225</v>
      </c>
      <c r="K1033" s="19" t="s">
        <v>1320</v>
      </c>
      <c r="L1033" s="19"/>
      <c r="M1033" s="19" t="s">
        <v>5587</v>
      </c>
      <c r="N1033" s="20" t="s">
        <v>1598</v>
      </c>
      <c r="O1033" s="20" t="s">
        <v>27</v>
      </c>
      <c r="P1033" s="21" t="s">
        <v>5583</v>
      </c>
      <c r="Q1033" s="20"/>
      <c r="R1033" s="20" t="s">
        <v>5588</v>
      </c>
      <c r="S1033" s="20"/>
      <c r="T1033" s="20"/>
      <c r="U1033" s="20"/>
      <c r="V1033" s="20"/>
    </row>
    <row r="1034" spans="2:22" ht="17">
      <c r="B1034" s="11" t="s">
        <v>5589</v>
      </c>
      <c r="C1034" s="12" t="s">
        <v>20</v>
      </c>
      <c r="D1034" s="13" t="s">
        <v>253</v>
      </c>
      <c r="E1034" s="24">
        <v>660000</v>
      </c>
      <c r="F1034" s="25">
        <f>Table2[[#This Row],[Price]]/Table2[[#This Row],[Tot Ht Area]]</f>
        <v>157.14285714285714</v>
      </c>
      <c r="G1034" s="16">
        <v>4200</v>
      </c>
      <c r="H1034" s="16">
        <v>4200</v>
      </c>
      <c r="I1034" s="17" t="s">
        <v>5590</v>
      </c>
      <c r="J1034" s="18" t="s">
        <v>1932</v>
      </c>
      <c r="K1034" s="19" t="s">
        <v>1015</v>
      </c>
      <c r="L1034" s="19"/>
      <c r="M1034" s="19" t="s">
        <v>5591</v>
      </c>
      <c r="N1034" s="20" t="s">
        <v>1598</v>
      </c>
      <c r="O1034" s="20" t="s">
        <v>27</v>
      </c>
      <c r="P1034" s="21" t="s">
        <v>2676</v>
      </c>
      <c r="Q1034" s="20" t="s">
        <v>5592</v>
      </c>
      <c r="R1034" s="20" t="s">
        <v>5593</v>
      </c>
      <c r="S1034" s="20"/>
      <c r="T1034" s="20"/>
      <c r="U1034" s="20"/>
      <c r="V1034" s="20"/>
    </row>
    <row r="1035" spans="2:22" ht="51">
      <c r="B1035" s="11" t="s">
        <v>5594</v>
      </c>
      <c r="C1035" s="12" t="s">
        <v>20</v>
      </c>
      <c r="D1035" s="13" t="s">
        <v>729</v>
      </c>
      <c r="E1035" s="24">
        <v>2750000</v>
      </c>
      <c r="F1035" s="25" t="e">
        <f>Table2[[#This Row],[Price]]/Table2[[#This Row],[Tot Ht Area]]</f>
        <v>#DIV/0!</v>
      </c>
      <c r="G1035" s="16"/>
      <c r="H1035" s="16">
        <v>12600</v>
      </c>
      <c r="I1035" s="17" t="s">
        <v>5595</v>
      </c>
      <c r="J1035" s="18" t="s">
        <v>385</v>
      </c>
      <c r="K1035" s="19" t="s">
        <v>172</v>
      </c>
      <c r="L1035" s="19"/>
      <c r="M1035" s="19" t="s">
        <v>5596</v>
      </c>
      <c r="N1035" s="20" t="s">
        <v>1598</v>
      </c>
      <c r="O1035" s="20" t="s">
        <v>27</v>
      </c>
      <c r="P1035" s="21" t="s">
        <v>5597</v>
      </c>
      <c r="Q1035" s="20"/>
      <c r="R1035" s="20" t="s">
        <v>5598</v>
      </c>
      <c r="S1035" s="20"/>
      <c r="T1035" s="20"/>
      <c r="U1035" s="20"/>
      <c r="V1035" s="20"/>
    </row>
    <row r="1036" spans="2:22" ht="34">
      <c r="B1036" s="11" t="s">
        <v>5599</v>
      </c>
      <c r="C1036" s="12" t="s">
        <v>20</v>
      </c>
      <c r="D1036" s="13" t="s">
        <v>73</v>
      </c>
      <c r="E1036" s="24">
        <v>3100000</v>
      </c>
      <c r="F1036" s="25">
        <f>Table2[[#This Row],[Price]]/Table2[[#This Row],[Tot Ht Area]]</f>
        <v>204.05476566614007</v>
      </c>
      <c r="G1036" s="16">
        <v>15192</v>
      </c>
      <c r="H1036" s="16">
        <v>15192</v>
      </c>
      <c r="I1036" s="17" t="s">
        <v>5600</v>
      </c>
      <c r="J1036" s="18" t="s">
        <v>358</v>
      </c>
      <c r="K1036" s="19" t="s">
        <v>1320</v>
      </c>
      <c r="L1036" s="19"/>
      <c r="M1036" s="19" t="s">
        <v>5601</v>
      </c>
      <c r="N1036" s="20" t="s">
        <v>1598</v>
      </c>
      <c r="O1036" s="20" t="s">
        <v>27</v>
      </c>
      <c r="P1036" s="21" t="s">
        <v>3299</v>
      </c>
      <c r="Q1036" s="20" t="s">
        <v>5602</v>
      </c>
      <c r="R1036" s="20" t="s">
        <v>5603</v>
      </c>
      <c r="S1036" s="20"/>
      <c r="T1036" s="20"/>
      <c r="U1036" s="20"/>
      <c r="V1036" s="20"/>
    </row>
    <row r="1037" spans="2:22" ht="17">
      <c r="B1037" s="11" t="s">
        <v>5604</v>
      </c>
      <c r="C1037" s="12" t="s">
        <v>20</v>
      </c>
      <c r="D1037" s="13" t="s">
        <v>133</v>
      </c>
      <c r="E1037" s="24">
        <v>100</v>
      </c>
      <c r="F1037" s="25" t="e">
        <f>Table2[[#This Row],[Price]]/Table2[[#This Row],[Tot Ht Area]]</f>
        <v>#DIV/0!</v>
      </c>
      <c r="G1037" s="16"/>
      <c r="H1037" s="16">
        <v>2026</v>
      </c>
      <c r="I1037" s="17" t="s">
        <v>5605</v>
      </c>
      <c r="J1037" s="18" t="s">
        <v>309</v>
      </c>
      <c r="K1037" s="19" t="s">
        <v>1320</v>
      </c>
      <c r="L1037" s="19"/>
      <c r="M1037" s="19" t="s">
        <v>5606</v>
      </c>
      <c r="N1037" s="20" t="s">
        <v>1598</v>
      </c>
      <c r="O1037" s="20" t="s">
        <v>27</v>
      </c>
      <c r="P1037" s="21" t="s">
        <v>5607</v>
      </c>
      <c r="Q1037" s="20"/>
      <c r="R1037" s="20" t="s">
        <v>5608</v>
      </c>
      <c r="S1037" s="20"/>
      <c r="T1037" s="20" t="s">
        <v>6318</v>
      </c>
      <c r="U1037" s="20"/>
      <c r="V1037" s="20"/>
    </row>
    <row r="1038" spans="2:22" ht="51">
      <c r="B1038" s="11" t="s">
        <v>5609</v>
      </c>
      <c r="C1038" s="12" t="s">
        <v>20</v>
      </c>
      <c r="D1038" s="13" t="s">
        <v>260</v>
      </c>
      <c r="E1038" s="24">
        <v>100</v>
      </c>
      <c r="F1038" s="25" t="e">
        <f>Table2[[#This Row],[Price]]/Table2[[#This Row],[Tot Ht Area]]</f>
        <v>#DIV/0!</v>
      </c>
      <c r="G1038" s="16"/>
      <c r="H1038" s="16">
        <v>2160</v>
      </c>
      <c r="I1038" s="17" t="s">
        <v>5610</v>
      </c>
      <c r="J1038" s="18" t="s">
        <v>350</v>
      </c>
      <c r="K1038" s="19" t="s">
        <v>1320</v>
      </c>
      <c r="L1038" s="19"/>
      <c r="M1038" s="19" t="s">
        <v>5611</v>
      </c>
      <c r="N1038" s="20" t="s">
        <v>1598</v>
      </c>
      <c r="O1038" s="20" t="s">
        <v>27</v>
      </c>
      <c r="P1038" s="21" t="s">
        <v>5612</v>
      </c>
      <c r="Q1038" s="20"/>
      <c r="R1038" s="20" t="s">
        <v>5613</v>
      </c>
      <c r="S1038" s="20"/>
      <c r="T1038" s="20" t="s">
        <v>6318</v>
      </c>
      <c r="U1038" s="20"/>
      <c r="V1038" s="20"/>
    </row>
    <row r="1039" spans="2:22" ht="17">
      <c r="B1039" s="11" t="s">
        <v>5614</v>
      </c>
      <c r="C1039" s="12" t="s">
        <v>20</v>
      </c>
      <c r="D1039" s="13" t="s">
        <v>686</v>
      </c>
      <c r="E1039" s="24">
        <v>1200000</v>
      </c>
      <c r="F1039" s="25" t="e">
        <f>Table2[[#This Row],[Price]]/Table2[[#This Row],[Tot Ht Area]]</f>
        <v>#DIV/0!</v>
      </c>
      <c r="G1039" s="16"/>
      <c r="H1039" s="16">
        <v>9894</v>
      </c>
      <c r="I1039" s="17" t="s">
        <v>5615</v>
      </c>
      <c r="J1039" s="18" t="s">
        <v>100</v>
      </c>
      <c r="K1039" s="19" t="s">
        <v>1320</v>
      </c>
      <c r="L1039" s="19"/>
      <c r="M1039" s="19" t="s">
        <v>5616</v>
      </c>
      <c r="N1039" s="20" t="s">
        <v>1598</v>
      </c>
      <c r="O1039" s="20" t="s">
        <v>27</v>
      </c>
      <c r="P1039" s="21" t="s">
        <v>5617</v>
      </c>
      <c r="Q1039" s="20"/>
      <c r="R1039" s="20" t="s">
        <v>5618</v>
      </c>
      <c r="S1039" s="20"/>
      <c r="T1039" s="20"/>
      <c r="U1039" s="20"/>
      <c r="V1039" s="20"/>
    </row>
    <row r="1040" spans="2:22" ht="34">
      <c r="B1040" s="11" t="s">
        <v>5619</v>
      </c>
      <c r="C1040" s="12" t="s">
        <v>20</v>
      </c>
      <c r="D1040" s="13" t="s">
        <v>1490</v>
      </c>
      <c r="E1040" s="24">
        <v>3730100</v>
      </c>
      <c r="F1040" s="25">
        <f>Table2[[#This Row],[Price]]/Table2[[#This Row],[Tot Ht Area]]</f>
        <v>542.00813716942753</v>
      </c>
      <c r="G1040" s="16">
        <v>6882</v>
      </c>
      <c r="H1040" s="16">
        <v>6882</v>
      </c>
      <c r="I1040" s="17" t="s">
        <v>5620</v>
      </c>
      <c r="J1040" s="18" t="s">
        <v>209</v>
      </c>
      <c r="K1040" s="19" t="s">
        <v>24</v>
      </c>
      <c r="L1040" s="19"/>
      <c r="M1040" s="19" t="s">
        <v>5621</v>
      </c>
      <c r="N1040" s="20" t="s">
        <v>1598</v>
      </c>
      <c r="O1040" s="20" t="s">
        <v>27</v>
      </c>
      <c r="P1040" s="21" t="s">
        <v>4494</v>
      </c>
      <c r="Q1040" s="20"/>
      <c r="R1040" s="20" t="s">
        <v>5622</v>
      </c>
      <c r="S1040" s="20"/>
      <c r="T1040" s="20"/>
      <c r="U1040" s="20"/>
      <c r="V1040" s="20"/>
    </row>
    <row r="1041" spans="2:22" ht="17">
      <c r="B1041" s="11" t="s">
        <v>5623</v>
      </c>
      <c r="C1041" s="12" t="s">
        <v>20</v>
      </c>
      <c r="D1041" s="13" t="s">
        <v>658</v>
      </c>
      <c r="E1041" s="24">
        <v>1600000</v>
      </c>
      <c r="F1041" s="25" t="e">
        <f>Table2[[#This Row],[Price]]/Table2[[#This Row],[Tot Ht Area]]</f>
        <v>#DIV/0!</v>
      </c>
      <c r="G1041" s="16"/>
      <c r="H1041" s="16">
        <v>6990</v>
      </c>
      <c r="I1041" s="17" t="s">
        <v>5624</v>
      </c>
      <c r="J1041" s="18" t="s">
        <v>241</v>
      </c>
      <c r="K1041" s="19" t="s">
        <v>48</v>
      </c>
      <c r="L1041" s="19"/>
      <c r="M1041" s="19" t="s">
        <v>5625</v>
      </c>
      <c r="N1041" s="20" t="s">
        <v>1598</v>
      </c>
      <c r="O1041" s="20" t="s">
        <v>27</v>
      </c>
      <c r="P1041" s="21" t="s">
        <v>5626</v>
      </c>
      <c r="Q1041" s="20" t="s">
        <v>5627</v>
      </c>
      <c r="R1041" s="20" t="s">
        <v>5628</v>
      </c>
      <c r="S1041" s="20"/>
      <c r="T1041" s="20"/>
      <c r="U1041" s="20"/>
      <c r="V1041" s="20"/>
    </row>
    <row r="1042" spans="2:22" ht="17">
      <c r="B1042" s="11" t="s">
        <v>5629</v>
      </c>
      <c r="C1042" s="12" t="s">
        <v>20</v>
      </c>
      <c r="D1042" s="13" t="s">
        <v>73</v>
      </c>
      <c r="E1042" s="24">
        <v>1250000</v>
      </c>
      <c r="F1042" s="25">
        <f>Table2[[#This Row],[Price]]/Table2[[#This Row],[Tot Ht Area]]</f>
        <v>327.22513089005236</v>
      </c>
      <c r="G1042" s="16">
        <v>3820</v>
      </c>
      <c r="H1042" s="16">
        <v>3820</v>
      </c>
      <c r="I1042" s="17" t="s">
        <v>5630</v>
      </c>
      <c r="J1042" s="18" t="s">
        <v>301</v>
      </c>
      <c r="K1042" s="19" t="s">
        <v>24</v>
      </c>
      <c r="L1042" s="19"/>
      <c r="M1042" s="19" t="s">
        <v>5631</v>
      </c>
      <c r="N1042" s="20" t="s">
        <v>1598</v>
      </c>
      <c r="O1042" s="20" t="s">
        <v>27</v>
      </c>
      <c r="P1042" s="21" t="s">
        <v>5632</v>
      </c>
      <c r="Q1042" s="20"/>
      <c r="R1042" s="20" t="s">
        <v>5633</v>
      </c>
      <c r="S1042" s="20"/>
      <c r="T1042" s="20"/>
      <c r="U1042" s="20"/>
      <c r="V1042" s="20"/>
    </row>
    <row r="1043" spans="2:22" ht="17">
      <c r="B1043" s="11" t="s">
        <v>5634</v>
      </c>
      <c r="C1043" s="12" t="s">
        <v>20</v>
      </c>
      <c r="D1043" s="13" t="s">
        <v>925</v>
      </c>
      <c r="E1043" s="24">
        <v>860000</v>
      </c>
      <c r="F1043" s="25" t="e">
        <f>Table2[[#This Row],[Price]]/Table2[[#This Row],[Tot Ht Area]]</f>
        <v>#DIV/0!</v>
      </c>
      <c r="G1043" s="16"/>
      <c r="H1043" s="16">
        <v>5331</v>
      </c>
      <c r="I1043" s="17" t="s">
        <v>5635</v>
      </c>
      <c r="J1043" s="18" t="s">
        <v>483</v>
      </c>
      <c r="K1043" s="19" t="s">
        <v>1320</v>
      </c>
      <c r="L1043" s="19"/>
      <c r="M1043" s="19" t="s">
        <v>5636</v>
      </c>
      <c r="N1043" s="20" t="s">
        <v>1598</v>
      </c>
      <c r="O1043" s="20" t="s">
        <v>27</v>
      </c>
      <c r="P1043" s="21" t="s">
        <v>5637</v>
      </c>
      <c r="Q1043" s="20"/>
      <c r="R1043" s="20" t="s">
        <v>5638</v>
      </c>
      <c r="S1043" s="20"/>
      <c r="T1043" s="20"/>
      <c r="U1043" s="20"/>
      <c r="V1043" s="20"/>
    </row>
    <row r="1044" spans="2:22" ht="34">
      <c r="B1044" s="11" t="s">
        <v>5639</v>
      </c>
      <c r="C1044" s="12" t="s">
        <v>20</v>
      </c>
      <c r="D1044" s="13" t="s">
        <v>108</v>
      </c>
      <c r="E1044" s="24">
        <v>3850000</v>
      </c>
      <c r="F1044" s="25">
        <f>Table2[[#This Row],[Price]]/Table2[[#This Row],[Tot Ht Area]]</f>
        <v>376.23375354246065</v>
      </c>
      <c r="G1044" s="16">
        <v>10233</v>
      </c>
      <c r="H1044" s="16">
        <v>10233</v>
      </c>
      <c r="I1044" s="17" t="s">
        <v>5640</v>
      </c>
      <c r="J1044" s="18" t="s">
        <v>100</v>
      </c>
      <c r="K1044" s="19" t="s">
        <v>24</v>
      </c>
      <c r="L1044" s="19"/>
      <c r="M1044" s="19" t="s">
        <v>5641</v>
      </c>
      <c r="N1044" s="20" t="s">
        <v>1598</v>
      </c>
      <c r="O1044" s="20" t="s">
        <v>27</v>
      </c>
      <c r="P1044" s="21" t="s">
        <v>5642</v>
      </c>
      <c r="Q1044" s="20"/>
      <c r="R1044" s="20" t="s">
        <v>5643</v>
      </c>
      <c r="S1044" s="20"/>
      <c r="T1044" s="20"/>
      <c r="U1044" s="20"/>
      <c r="V1044" s="20"/>
    </row>
    <row r="1045" spans="2:22" ht="51">
      <c r="B1045" s="11" t="s">
        <v>5644</v>
      </c>
      <c r="C1045" s="12" t="s">
        <v>20</v>
      </c>
      <c r="D1045" s="13" t="s">
        <v>177</v>
      </c>
      <c r="E1045" s="24">
        <v>550000</v>
      </c>
      <c r="F1045" s="25">
        <f>Table2[[#This Row],[Price]]/Table2[[#This Row],[Tot Ht Area]]</f>
        <v>155.80736543909347</v>
      </c>
      <c r="G1045" s="16">
        <v>3530</v>
      </c>
      <c r="H1045" s="16">
        <v>3530</v>
      </c>
      <c r="I1045" s="17" t="s">
        <v>5645</v>
      </c>
      <c r="J1045" s="18" t="s">
        <v>278</v>
      </c>
      <c r="K1045" s="19" t="s">
        <v>1630</v>
      </c>
      <c r="L1045" s="19"/>
      <c r="M1045" s="19" t="s">
        <v>5646</v>
      </c>
      <c r="N1045" s="20" t="s">
        <v>1598</v>
      </c>
      <c r="O1045" s="20" t="s">
        <v>27</v>
      </c>
      <c r="P1045" s="21" t="s">
        <v>5647</v>
      </c>
      <c r="Q1045" s="20"/>
      <c r="R1045" s="20" t="s">
        <v>5648</v>
      </c>
      <c r="S1045" s="20"/>
      <c r="T1045" s="20"/>
      <c r="U1045" s="20"/>
      <c r="V1045" s="20"/>
    </row>
    <row r="1046" spans="2:22" ht="17">
      <c r="B1046" s="11" t="s">
        <v>5649</v>
      </c>
      <c r="C1046" s="12" t="s">
        <v>20</v>
      </c>
      <c r="D1046" s="13" t="s">
        <v>223</v>
      </c>
      <c r="E1046" s="24">
        <v>100</v>
      </c>
      <c r="F1046" s="25" t="e">
        <f>Table2[[#This Row],[Price]]/Table2[[#This Row],[Tot Ht Area]]</f>
        <v>#DIV/0!</v>
      </c>
      <c r="G1046" s="16"/>
      <c r="H1046" s="16">
        <v>2184</v>
      </c>
      <c r="I1046" s="17" t="s">
        <v>5650</v>
      </c>
      <c r="J1046" s="18" t="s">
        <v>560</v>
      </c>
      <c r="K1046" s="19" t="s">
        <v>24</v>
      </c>
      <c r="L1046" s="19"/>
      <c r="M1046" s="19" t="s">
        <v>5651</v>
      </c>
      <c r="N1046" s="20" t="s">
        <v>1598</v>
      </c>
      <c r="O1046" s="20" t="s">
        <v>27</v>
      </c>
      <c r="P1046" s="21" t="s">
        <v>5652</v>
      </c>
      <c r="Q1046" s="20"/>
      <c r="R1046" s="20" t="s">
        <v>5653</v>
      </c>
      <c r="S1046" s="20"/>
      <c r="T1046" s="20" t="s">
        <v>6318</v>
      </c>
      <c r="U1046" s="20"/>
      <c r="V1046" s="20"/>
    </row>
    <row r="1047" spans="2:22" ht="34">
      <c r="B1047" s="11" t="s">
        <v>5654</v>
      </c>
      <c r="C1047" s="12" t="s">
        <v>20</v>
      </c>
      <c r="D1047" s="13" t="s">
        <v>170</v>
      </c>
      <c r="E1047" s="24">
        <v>100</v>
      </c>
      <c r="F1047" s="25">
        <f>Table2[[#This Row],[Price]]/Table2[[#This Row],[Tot Ht Area]]</f>
        <v>4.7641734159123393E-2</v>
      </c>
      <c r="G1047" s="16">
        <v>2099</v>
      </c>
      <c r="H1047" s="16">
        <v>2099</v>
      </c>
      <c r="I1047" s="17" t="s">
        <v>5655</v>
      </c>
      <c r="J1047" s="18" t="s">
        <v>767</v>
      </c>
      <c r="K1047" s="19" t="s">
        <v>24</v>
      </c>
      <c r="L1047" s="19"/>
      <c r="M1047" s="19" t="s">
        <v>5656</v>
      </c>
      <c r="N1047" s="20" t="s">
        <v>1598</v>
      </c>
      <c r="O1047" s="20" t="s">
        <v>27</v>
      </c>
      <c r="P1047" s="21" t="s">
        <v>5657</v>
      </c>
      <c r="Q1047" s="20"/>
      <c r="R1047" s="20" t="s">
        <v>5658</v>
      </c>
      <c r="S1047" s="20"/>
      <c r="T1047" s="20" t="s">
        <v>6318</v>
      </c>
      <c r="U1047" s="20"/>
      <c r="V1047" s="20"/>
    </row>
    <row r="1048" spans="2:22" ht="34">
      <c r="B1048" s="11" t="s">
        <v>5659</v>
      </c>
      <c r="C1048" s="12" t="s">
        <v>20</v>
      </c>
      <c r="D1048" s="13" t="s">
        <v>571</v>
      </c>
      <c r="E1048" s="24">
        <v>100</v>
      </c>
      <c r="F1048" s="25" t="e">
        <f>Table2[[#This Row],[Price]]/Table2[[#This Row],[Tot Ht Area]]</f>
        <v>#DIV/0!</v>
      </c>
      <c r="G1048" s="16"/>
      <c r="H1048" s="16">
        <v>3600</v>
      </c>
      <c r="I1048" s="17" t="s">
        <v>5660</v>
      </c>
      <c r="J1048" s="18" t="s">
        <v>1231</v>
      </c>
      <c r="K1048" s="19" t="s">
        <v>1320</v>
      </c>
      <c r="L1048" s="19"/>
      <c r="M1048" s="19" t="s">
        <v>5661</v>
      </c>
      <c r="N1048" s="20" t="s">
        <v>1598</v>
      </c>
      <c r="O1048" s="20" t="s">
        <v>27</v>
      </c>
      <c r="P1048" s="21" t="s">
        <v>5662</v>
      </c>
      <c r="Q1048" s="20"/>
      <c r="R1048" s="20" t="s">
        <v>5663</v>
      </c>
      <c r="S1048" s="20"/>
      <c r="T1048" s="20" t="s">
        <v>6318</v>
      </c>
      <c r="U1048" s="20"/>
      <c r="V1048" s="20"/>
    </row>
    <row r="1049" spans="2:22" ht="17">
      <c r="B1049" s="11" t="s">
        <v>5664</v>
      </c>
      <c r="C1049" s="12" t="s">
        <v>20</v>
      </c>
      <c r="D1049" s="13" t="s">
        <v>571</v>
      </c>
      <c r="E1049" s="24">
        <v>1050000</v>
      </c>
      <c r="F1049" s="25" t="e">
        <f>Table2[[#This Row],[Price]]/Table2[[#This Row],[Tot Ht Area]]</f>
        <v>#DIV/0!</v>
      </c>
      <c r="G1049" s="16"/>
      <c r="H1049" s="16">
        <v>6776</v>
      </c>
      <c r="I1049" s="17" t="s">
        <v>5665</v>
      </c>
      <c r="J1049" s="18" t="s">
        <v>301</v>
      </c>
      <c r="K1049" s="19" t="s">
        <v>1320</v>
      </c>
      <c r="L1049" s="19"/>
      <c r="M1049" s="19" t="s">
        <v>5666</v>
      </c>
      <c r="N1049" s="20" t="s">
        <v>1598</v>
      </c>
      <c r="O1049" s="20" t="s">
        <v>27</v>
      </c>
      <c r="P1049" s="21" t="s">
        <v>5667</v>
      </c>
      <c r="Q1049" s="20"/>
      <c r="R1049" s="20" t="s">
        <v>5668</v>
      </c>
      <c r="S1049" s="20"/>
      <c r="T1049" s="20"/>
      <c r="U1049" s="20"/>
      <c r="V1049" s="20"/>
    </row>
    <row r="1050" spans="2:22" ht="34">
      <c r="B1050" s="11" t="s">
        <v>5669</v>
      </c>
      <c r="C1050" s="12" t="s">
        <v>20</v>
      </c>
      <c r="D1050" s="13" t="s">
        <v>1255</v>
      </c>
      <c r="E1050" s="24">
        <v>100</v>
      </c>
      <c r="F1050" s="25" t="e">
        <f>Table2[[#This Row],[Price]]/Table2[[#This Row],[Tot Ht Area]]</f>
        <v>#DIV/0!</v>
      </c>
      <c r="G1050" s="16"/>
      <c r="H1050" s="16">
        <v>2392</v>
      </c>
      <c r="I1050" s="17" t="s">
        <v>5670</v>
      </c>
      <c r="J1050" s="18" t="s">
        <v>716</v>
      </c>
      <c r="K1050" s="19" t="s">
        <v>1630</v>
      </c>
      <c r="L1050" s="19"/>
      <c r="M1050" s="19" t="s">
        <v>5671</v>
      </c>
      <c r="N1050" s="20" t="s">
        <v>1598</v>
      </c>
      <c r="O1050" s="20" t="s">
        <v>27</v>
      </c>
      <c r="P1050" s="21" t="s">
        <v>5672</v>
      </c>
      <c r="Q1050" s="20"/>
      <c r="R1050" s="20" t="s">
        <v>5673</v>
      </c>
      <c r="S1050" s="20"/>
      <c r="T1050" s="20" t="s">
        <v>6318</v>
      </c>
      <c r="U1050" s="20"/>
      <c r="V1050" s="20"/>
    </row>
    <row r="1051" spans="2:22" ht="17">
      <c r="B1051" s="11" t="s">
        <v>5674</v>
      </c>
      <c r="C1051" s="12" t="s">
        <v>20</v>
      </c>
      <c r="D1051" s="13" t="s">
        <v>307</v>
      </c>
      <c r="E1051" s="24">
        <v>790000</v>
      </c>
      <c r="F1051" s="25" t="e">
        <f>Table2[[#This Row],[Price]]/Table2[[#This Row],[Tot Ht Area]]</f>
        <v>#DIV/0!</v>
      </c>
      <c r="G1051" s="16"/>
      <c r="H1051" s="16">
        <v>6061</v>
      </c>
      <c r="I1051" s="17" t="s">
        <v>4390</v>
      </c>
      <c r="J1051" s="18" t="s">
        <v>117</v>
      </c>
      <c r="K1051" s="19" t="s">
        <v>24</v>
      </c>
      <c r="L1051" s="19"/>
      <c r="M1051" s="19" t="s">
        <v>5675</v>
      </c>
      <c r="N1051" s="20" t="s">
        <v>1598</v>
      </c>
      <c r="O1051" s="20" t="s">
        <v>27</v>
      </c>
      <c r="P1051" s="21" t="s">
        <v>4392</v>
      </c>
      <c r="Q1051" s="20"/>
      <c r="R1051" s="20" t="s">
        <v>5676</v>
      </c>
      <c r="S1051" s="20"/>
      <c r="T1051" s="20"/>
      <c r="U1051" s="20"/>
      <c r="V1051" s="20"/>
    </row>
    <row r="1052" spans="2:22" ht="17">
      <c r="B1052" s="11" t="s">
        <v>5677</v>
      </c>
      <c r="C1052" s="12" t="s">
        <v>20</v>
      </c>
      <c r="D1052" s="13" t="s">
        <v>591</v>
      </c>
      <c r="E1052" s="24">
        <v>2173400</v>
      </c>
      <c r="F1052" s="25" t="e">
        <f>Table2[[#This Row],[Price]]/Table2[[#This Row],[Tot Ht Area]]</f>
        <v>#DIV/0!</v>
      </c>
      <c r="G1052" s="16"/>
      <c r="H1052" s="16">
        <v>6972</v>
      </c>
      <c r="I1052" s="17" t="s">
        <v>5678</v>
      </c>
      <c r="J1052" s="18" t="s">
        <v>23</v>
      </c>
      <c r="K1052" s="19" t="s">
        <v>1630</v>
      </c>
      <c r="L1052" s="19"/>
      <c r="M1052" s="19" t="s">
        <v>5679</v>
      </c>
      <c r="N1052" s="20" t="s">
        <v>1598</v>
      </c>
      <c r="O1052" s="20" t="s">
        <v>27</v>
      </c>
      <c r="P1052" s="21" t="s">
        <v>5680</v>
      </c>
      <c r="Q1052" s="26" t="s">
        <v>5681</v>
      </c>
      <c r="R1052" s="26" t="s">
        <v>5682</v>
      </c>
      <c r="S1052" s="20"/>
      <c r="T1052" s="20"/>
      <c r="U1052" s="20"/>
      <c r="V1052" s="20"/>
    </row>
    <row r="1053" spans="2:22" ht="17">
      <c r="B1053" s="11" t="s">
        <v>5683</v>
      </c>
      <c r="C1053" s="12" t="s">
        <v>20</v>
      </c>
      <c r="D1053" s="13" t="s">
        <v>591</v>
      </c>
      <c r="E1053" s="24">
        <v>750000</v>
      </c>
      <c r="F1053" s="25" t="e">
        <f>Table2[[#This Row],[Price]]/Table2[[#This Row],[Tot Ht Area]]</f>
        <v>#DIV/0!</v>
      </c>
      <c r="G1053" s="16"/>
      <c r="H1053" s="16">
        <v>3000</v>
      </c>
      <c r="I1053" s="17" t="s">
        <v>5684</v>
      </c>
      <c r="J1053" s="18" t="s">
        <v>415</v>
      </c>
      <c r="K1053" s="19" t="s">
        <v>1320</v>
      </c>
      <c r="L1053" s="19"/>
      <c r="M1053" s="19" t="s">
        <v>5685</v>
      </c>
      <c r="N1053" s="20" t="s">
        <v>1598</v>
      </c>
      <c r="O1053" s="20" t="s">
        <v>27</v>
      </c>
      <c r="P1053" s="21" t="s">
        <v>5686</v>
      </c>
      <c r="Q1053" s="20"/>
      <c r="R1053" s="20" t="s">
        <v>5687</v>
      </c>
      <c r="S1053" s="20"/>
      <c r="T1053" s="20"/>
      <c r="U1053" s="20"/>
      <c r="V1053" s="20"/>
    </row>
    <row r="1054" spans="2:22" ht="51">
      <c r="B1054" s="11" t="s">
        <v>5688</v>
      </c>
      <c r="C1054" s="12" t="s">
        <v>20</v>
      </c>
      <c r="D1054" s="13" t="s">
        <v>314</v>
      </c>
      <c r="E1054" s="24">
        <v>100</v>
      </c>
      <c r="F1054" s="25" t="e">
        <f>Table2[[#This Row],[Price]]/Table2[[#This Row],[Tot Ht Area]]</f>
        <v>#DIV/0!</v>
      </c>
      <c r="G1054" s="16"/>
      <c r="H1054" s="16">
        <v>3369</v>
      </c>
      <c r="I1054" s="17" t="s">
        <v>5689</v>
      </c>
      <c r="J1054" s="18" t="s">
        <v>415</v>
      </c>
      <c r="K1054" s="19" t="s">
        <v>1320</v>
      </c>
      <c r="L1054" s="19"/>
      <c r="M1054" s="19" t="s">
        <v>5690</v>
      </c>
      <c r="N1054" s="20" t="s">
        <v>1598</v>
      </c>
      <c r="O1054" s="20" t="s">
        <v>27</v>
      </c>
      <c r="P1054" s="21" t="s">
        <v>5691</v>
      </c>
      <c r="Q1054" s="20"/>
      <c r="R1054" s="20" t="s">
        <v>5692</v>
      </c>
      <c r="S1054" s="20"/>
      <c r="T1054" s="20" t="s">
        <v>6318</v>
      </c>
      <c r="U1054" s="20"/>
      <c r="V1054" s="20"/>
    </row>
    <row r="1055" spans="2:22" ht="34">
      <c r="B1055" s="11" t="s">
        <v>5693</v>
      </c>
      <c r="C1055" s="12" t="s">
        <v>20</v>
      </c>
      <c r="D1055" s="13" t="s">
        <v>516</v>
      </c>
      <c r="E1055" s="24">
        <v>815000</v>
      </c>
      <c r="F1055" s="25" t="e">
        <f>Table2[[#This Row],[Price]]/Table2[[#This Row],[Tot Ht Area]]</f>
        <v>#DIV/0!</v>
      </c>
      <c r="G1055" s="16"/>
      <c r="H1055" s="16">
        <v>3016</v>
      </c>
      <c r="I1055" s="17" t="s">
        <v>5694</v>
      </c>
      <c r="J1055" s="18" t="s">
        <v>415</v>
      </c>
      <c r="K1055" s="19" t="s">
        <v>1320</v>
      </c>
      <c r="L1055" s="19"/>
      <c r="M1055" s="19" t="s">
        <v>5695</v>
      </c>
      <c r="N1055" s="20" t="s">
        <v>1598</v>
      </c>
      <c r="O1055" s="20" t="s">
        <v>27</v>
      </c>
      <c r="P1055" s="21" t="s">
        <v>5696</v>
      </c>
      <c r="Q1055" s="20"/>
      <c r="R1055" s="20" t="s">
        <v>5697</v>
      </c>
      <c r="S1055" s="20"/>
      <c r="T1055" s="20"/>
      <c r="U1055" s="20"/>
      <c r="V1055" s="20"/>
    </row>
    <row r="1056" spans="2:22" ht="17">
      <c r="B1056" s="11" t="s">
        <v>5698</v>
      </c>
      <c r="C1056" s="12" t="s">
        <v>20</v>
      </c>
      <c r="D1056" s="13" t="s">
        <v>516</v>
      </c>
      <c r="E1056" s="24">
        <v>800000</v>
      </c>
      <c r="F1056" s="25" t="e">
        <f>Table2[[#This Row],[Price]]/Table2[[#This Row],[Tot Ht Area]]</f>
        <v>#DIV/0!</v>
      </c>
      <c r="G1056" s="16"/>
      <c r="H1056" s="16">
        <v>3068</v>
      </c>
      <c r="I1056" s="17" t="s">
        <v>5699</v>
      </c>
      <c r="J1056" s="18" t="s">
        <v>316</v>
      </c>
      <c r="K1056" s="19" t="s">
        <v>1320</v>
      </c>
      <c r="L1056" s="19"/>
      <c r="M1056" s="19" t="s">
        <v>5700</v>
      </c>
      <c r="N1056" s="20" t="s">
        <v>1598</v>
      </c>
      <c r="O1056" s="20" t="s">
        <v>27</v>
      </c>
      <c r="P1056" s="21" t="s">
        <v>5680</v>
      </c>
      <c r="Q1056" s="26" t="s">
        <v>5701</v>
      </c>
      <c r="R1056" s="20" t="s">
        <v>5702</v>
      </c>
      <c r="S1056" s="20"/>
      <c r="T1056" s="20"/>
      <c r="U1056" s="20"/>
      <c r="V1056" s="20"/>
    </row>
    <row r="1057" spans="1:22" ht="17">
      <c r="A1057">
        <v>3</v>
      </c>
      <c r="B1057" s="11" t="s">
        <v>5703</v>
      </c>
      <c r="C1057" s="12" t="s">
        <v>20</v>
      </c>
      <c r="D1057" s="13" t="s">
        <v>158</v>
      </c>
      <c r="E1057" s="24">
        <v>850000</v>
      </c>
      <c r="F1057" s="25" t="e">
        <f>Table2[[#This Row],[Price]]/Table2[[#This Row],[Tot Ht Area]]</f>
        <v>#DIV/0!</v>
      </c>
      <c r="G1057" s="16"/>
      <c r="H1057" s="16">
        <v>2952</v>
      </c>
      <c r="I1057" s="17" t="s">
        <v>5704</v>
      </c>
      <c r="J1057" s="18" t="s">
        <v>316</v>
      </c>
      <c r="K1057" s="19" t="s">
        <v>1320</v>
      </c>
      <c r="L1057" s="19"/>
      <c r="M1057" s="19" t="s">
        <v>5705</v>
      </c>
      <c r="N1057" s="20" t="s">
        <v>1598</v>
      </c>
      <c r="O1057" s="20" t="s">
        <v>27</v>
      </c>
      <c r="P1057" s="21" t="s">
        <v>5706</v>
      </c>
      <c r="Q1057" s="20"/>
      <c r="R1057" s="20" t="s">
        <v>5707</v>
      </c>
      <c r="S1057" s="20"/>
      <c r="T1057" s="20"/>
      <c r="U1057" s="20"/>
      <c r="V1057" s="20"/>
    </row>
    <row r="1058" spans="1:22" ht="17">
      <c r="B1058" s="11" t="s">
        <v>5708</v>
      </c>
      <c r="C1058" s="12" t="s">
        <v>20</v>
      </c>
      <c r="D1058" s="13" t="s">
        <v>55</v>
      </c>
      <c r="E1058" s="24">
        <v>790000</v>
      </c>
      <c r="F1058" s="25" t="e">
        <f>Table2[[#This Row],[Price]]/Table2[[#This Row],[Tot Ht Area]]</f>
        <v>#DIV/0!</v>
      </c>
      <c r="G1058" s="16"/>
      <c r="H1058" s="16">
        <v>3120</v>
      </c>
      <c r="I1058" s="17" t="s">
        <v>5709</v>
      </c>
      <c r="J1058" s="18" t="s">
        <v>23</v>
      </c>
      <c r="K1058" s="19" t="s">
        <v>1320</v>
      </c>
      <c r="L1058" s="19"/>
      <c r="M1058" s="19" t="s">
        <v>5710</v>
      </c>
      <c r="N1058" s="20" t="s">
        <v>1598</v>
      </c>
      <c r="O1058" s="20" t="s">
        <v>27</v>
      </c>
      <c r="P1058" s="21" t="s">
        <v>5711</v>
      </c>
      <c r="Q1058" s="20"/>
      <c r="R1058" s="20" t="s">
        <v>5712</v>
      </c>
      <c r="S1058" s="20"/>
      <c r="T1058" s="20"/>
      <c r="U1058" s="20"/>
      <c r="V1058" s="20"/>
    </row>
    <row r="1059" spans="1:22" ht="17">
      <c r="B1059" s="11" t="s">
        <v>5713</v>
      </c>
      <c r="C1059" s="12" t="s">
        <v>20</v>
      </c>
      <c r="D1059" s="13" t="s">
        <v>149</v>
      </c>
      <c r="E1059" s="24">
        <v>100</v>
      </c>
      <c r="F1059" s="25">
        <f>Table2[[#This Row],[Price]]/Table2[[#This Row],[Tot Ht Area]]</f>
        <v>0.04</v>
      </c>
      <c r="G1059" s="16">
        <v>2500</v>
      </c>
      <c r="H1059" s="16">
        <v>2500</v>
      </c>
      <c r="I1059" s="17" t="s">
        <v>5714</v>
      </c>
      <c r="J1059" s="18" t="s">
        <v>187</v>
      </c>
      <c r="K1059" s="19" t="s">
        <v>1465</v>
      </c>
      <c r="L1059" s="19"/>
      <c r="M1059" s="19" t="s">
        <v>5715</v>
      </c>
      <c r="N1059" s="20" t="s">
        <v>1598</v>
      </c>
      <c r="O1059" s="20" t="s">
        <v>27</v>
      </c>
      <c r="P1059" s="21" t="s">
        <v>5716</v>
      </c>
      <c r="Q1059" s="20"/>
      <c r="R1059" s="20" t="s">
        <v>5717</v>
      </c>
      <c r="S1059" s="20"/>
      <c r="T1059" s="20" t="s">
        <v>6318</v>
      </c>
      <c r="U1059" s="20"/>
      <c r="V1059" s="20"/>
    </row>
    <row r="1060" spans="1:22" ht="17">
      <c r="B1060" s="11" t="s">
        <v>5718</v>
      </c>
      <c r="C1060" s="12" t="s">
        <v>20</v>
      </c>
      <c r="D1060" s="13" t="s">
        <v>231</v>
      </c>
      <c r="E1060" s="24">
        <v>741600</v>
      </c>
      <c r="F1060" s="25" t="e">
        <f>Table2[[#This Row],[Price]]/Table2[[#This Row],[Tot Ht Area]]</f>
        <v>#DIV/0!</v>
      </c>
      <c r="G1060" s="16"/>
      <c r="H1060" s="16">
        <v>3234</v>
      </c>
      <c r="I1060" s="17" t="s">
        <v>5719</v>
      </c>
      <c r="J1060" s="18" t="s">
        <v>278</v>
      </c>
      <c r="K1060" s="19" t="s">
        <v>1320</v>
      </c>
      <c r="L1060" s="19"/>
      <c r="M1060" s="19" t="s">
        <v>5720</v>
      </c>
      <c r="N1060" s="20" t="s">
        <v>1598</v>
      </c>
      <c r="O1060" s="20" t="s">
        <v>27</v>
      </c>
      <c r="P1060" s="21" t="s">
        <v>5721</v>
      </c>
      <c r="Q1060" s="20"/>
      <c r="R1060" s="20" t="s">
        <v>5722</v>
      </c>
      <c r="S1060" s="20"/>
      <c r="T1060" s="20"/>
      <c r="U1060" s="20"/>
      <c r="V1060" s="20"/>
    </row>
    <row r="1061" spans="1:22" ht="17">
      <c r="B1061" s="11" t="s">
        <v>5723</v>
      </c>
      <c r="C1061" s="12" t="s">
        <v>20</v>
      </c>
      <c r="D1061" s="13" t="s">
        <v>124</v>
      </c>
      <c r="E1061" s="24">
        <v>2525000</v>
      </c>
      <c r="F1061" s="25" t="e">
        <f>Table2[[#This Row],[Price]]/Table2[[#This Row],[Tot Ht Area]]</f>
        <v>#DIV/0!</v>
      </c>
      <c r="G1061" s="16"/>
      <c r="H1061" s="16">
        <v>14705</v>
      </c>
      <c r="I1061" s="17" t="s">
        <v>5724</v>
      </c>
      <c r="J1061" s="18" t="s">
        <v>23</v>
      </c>
      <c r="K1061" s="19" t="s">
        <v>1630</v>
      </c>
      <c r="L1061" s="19"/>
      <c r="M1061" s="19" t="s">
        <v>5725</v>
      </c>
      <c r="N1061" s="20" t="s">
        <v>1598</v>
      </c>
      <c r="O1061" s="20" t="s">
        <v>27</v>
      </c>
      <c r="P1061" s="21" t="s">
        <v>5726</v>
      </c>
      <c r="Q1061" s="20"/>
      <c r="R1061" s="20" t="s">
        <v>5727</v>
      </c>
      <c r="S1061" s="20"/>
      <c r="T1061" s="20"/>
      <c r="U1061" s="20"/>
      <c r="V1061" s="20"/>
    </row>
    <row r="1062" spans="1:22" ht="17">
      <c r="B1062" s="11" t="s">
        <v>5728</v>
      </c>
      <c r="C1062" s="12" t="s">
        <v>20</v>
      </c>
      <c r="D1062" s="13" t="s">
        <v>995</v>
      </c>
      <c r="E1062" s="24">
        <v>1495000</v>
      </c>
      <c r="F1062" s="25">
        <f>Table2[[#This Row],[Price]]/Table2[[#This Row],[Tot Ht Area]]</f>
        <v>247.10743801652893</v>
      </c>
      <c r="G1062" s="16">
        <v>6050</v>
      </c>
      <c r="H1062" s="16">
        <v>13743</v>
      </c>
      <c r="I1062" s="17" t="s">
        <v>5729</v>
      </c>
      <c r="J1062" s="18" t="s">
        <v>518</v>
      </c>
      <c r="K1062" s="19" t="s">
        <v>1320</v>
      </c>
      <c r="L1062" s="19"/>
      <c r="M1062" s="19" t="s">
        <v>5730</v>
      </c>
      <c r="N1062" s="20" t="s">
        <v>1598</v>
      </c>
      <c r="O1062" s="20" t="s">
        <v>27</v>
      </c>
      <c r="P1062" s="21" t="s">
        <v>5731</v>
      </c>
      <c r="Q1062" s="20"/>
      <c r="R1062" s="20" t="s">
        <v>5732</v>
      </c>
      <c r="S1062" s="20"/>
      <c r="T1062" s="20"/>
      <c r="U1062" s="20"/>
      <c r="V1062" s="20"/>
    </row>
    <row r="1063" spans="1:22" ht="17">
      <c r="B1063" s="11" t="s">
        <v>5733</v>
      </c>
      <c r="C1063" s="12" t="s">
        <v>20</v>
      </c>
      <c r="D1063" s="13" t="s">
        <v>1490</v>
      </c>
      <c r="E1063" s="24">
        <v>575000</v>
      </c>
      <c r="F1063" s="25" t="e">
        <f>Table2[[#This Row],[Price]]/Table2[[#This Row],[Tot Ht Area]]</f>
        <v>#DIV/0!</v>
      </c>
      <c r="G1063" s="16"/>
      <c r="H1063" s="16">
        <v>10272</v>
      </c>
      <c r="I1063" s="17" t="s">
        <v>5734</v>
      </c>
      <c r="J1063" s="18" t="s">
        <v>2133</v>
      </c>
      <c r="K1063" s="19" t="s">
        <v>1630</v>
      </c>
      <c r="L1063" s="19"/>
      <c r="M1063" s="19" t="s">
        <v>5735</v>
      </c>
      <c r="N1063" s="20" t="s">
        <v>1598</v>
      </c>
      <c r="O1063" s="20" t="s">
        <v>27</v>
      </c>
      <c r="P1063" s="21" t="s">
        <v>5736</v>
      </c>
      <c r="Q1063" s="20"/>
      <c r="R1063" s="20" t="s">
        <v>5737</v>
      </c>
      <c r="S1063" s="20"/>
      <c r="T1063" s="20"/>
      <c r="U1063" s="20"/>
      <c r="V1063" s="20"/>
    </row>
    <row r="1064" spans="1:22" ht="34">
      <c r="B1064" s="11" t="s">
        <v>5738</v>
      </c>
      <c r="C1064" s="12" t="s">
        <v>20</v>
      </c>
      <c r="D1064" s="13" t="s">
        <v>322</v>
      </c>
      <c r="E1064" s="24">
        <v>650000</v>
      </c>
      <c r="F1064" s="25" t="e">
        <f>Table2[[#This Row],[Price]]/Table2[[#This Row],[Tot Ht Area]]</f>
        <v>#DIV/0!</v>
      </c>
      <c r="G1064" s="16"/>
      <c r="H1064" s="16">
        <v>5082</v>
      </c>
      <c r="I1064" s="17" t="s">
        <v>5739</v>
      </c>
      <c r="J1064" s="18" t="s">
        <v>599</v>
      </c>
      <c r="K1064" s="19" t="s">
        <v>1320</v>
      </c>
      <c r="L1064" s="19"/>
      <c r="M1064" s="19" t="s">
        <v>5740</v>
      </c>
      <c r="N1064" s="20" t="s">
        <v>1598</v>
      </c>
      <c r="O1064" s="20" t="s">
        <v>27</v>
      </c>
      <c r="P1064" s="21" t="s">
        <v>5741</v>
      </c>
      <c r="Q1064" s="20"/>
      <c r="R1064" s="20" t="s">
        <v>5742</v>
      </c>
      <c r="S1064" s="20"/>
      <c r="T1064" s="20"/>
      <c r="U1064" s="20"/>
      <c r="V1064" s="20"/>
    </row>
    <row r="1065" spans="1:22" ht="34">
      <c r="B1065" s="11" t="s">
        <v>5743</v>
      </c>
      <c r="C1065" s="12" t="s">
        <v>20</v>
      </c>
      <c r="D1065" s="13" t="s">
        <v>571</v>
      </c>
      <c r="E1065" s="24">
        <v>340000</v>
      </c>
      <c r="F1065" s="25">
        <f>Table2[[#This Row],[Price]]/Table2[[#This Row],[Tot Ht Area]]</f>
        <v>137.81921361978112</v>
      </c>
      <c r="G1065" s="16">
        <v>2467</v>
      </c>
      <c r="H1065" s="16">
        <v>2467</v>
      </c>
      <c r="I1065" s="17" t="s">
        <v>5744</v>
      </c>
      <c r="J1065" s="18" t="s">
        <v>1231</v>
      </c>
      <c r="K1065" s="19" t="s">
        <v>172</v>
      </c>
      <c r="L1065" s="19"/>
      <c r="M1065" s="19" t="s">
        <v>5745</v>
      </c>
      <c r="N1065" s="20" t="s">
        <v>1598</v>
      </c>
      <c r="O1065" s="20" t="s">
        <v>27</v>
      </c>
      <c r="P1065" s="21" t="s">
        <v>5746</v>
      </c>
      <c r="Q1065" s="20"/>
      <c r="R1065" s="20" t="s">
        <v>5747</v>
      </c>
      <c r="S1065" s="20"/>
      <c r="T1065" s="20"/>
      <c r="U1065" s="20"/>
      <c r="V1065" s="20"/>
    </row>
    <row r="1066" spans="1:22" ht="34">
      <c r="B1066" s="11" t="s">
        <v>5748</v>
      </c>
      <c r="C1066" s="12" t="s">
        <v>20</v>
      </c>
      <c r="D1066" s="13" t="s">
        <v>722</v>
      </c>
      <c r="E1066" s="24">
        <v>340000</v>
      </c>
      <c r="F1066" s="25">
        <f>Table2[[#This Row],[Price]]/Table2[[#This Row],[Tot Ht Area]]</f>
        <v>137.81921361978112</v>
      </c>
      <c r="G1066" s="16">
        <v>2467</v>
      </c>
      <c r="H1066" s="16">
        <v>2467</v>
      </c>
      <c r="I1066" s="17" t="s">
        <v>5749</v>
      </c>
      <c r="J1066" s="18" t="s">
        <v>1231</v>
      </c>
      <c r="K1066" s="19" t="s">
        <v>172</v>
      </c>
      <c r="L1066" s="19"/>
      <c r="M1066" s="19" t="s">
        <v>5750</v>
      </c>
      <c r="N1066" s="20" t="s">
        <v>1598</v>
      </c>
      <c r="O1066" s="20" t="s">
        <v>27</v>
      </c>
      <c r="P1066" s="21" t="s">
        <v>5751</v>
      </c>
      <c r="Q1066" s="20"/>
      <c r="R1066" s="20" t="s">
        <v>5752</v>
      </c>
      <c r="S1066" s="20"/>
      <c r="T1066" s="20"/>
      <c r="U1066" s="20"/>
      <c r="V1066" s="20"/>
    </row>
    <row r="1067" spans="1:22" ht="34">
      <c r="B1067" s="11"/>
      <c r="C1067" s="12" t="s">
        <v>20</v>
      </c>
      <c r="D1067" s="13" t="s">
        <v>158</v>
      </c>
      <c r="E1067" s="24">
        <v>340000</v>
      </c>
      <c r="F1067" s="25">
        <f>Table2[[#This Row],[Price]]/Table2[[#This Row],[Tot Ht Area]]</f>
        <v>137.81921361978112</v>
      </c>
      <c r="G1067" s="16">
        <v>2467</v>
      </c>
      <c r="H1067" s="16">
        <v>2467</v>
      </c>
      <c r="I1067" s="17" t="s">
        <v>5753</v>
      </c>
      <c r="J1067" s="18" t="s">
        <v>1231</v>
      </c>
      <c r="K1067" s="19" t="s">
        <v>172</v>
      </c>
      <c r="L1067" s="19"/>
      <c r="M1067" s="19" t="s">
        <v>5754</v>
      </c>
      <c r="N1067" s="20" t="s">
        <v>1598</v>
      </c>
      <c r="O1067" s="20" t="s">
        <v>27</v>
      </c>
      <c r="P1067" s="21" t="s">
        <v>5751</v>
      </c>
      <c r="Q1067" s="20"/>
      <c r="R1067" s="20" t="s">
        <v>5201</v>
      </c>
      <c r="S1067" s="20"/>
      <c r="T1067" s="20"/>
      <c r="U1067" s="20"/>
      <c r="V1067" s="20"/>
    </row>
    <row r="1068" spans="1:22" ht="34">
      <c r="B1068" s="11" t="s">
        <v>5755</v>
      </c>
      <c r="C1068" s="12" t="s">
        <v>20</v>
      </c>
      <c r="D1068" s="13" t="s">
        <v>45</v>
      </c>
      <c r="E1068" s="24">
        <v>100</v>
      </c>
      <c r="F1068" s="25">
        <f>Table2[[#This Row],[Price]]/Table2[[#This Row],[Tot Ht Area]]</f>
        <v>4.0535062829347386E-2</v>
      </c>
      <c r="G1068" s="16">
        <v>2467</v>
      </c>
      <c r="H1068" s="16">
        <v>2467</v>
      </c>
      <c r="I1068" s="17" t="s">
        <v>5756</v>
      </c>
      <c r="J1068" s="18" t="s">
        <v>1231</v>
      </c>
      <c r="K1068" s="19" t="s">
        <v>172</v>
      </c>
      <c r="L1068" s="19"/>
      <c r="M1068" s="19" t="s">
        <v>5757</v>
      </c>
      <c r="N1068" s="20" t="s">
        <v>1598</v>
      </c>
      <c r="O1068" s="20" t="s">
        <v>27</v>
      </c>
      <c r="P1068" s="21" t="s">
        <v>5758</v>
      </c>
      <c r="Q1068" s="20"/>
      <c r="R1068" s="20" t="s">
        <v>5759</v>
      </c>
      <c r="S1068" s="20"/>
      <c r="T1068" s="20" t="s">
        <v>6318</v>
      </c>
      <c r="U1068" s="20"/>
      <c r="V1068" s="20"/>
    </row>
    <row r="1069" spans="1:22" ht="51">
      <c r="B1069" s="11" t="s">
        <v>5760</v>
      </c>
      <c r="C1069" s="12" t="s">
        <v>20</v>
      </c>
      <c r="D1069" s="13" t="s">
        <v>133</v>
      </c>
      <c r="E1069" s="24">
        <v>5150000</v>
      </c>
      <c r="F1069" s="25" t="e">
        <f>Table2[[#This Row],[Price]]/Table2[[#This Row],[Tot Ht Area]]</f>
        <v>#DIV/0!</v>
      </c>
      <c r="G1069" s="16"/>
      <c r="H1069" s="16">
        <v>42762</v>
      </c>
      <c r="I1069" s="17" t="s">
        <v>5761</v>
      </c>
      <c r="J1069" s="18" t="s">
        <v>92</v>
      </c>
      <c r="K1069" s="19" t="s">
        <v>1716</v>
      </c>
      <c r="L1069" s="19"/>
      <c r="M1069" s="19" t="s">
        <v>5762</v>
      </c>
      <c r="N1069" s="20" t="s">
        <v>1598</v>
      </c>
      <c r="O1069" s="20" t="s">
        <v>27</v>
      </c>
      <c r="P1069" s="21" t="s">
        <v>5763</v>
      </c>
      <c r="Q1069" s="20"/>
      <c r="R1069" s="20" t="s">
        <v>5764</v>
      </c>
      <c r="S1069" s="20"/>
      <c r="T1069" s="20"/>
      <c r="U1069" s="20"/>
      <c r="V1069" s="20"/>
    </row>
    <row r="1070" spans="1:22" ht="17">
      <c r="B1070" s="11" t="s">
        <v>5765</v>
      </c>
      <c r="C1070" s="12" t="s">
        <v>20</v>
      </c>
      <c r="D1070" s="13" t="s">
        <v>1255</v>
      </c>
      <c r="E1070" s="24">
        <v>885000</v>
      </c>
      <c r="F1070" s="25" t="e">
        <f>Table2[[#This Row],[Price]]/Table2[[#This Row],[Tot Ht Area]]</f>
        <v>#DIV/0!</v>
      </c>
      <c r="G1070" s="16"/>
      <c r="H1070" s="16">
        <v>3606</v>
      </c>
      <c r="I1070" s="17" t="s">
        <v>5766</v>
      </c>
      <c r="J1070" s="18" t="s">
        <v>66</v>
      </c>
      <c r="K1070" s="19" t="s">
        <v>172</v>
      </c>
      <c r="L1070" s="19"/>
      <c r="M1070" s="19" t="s">
        <v>5767</v>
      </c>
      <c r="N1070" s="20" t="s">
        <v>1598</v>
      </c>
      <c r="O1070" s="20" t="s">
        <v>27</v>
      </c>
      <c r="P1070" s="21" t="s">
        <v>5768</v>
      </c>
      <c r="Q1070" s="20"/>
      <c r="R1070" s="20" t="s">
        <v>5769</v>
      </c>
      <c r="S1070" s="20"/>
      <c r="T1070" s="20"/>
      <c r="U1070" s="20"/>
      <c r="V1070" s="20"/>
    </row>
    <row r="1071" spans="1:22" ht="17">
      <c r="B1071" s="11" t="s">
        <v>5770</v>
      </c>
      <c r="C1071" s="12" t="s">
        <v>20</v>
      </c>
      <c r="D1071" s="13" t="s">
        <v>260</v>
      </c>
      <c r="E1071" s="24">
        <v>4000000</v>
      </c>
      <c r="F1071" s="25" t="e">
        <f>Table2[[#This Row],[Price]]/Table2[[#This Row],[Tot Ht Area]]</f>
        <v>#DIV/0!</v>
      </c>
      <c r="G1071" s="16"/>
      <c r="H1071" s="16">
        <v>21840</v>
      </c>
      <c r="I1071" s="17" t="s">
        <v>5771</v>
      </c>
      <c r="J1071" s="18" t="s">
        <v>75</v>
      </c>
      <c r="K1071" s="19" t="s">
        <v>1630</v>
      </c>
      <c r="L1071" s="19"/>
      <c r="M1071" s="19" t="s">
        <v>5772</v>
      </c>
      <c r="N1071" s="20" t="s">
        <v>1598</v>
      </c>
      <c r="O1071" s="20" t="s">
        <v>27</v>
      </c>
      <c r="P1071" s="21" t="s">
        <v>5773</v>
      </c>
      <c r="Q1071" s="20"/>
      <c r="R1071" s="20" t="s">
        <v>5774</v>
      </c>
      <c r="S1071" s="20"/>
      <c r="T1071" s="20"/>
      <c r="U1071" s="20"/>
      <c r="V1071" s="20"/>
    </row>
    <row r="1072" spans="1:22" ht="34">
      <c r="B1072" s="11" t="s">
        <v>5775</v>
      </c>
      <c r="C1072" s="12" t="s">
        <v>20</v>
      </c>
      <c r="D1072" s="13" t="s">
        <v>322</v>
      </c>
      <c r="E1072" s="24">
        <v>2450000</v>
      </c>
      <c r="F1072" s="25" t="e">
        <f>Table2[[#This Row],[Price]]/Table2[[#This Row],[Tot Ht Area]]</f>
        <v>#DIV/0!</v>
      </c>
      <c r="G1072" s="16"/>
      <c r="H1072" s="16">
        <v>20140</v>
      </c>
      <c r="I1072" s="17" t="s">
        <v>5776</v>
      </c>
      <c r="J1072" s="18" t="s">
        <v>566</v>
      </c>
      <c r="K1072" s="19" t="s">
        <v>1630</v>
      </c>
      <c r="L1072" s="19"/>
      <c r="M1072" s="19" t="s">
        <v>5777</v>
      </c>
      <c r="N1072" s="20" t="s">
        <v>1598</v>
      </c>
      <c r="O1072" s="20" t="s">
        <v>27</v>
      </c>
      <c r="P1072" s="21" t="s">
        <v>5778</v>
      </c>
      <c r="Q1072" s="20"/>
      <c r="R1072" s="20" t="s">
        <v>5779</v>
      </c>
      <c r="S1072" s="20"/>
      <c r="T1072" s="20"/>
      <c r="U1072" s="20"/>
      <c r="V1072" s="20"/>
    </row>
    <row r="1073" spans="1:22" ht="51">
      <c r="B1073" s="11" t="s">
        <v>5780</v>
      </c>
      <c r="C1073" s="12" t="s">
        <v>20</v>
      </c>
      <c r="D1073" s="13" t="s">
        <v>177</v>
      </c>
      <c r="E1073" s="24">
        <v>1800000</v>
      </c>
      <c r="F1073" s="25" t="e">
        <f>Table2[[#This Row],[Price]]/Table2[[#This Row],[Tot Ht Area]]</f>
        <v>#DIV/0!</v>
      </c>
      <c r="G1073" s="16"/>
      <c r="H1073" s="16">
        <v>19950</v>
      </c>
      <c r="I1073" s="17" t="s">
        <v>5781</v>
      </c>
      <c r="J1073" s="18" t="s">
        <v>716</v>
      </c>
      <c r="K1073" s="19" t="s">
        <v>1716</v>
      </c>
      <c r="L1073" s="19"/>
      <c r="M1073" s="19" t="s">
        <v>5782</v>
      </c>
      <c r="N1073" s="20" t="s">
        <v>1598</v>
      </c>
      <c r="O1073" s="20" t="s">
        <v>27</v>
      </c>
      <c r="P1073" s="21" t="s">
        <v>5783</v>
      </c>
      <c r="Q1073" s="20" t="s">
        <v>5784</v>
      </c>
      <c r="R1073" s="20" t="s">
        <v>5785</v>
      </c>
      <c r="S1073" s="20"/>
      <c r="T1073" s="20"/>
      <c r="U1073" s="20"/>
      <c r="V1073" s="20"/>
    </row>
    <row r="1074" spans="1:22" ht="51">
      <c r="A1074">
        <v>3</v>
      </c>
      <c r="B1074" s="11" t="s">
        <v>5786</v>
      </c>
      <c r="C1074" s="12" t="s">
        <v>20</v>
      </c>
      <c r="D1074" s="13" t="s">
        <v>982</v>
      </c>
      <c r="E1074" s="24">
        <v>2500000</v>
      </c>
      <c r="F1074" s="25" t="e">
        <f>Table2[[#This Row],[Price]]/Table2[[#This Row],[Tot Ht Area]]</f>
        <v>#DIV/0!</v>
      </c>
      <c r="G1074" s="16"/>
      <c r="H1074" s="16">
        <v>20748</v>
      </c>
      <c r="I1074" s="17" t="s">
        <v>5787</v>
      </c>
      <c r="J1074" s="18" t="s">
        <v>225</v>
      </c>
      <c r="K1074" s="19" t="s">
        <v>1320</v>
      </c>
      <c r="L1074" s="19"/>
      <c r="M1074" s="19" t="s">
        <v>5788</v>
      </c>
      <c r="N1074" s="20" t="s">
        <v>1598</v>
      </c>
      <c r="O1074" s="20" t="s">
        <v>27</v>
      </c>
      <c r="P1074" s="21" t="s">
        <v>5789</v>
      </c>
      <c r="Q1074" s="20"/>
      <c r="R1074" s="20" t="s">
        <v>5790</v>
      </c>
      <c r="S1074" s="20"/>
      <c r="T1074" s="20"/>
      <c r="U1074" s="20"/>
      <c r="V1074" s="20"/>
    </row>
    <row r="1075" spans="1:22" ht="17">
      <c r="B1075" s="11" t="s">
        <v>5791</v>
      </c>
      <c r="C1075" s="12" t="s">
        <v>20</v>
      </c>
      <c r="D1075" s="13" t="s">
        <v>253</v>
      </c>
      <c r="E1075" s="24">
        <v>100</v>
      </c>
      <c r="F1075" s="25" t="e">
        <f>Table2[[#This Row],[Price]]/Table2[[#This Row],[Tot Ht Area]]</f>
        <v>#DIV/0!</v>
      </c>
      <c r="G1075" s="16"/>
      <c r="H1075" s="16">
        <v>3750</v>
      </c>
      <c r="I1075" s="17" t="s">
        <v>5792</v>
      </c>
      <c r="J1075" s="18" t="s">
        <v>241</v>
      </c>
      <c r="K1075" s="19" t="s">
        <v>1320</v>
      </c>
      <c r="L1075" s="19"/>
      <c r="M1075" s="19" t="s">
        <v>5793</v>
      </c>
      <c r="N1075" s="20" t="s">
        <v>1598</v>
      </c>
      <c r="O1075" s="20" t="s">
        <v>27</v>
      </c>
      <c r="P1075" s="21" t="s">
        <v>5794</v>
      </c>
      <c r="Q1075" s="20"/>
      <c r="R1075" s="20" t="s">
        <v>5795</v>
      </c>
      <c r="S1075" s="20"/>
      <c r="T1075" s="20" t="s">
        <v>6318</v>
      </c>
      <c r="U1075" s="20"/>
      <c r="V1075" s="20"/>
    </row>
    <row r="1076" spans="1:22" ht="51">
      <c r="B1076" s="11" t="s">
        <v>5796</v>
      </c>
      <c r="C1076" s="12" t="s">
        <v>20</v>
      </c>
      <c r="D1076" s="13" t="s">
        <v>554</v>
      </c>
      <c r="E1076" s="24">
        <v>485000</v>
      </c>
      <c r="F1076" s="25" t="e">
        <f>Table2[[#This Row],[Price]]/Table2[[#This Row],[Tot Ht Area]]</f>
        <v>#DIV/0!</v>
      </c>
      <c r="G1076" s="16"/>
      <c r="H1076" s="16">
        <v>2110</v>
      </c>
      <c r="I1076" s="17" t="s">
        <v>5797</v>
      </c>
      <c r="J1076" s="18" t="s">
        <v>2133</v>
      </c>
      <c r="K1076" s="19" t="s">
        <v>1320</v>
      </c>
      <c r="L1076" s="19"/>
      <c r="M1076" s="19" t="s">
        <v>5798</v>
      </c>
      <c r="N1076" s="20" t="s">
        <v>1598</v>
      </c>
      <c r="O1076" s="20" t="s">
        <v>27</v>
      </c>
      <c r="P1076" s="21" t="s">
        <v>5292</v>
      </c>
      <c r="Q1076" s="20" t="s">
        <v>5799</v>
      </c>
      <c r="R1076" s="20" t="s">
        <v>5800</v>
      </c>
      <c r="S1076" s="20"/>
      <c r="T1076" s="20"/>
      <c r="U1076" s="20"/>
      <c r="V1076" s="20"/>
    </row>
    <row r="1077" spans="1:22" ht="34">
      <c r="B1077" s="11" t="s">
        <v>5801</v>
      </c>
      <c r="C1077" s="12" t="s">
        <v>20</v>
      </c>
      <c r="D1077" s="13" t="s">
        <v>591</v>
      </c>
      <c r="E1077" s="24">
        <v>100</v>
      </c>
      <c r="F1077" s="25" t="e">
        <f>Table2[[#This Row],[Price]]/Table2[[#This Row],[Tot Ht Area]]</f>
        <v>#DIV/0!</v>
      </c>
      <c r="G1077" s="16"/>
      <c r="H1077" s="16">
        <v>5274</v>
      </c>
      <c r="I1077" s="17" t="s">
        <v>5802</v>
      </c>
      <c r="J1077" s="18" t="s">
        <v>92</v>
      </c>
      <c r="K1077" s="19" t="s">
        <v>1320</v>
      </c>
      <c r="L1077" s="19"/>
      <c r="M1077" s="19" t="s">
        <v>5803</v>
      </c>
      <c r="N1077" s="20" t="s">
        <v>1598</v>
      </c>
      <c r="O1077" s="20" t="s">
        <v>27</v>
      </c>
      <c r="P1077" s="21" t="s">
        <v>5804</v>
      </c>
      <c r="Q1077" s="20"/>
      <c r="R1077" s="20" t="s">
        <v>5805</v>
      </c>
      <c r="S1077" s="20"/>
      <c r="T1077" s="20" t="s">
        <v>6318</v>
      </c>
      <c r="U1077" s="20"/>
      <c r="V1077" s="20"/>
    </row>
    <row r="1078" spans="1:22" ht="17">
      <c r="B1078" s="11" t="s">
        <v>5806</v>
      </c>
      <c r="C1078" s="12" t="s">
        <v>20</v>
      </c>
      <c r="D1078" s="13" t="s">
        <v>293</v>
      </c>
      <c r="E1078" s="24">
        <v>1350000</v>
      </c>
      <c r="F1078" s="25">
        <f>Table2[[#This Row],[Price]]/Table2[[#This Row],[Tot Ht Area]]</f>
        <v>234.70097357440889</v>
      </c>
      <c r="G1078" s="16">
        <v>5752</v>
      </c>
      <c r="H1078" s="16">
        <v>5752</v>
      </c>
      <c r="I1078" s="17" t="s">
        <v>5807</v>
      </c>
      <c r="J1078" s="18" t="s">
        <v>1138</v>
      </c>
      <c r="K1078" s="19" t="s">
        <v>1465</v>
      </c>
      <c r="L1078" s="19"/>
      <c r="M1078" s="19" t="s">
        <v>5808</v>
      </c>
      <c r="N1078" s="20" t="s">
        <v>1598</v>
      </c>
      <c r="O1078" s="20" t="s">
        <v>27</v>
      </c>
      <c r="P1078" s="21" t="s">
        <v>5809</v>
      </c>
      <c r="Q1078" s="20"/>
      <c r="R1078" s="20" t="s">
        <v>5810</v>
      </c>
      <c r="S1078" s="20"/>
      <c r="T1078" s="20"/>
      <c r="U1078" s="20"/>
      <c r="V1078" s="20"/>
    </row>
    <row r="1079" spans="1:22" ht="34">
      <c r="B1079" s="11" t="s">
        <v>5811</v>
      </c>
      <c r="C1079" s="12" t="s">
        <v>20</v>
      </c>
      <c r="D1079" s="13" t="s">
        <v>925</v>
      </c>
      <c r="E1079" s="24">
        <v>449000</v>
      </c>
      <c r="F1079" s="25" t="e">
        <f>Table2[[#This Row],[Price]]/Table2[[#This Row],[Tot Ht Area]]</f>
        <v>#DIV/0!</v>
      </c>
      <c r="G1079" s="16"/>
      <c r="H1079" s="16">
        <v>2400</v>
      </c>
      <c r="I1079" s="17" t="s">
        <v>5812</v>
      </c>
      <c r="J1079" s="18" t="s">
        <v>1492</v>
      </c>
      <c r="K1079" s="19" t="s">
        <v>1320</v>
      </c>
      <c r="L1079" s="19"/>
      <c r="M1079" s="19" t="s">
        <v>5813</v>
      </c>
      <c r="N1079" s="20" t="s">
        <v>1598</v>
      </c>
      <c r="O1079" s="20" t="s">
        <v>27</v>
      </c>
      <c r="P1079" s="21" t="s">
        <v>5814</v>
      </c>
      <c r="Q1079" s="20"/>
      <c r="R1079" s="20" t="s">
        <v>5815</v>
      </c>
      <c r="S1079" s="20"/>
      <c r="T1079" s="20"/>
      <c r="U1079" s="20"/>
      <c r="V1079" s="20"/>
    </row>
    <row r="1080" spans="1:22" ht="17">
      <c r="B1080" s="11" t="s">
        <v>5816</v>
      </c>
      <c r="C1080" s="12" t="s">
        <v>20</v>
      </c>
      <c r="D1080" s="13" t="s">
        <v>372</v>
      </c>
      <c r="E1080" s="24">
        <v>100</v>
      </c>
      <c r="F1080" s="25">
        <f>Table2[[#This Row],[Price]]/Table2[[#This Row],[Tot Ht Area]]</f>
        <v>3.787878787878788E-2</v>
      </c>
      <c r="G1080" s="16">
        <v>2640</v>
      </c>
      <c r="H1080" s="16">
        <v>2640</v>
      </c>
      <c r="I1080" s="17" t="s">
        <v>5817</v>
      </c>
      <c r="J1080" s="18" t="s">
        <v>1492</v>
      </c>
      <c r="K1080" s="19" t="s">
        <v>24</v>
      </c>
      <c r="L1080" s="19"/>
      <c r="M1080" s="19" t="s">
        <v>5818</v>
      </c>
      <c r="N1080" s="20" t="s">
        <v>1598</v>
      </c>
      <c r="O1080" s="20" t="s">
        <v>27</v>
      </c>
      <c r="P1080" s="21" t="s">
        <v>4369</v>
      </c>
      <c r="Q1080" s="20"/>
      <c r="R1080" s="20" t="s">
        <v>5819</v>
      </c>
      <c r="S1080" s="20"/>
      <c r="T1080" s="20" t="s">
        <v>6318</v>
      </c>
      <c r="U1080" s="20"/>
      <c r="V1080" s="20"/>
    </row>
    <row r="1081" spans="1:22" ht="34">
      <c r="B1081" s="11" t="s">
        <v>5820</v>
      </c>
      <c r="C1081" s="12" t="s">
        <v>20</v>
      </c>
      <c r="D1081" s="13" t="s">
        <v>336</v>
      </c>
      <c r="E1081" s="24">
        <v>100</v>
      </c>
      <c r="F1081" s="25" t="e">
        <f>Table2[[#This Row],[Price]]/Table2[[#This Row],[Tot Ht Area]]</f>
        <v>#DIV/0!</v>
      </c>
      <c r="G1081" s="16"/>
      <c r="H1081" s="16">
        <v>5508</v>
      </c>
      <c r="I1081" s="17" t="s">
        <v>5821</v>
      </c>
      <c r="J1081" s="18" t="s">
        <v>1116</v>
      </c>
      <c r="K1081" s="19" t="s">
        <v>24</v>
      </c>
      <c r="L1081" s="19"/>
      <c r="M1081" s="19" t="s">
        <v>5822</v>
      </c>
      <c r="N1081" s="20" t="s">
        <v>1598</v>
      </c>
      <c r="O1081" s="20" t="s">
        <v>27</v>
      </c>
      <c r="P1081" s="21" t="s">
        <v>5823</v>
      </c>
      <c r="Q1081" s="20" t="s">
        <v>5824</v>
      </c>
      <c r="R1081" s="20" t="s">
        <v>5825</v>
      </c>
      <c r="S1081" s="20"/>
      <c r="T1081" s="20" t="s">
        <v>6318</v>
      </c>
      <c r="U1081" s="20"/>
      <c r="V1081" s="20"/>
    </row>
    <row r="1082" spans="1:22" ht="17">
      <c r="B1082" s="11" t="s">
        <v>5826</v>
      </c>
      <c r="C1082" s="12" t="s">
        <v>20</v>
      </c>
      <c r="D1082" s="13" t="s">
        <v>1490</v>
      </c>
      <c r="E1082" s="24">
        <v>2273300</v>
      </c>
      <c r="F1082" s="25" t="e">
        <f>Table2[[#This Row],[Price]]/Table2[[#This Row],[Tot Ht Area]]</f>
        <v>#DIV/0!</v>
      </c>
      <c r="G1082" s="16"/>
      <c r="H1082" s="16">
        <v>4470</v>
      </c>
      <c r="I1082" s="17" t="s">
        <v>5827</v>
      </c>
      <c r="J1082" s="18" t="s">
        <v>476</v>
      </c>
      <c r="K1082" s="19" t="s">
        <v>24</v>
      </c>
      <c r="L1082" s="19"/>
      <c r="M1082" s="19" t="s">
        <v>5828</v>
      </c>
      <c r="N1082" s="20" t="s">
        <v>1598</v>
      </c>
      <c r="O1082" s="20" t="s">
        <v>27</v>
      </c>
      <c r="P1082" s="21" t="s">
        <v>5829</v>
      </c>
      <c r="Q1082" s="20"/>
      <c r="R1082" s="20" t="s">
        <v>5830</v>
      </c>
      <c r="S1082" s="20"/>
      <c r="T1082" s="20"/>
      <c r="U1082" s="20"/>
      <c r="V1082" s="20"/>
    </row>
    <row r="1083" spans="1:22" ht="34">
      <c r="B1083" s="11" t="s">
        <v>5831</v>
      </c>
      <c r="C1083" s="12" t="s">
        <v>20</v>
      </c>
      <c r="D1083" s="13" t="s">
        <v>428</v>
      </c>
      <c r="E1083" s="24">
        <v>565000</v>
      </c>
      <c r="F1083" s="25" t="e">
        <f>Table2[[#This Row],[Price]]/Table2[[#This Row],[Tot Ht Area]]</f>
        <v>#DIV/0!</v>
      </c>
      <c r="G1083" s="16"/>
      <c r="H1083" s="16">
        <v>7956</v>
      </c>
      <c r="I1083" s="17" t="s">
        <v>5832</v>
      </c>
      <c r="J1083" s="18" t="s">
        <v>2150</v>
      </c>
      <c r="K1083" s="19" t="s">
        <v>1320</v>
      </c>
      <c r="L1083" s="19"/>
      <c r="M1083" s="19" t="s">
        <v>5833</v>
      </c>
      <c r="N1083" s="20" t="s">
        <v>1598</v>
      </c>
      <c r="O1083" s="20" t="s">
        <v>27</v>
      </c>
      <c r="P1083" s="21" t="s">
        <v>5834</v>
      </c>
      <c r="Q1083" s="20"/>
      <c r="R1083" s="20" t="s">
        <v>5835</v>
      </c>
      <c r="S1083" s="20"/>
      <c r="T1083" s="20"/>
      <c r="U1083" s="20"/>
      <c r="V1083" s="20"/>
    </row>
    <row r="1084" spans="1:22" ht="17">
      <c r="B1084" s="11" t="s">
        <v>5836</v>
      </c>
      <c r="C1084" s="12" t="s">
        <v>20</v>
      </c>
      <c r="D1084" s="13" t="s">
        <v>170</v>
      </c>
      <c r="E1084" s="24">
        <v>400000</v>
      </c>
      <c r="F1084" s="25" t="e">
        <f>Table2[[#This Row],[Price]]/Table2[[#This Row],[Tot Ht Area]]</f>
        <v>#DIV/0!</v>
      </c>
      <c r="G1084" s="16"/>
      <c r="H1084" s="16">
        <v>5302</v>
      </c>
      <c r="I1084" s="17" t="s">
        <v>5837</v>
      </c>
      <c r="J1084" s="18" t="s">
        <v>422</v>
      </c>
      <c r="K1084" s="19" t="s">
        <v>1630</v>
      </c>
      <c r="L1084" s="19"/>
      <c r="M1084" s="19" t="s">
        <v>5838</v>
      </c>
      <c r="N1084" s="20" t="s">
        <v>1598</v>
      </c>
      <c r="O1084" s="20" t="s">
        <v>27</v>
      </c>
      <c r="P1084" s="21" t="s">
        <v>5839</v>
      </c>
      <c r="Q1084" s="20"/>
      <c r="R1084" s="20" t="s">
        <v>5840</v>
      </c>
      <c r="S1084" s="20"/>
      <c r="T1084" s="20"/>
      <c r="U1084" s="20"/>
      <c r="V1084" s="20"/>
    </row>
    <row r="1085" spans="1:22" ht="17">
      <c r="B1085" s="11" t="s">
        <v>5841</v>
      </c>
      <c r="C1085" s="12" t="s">
        <v>20</v>
      </c>
      <c r="D1085" s="13" t="s">
        <v>55</v>
      </c>
      <c r="E1085" s="24">
        <v>1010000</v>
      </c>
      <c r="F1085" s="25" t="e">
        <f>Table2[[#This Row],[Price]]/Table2[[#This Row],[Tot Ht Area]]</f>
        <v>#DIV/0!</v>
      </c>
      <c r="G1085" s="16"/>
      <c r="H1085" s="16">
        <v>4708</v>
      </c>
      <c r="I1085" s="17" t="s">
        <v>5842</v>
      </c>
      <c r="J1085" s="18" t="s">
        <v>476</v>
      </c>
      <c r="K1085" s="19" t="s">
        <v>1320</v>
      </c>
      <c r="L1085" s="19"/>
      <c r="M1085" s="19" t="s">
        <v>5843</v>
      </c>
      <c r="N1085" s="20" t="s">
        <v>1598</v>
      </c>
      <c r="O1085" s="20" t="s">
        <v>27</v>
      </c>
      <c r="P1085" s="21" t="s">
        <v>3042</v>
      </c>
      <c r="Q1085" s="20"/>
      <c r="R1085" s="20" t="s">
        <v>5844</v>
      </c>
      <c r="S1085" s="20"/>
      <c r="T1085" s="20"/>
      <c r="U1085" s="20"/>
      <c r="V1085" s="20"/>
    </row>
    <row r="1086" spans="1:22" ht="17">
      <c r="B1086" s="11" t="s">
        <v>5845</v>
      </c>
      <c r="C1086" s="12" t="s">
        <v>20</v>
      </c>
      <c r="D1086" s="13" t="s">
        <v>34</v>
      </c>
      <c r="E1086" s="24">
        <v>4000000</v>
      </c>
      <c r="F1086" s="25" t="e">
        <f>Table2[[#This Row],[Price]]/Table2[[#This Row],[Tot Ht Area]]</f>
        <v>#DIV/0!</v>
      </c>
      <c r="G1086" s="16"/>
      <c r="H1086" s="16">
        <v>70841</v>
      </c>
      <c r="I1086" s="17" t="s">
        <v>5846</v>
      </c>
      <c r="J1086" s="18" t="s">
        <v>75</v>
      </c>
      <c r="K1086" s="19" t="s">
        <v>1630</v>
      </c>
      <c r="L1086" s="19"/>
      <c r="M1086" s="19" t="s">
        <v>5847</v>
      </c>
      <c r="N1086" s="20" t="s">
        <v>1598</v>
      </c>
      <c r="O1086" s="20" t="s">
        <v>27</v>
      </c>
      <c r="P1086" s="21" t="s">
        <v>5848</v>
      </c>
      <c r="Q1086" s="20"/>
      <c r="R1086" s="20" t="s">
        <v>5849</v>
      </c>
      <c r="S1086" s="20"/>
      <c r="T1086" s="20"/>
      <c r="U1086" s="20"/>
      <c r="V1086" s="20"/>
    </row>
    <row r="1087" spans="1:22" ht="34">
      <c r="B1087" s="11" t="s">
        <v>5850</v>
      </c>
      <c r="C1087" s="12" t="s">
        <v>20</v>
      </c>
      <c r="D1087" s="13" t="s">
        <v>73</v>
      </c>
      <c r="E1087" s="24">
        <v>5300000</v>
      </c>
      <c r="F1087" s="25" t="e">
        <f>Table2[[#This Row],[Price]]/Table2[[#This Row],[Tot Ht Area]]</f>
        <v>#DIV/0!</v>
      </c>
      <c r="G1087" s="16"/>
      <c r="H1087" s="16">
        <v>43082</v>
      </c>
      <c r="I1087" s="17" t="s">
        <v>5851</v>
      </c>
      <c r="J1087" s="18" t="s">
        <v>1231</v>
      </c>
      <c r="K1087" s="19" t="s">
        <v>1585</v>
      </c>
      <c r="L1087" s="19"/>
      <c r="M1087" s="19" t="s">
        <v>5852</v>
      </c>
      <c r="N1087" s="20" t="s">
        <v>1598</v>
      </c>
      <c r="O1087" s="20" t="s">
        <v>27</v>
      </c>
      <c r="P1087" s="21" t="s">
        <v>5853</v>
      </c>
      <c r="Q1087" s="20"/>
      <c r="R1087" s="20" t="s">
        <v>5854</v>
      </c>
      <c r="S1087" s="20"/>
      <c r="T1087" s="20"/>
      <c r="U1087" s="20"/>
      <c r="V1087" s="20"/>
    </row>
    <row r="1088" spans="1:22" ht="17">
      <c r="B1088" s="11" t="s">
        <v>5855</v>
      </c>
      <c r="C1088" s="12" t="s">
        <v>20</v>
      </c>
      <c r="D1088" s="13" t="s">
        <v>81</v>
      </c>
      <c r="E1088" s="24">
        <v>1150000</v>
      </c>
      <c r="F1088" s="25" t="e">
        <f>Table2[[#This Row],[Price]]/Table2[[#This Row],[Tot Ht Area]]</f>
        <v>#DIV/0!</v>
      </c>
      <c r="G1088" s="16"/>
      <c r="H1088" s="16">
        <v>2720</v>
      </c>
      <c r="I1088" s="17" t="s">
        <v>5856</v>
      </c>
      <c r="J1088" s="18" t="s">
        <v>358</v>
      </c>
      <c r="K1088" s="19" t="s">
        <v>1320</v>
      </c>
      <c r="L1088" s="19"/>
      <c r="M1088" s="19" t="s">
        <v>5857</v>
      </c>
      <c r="N1088" s="20" t="s">
        <v>1598</v>
      </c>
      <c r="O1088" s="20" t="s">
        <v>27</v>
      </c>
      <c r="P1088" s="21" t="s">
        <v>5858</v>
      </c>
      <c r="Q1088" s="20"/>
      <c r="R1088" s="20" t="s">
        <v>5859</v>
      </c>
      <c r="S1088" s="20"/>
      <c r="T1088" s="20"/>
      <c r="U1088" s="20"/>
      <c r="V1088" s="20"/>
    </row>
    <row r="1089" spans="2:22" ht="17">
      <c r="B1089" s="11" t="s">
        <v>5860</v>
      </c>
      <c r="C1089" s="12" t="s">
        <v>20</v>
      </c>
      <c r="D1089" s="13" t="s">
        <v>81</v>
      </c>
      <c r="E1089" s="24">
        <v>910000</v>
      </c>
      <c r="F1089" s="25" t="e">
        <f>Table2[[#This Row],[Price]]/Table2[[#This Row],[Tot Ht Area]]</f>
        <v>#DIV/0!</v>
      </c>
      <c r="G1089" s="16"/>
      <c r="H1089" s="16">
        <v>2330</v>
      </c>
      <c r="I1089" s="17" t="s">
        <v>5861</v>
      </c>
      <c r="J1089" s="18" t="s">
        <v>1430</v>
      </c>
      <c r="K1089" s="19" t="s">
        <v>1320</v>
      </c>
      <c r="L1089" s="19"/>
      <c r="M1089" s="19" t="s">
        <v>5862</v>
      </c>
      <c r="N1089" s="20" t="s">
        <v>1598</v>
      </c>
      <c r="O1089" s="20" t="s">
        <v>27</v>
      </c>
      <c r="P1089" s="21" t="s">
        <v>2926</v>
      </c>
      <c r="Q1089" s="20" t="s">
        <v>5863</v>
      </c>
      <c r="R1089" s="20" t="s">
        <v>5864</v>
      </c>
      <c r="S1089" s="20"/>
      <c r="T1089" s="20"/>
      <c r="U1089" s="20"/>
      <c r="V1089" s="20"/>
    </row>
    <row r="1090" spans="2:22" ht="34">
      <c r="B1090" s="11" t="s">
        <v>5865</v>
      </c>
      <c r="C1090" s="12" t="s">
        <v>20</v>
      </c>
      <c r="D1090" s="13" t="s">
        <v>474</v>
      </c>
      <c r="E1090" s="24">
        <v>3188800</v>
      </c>
      <c r="F1090" s="25" t="e">
        <f>Table2[[#This Row],[Price]]/Table2[[#This Row],[Tot Ht Area]]</f>
        <v>#DIV/0!</v>
      </c>
      <c r="G1090" s="16"/>
      <c r="H1090" s="16">
        <v>12032</v>
      </c>
      <c r="I1090" s="17" t="s">
        <v>5866</v>
      </c>
      <c r="J1090" s="18" t="s">
        <v>92</v>
      </c>
      <c r="K1090" s="19" t="s">
        <v>1630</v>
      </c>
      <c r="L1090" s="19"/>
      <c r="M1090" s="19" t="s">
        <v>5867</v>
      </c>
      <c r="N1090" s="20" t="s">
        <v>1598</v>
      </c>
      <c r="O1090" s="20" t="s">
        <v>27</v>
      </c>
      <c r="P1090" s="21" t="s">
        <v>5868</v>
      </c>
      <c r="Q1090" s="20"/>
      <c r="R1090" s="20" t="s">
        <v>5869</v>
      </c>
      <c r="S1090" s="20"/>
      <c r="T1090" s="20"/>
      <c r="U1090" s="20"/>
      <c r="V1090" s="20"/>
    </row>
    <row r="1091" spans="2:22" ht="17">
      <c r="B1091" s="11" t="s">
        <v>5870</v>
      </c>
      <c r="C1091" s="12" t="s">
        <v>20</v>
      </c>
      <c r="D1091" s="13" t="s">
        <v>372</v>
      </c>
      <c r="E1091" s="24">
        <v>100</v>
      </c>
      <c r="F1091" s="25" t="e">
        <f>Table2[[#This Row],[Price]]/Table2[[#This Row],[Tot Ht Area]]</f>
        <v>#DIV/0!</v>
      </c>
      <c r="G1091" s="16"/>
      <c r="H1091" s="16">
        <v>23214</v>
      </c>
      <c r="I1091" s="17" t="s">
        <v>5871</v>
      </c>
      <c r="J1091" s="18" t="s">
        <v>358</v>
      </c>
      <c r="K1091" s="19" t="s">
        <v>1585</v>
      </c>
      <c r="L1091" s="19"/>
      <c r="M1091" s="19" t="s">
        <v>5872</v>
      </c>
      <c r="N1091" s="20" t="s">
        <v>1598</v>
      </c>
      <c r="O1091" s="20" t="s">
        <v>27</v>
      </c>
      <c r="P1091" s="21" t="s">
        <v>5873</v>
      </c>
      <c r="Q1091" s="20"/>
      <c r="R1091" s="20" t="s">
        <v>5874</v>
      </c>
      <c r="S1091" s="20"/>
      <c r="T1091" s="20" t="s">
        <v>6318</v>
      </c>
      <c r="U1091" s="20"/>
      <c r="V1091" s="20"/>
    </row>
    <row r="1092" spans="2:22" ht="17">
      <c r="B1092" s="11" t="s">
        <v>5875</v>
      </c>
      <c r="C1092" s="12" t="s">
        <v>20</v>
      </c>
      <c r="D1092" s="13" t="s">
        <v>779</v>
      </c>
      <c r="E1092" s="24">
        <v>1450000</v>
      </c>
      <c r="F1092" s="25">
        <f>Table2[[#This Row],[Price]]/Table2[[#This Row],[Tot Ht Area]]</f>
        <v>302.08333333333331</v>
      </c>
      <c r="G1092" s="16">
        <v>4800</v>
      </c>
      <c r="H1092" s="16">
        <v>4800</v>
      </c>
      <c r="I1092" s="17" t="s">
        <v>5876</v>
      </c>
      <c r="J1092" s="18" t="s">
        <v>241</v>
      </c>
      <c r="K1092" s="19" t="s">
        <v>24</v>
      </c>
      <c r="L1092" s="19"/>
      <c r="M1092" s="19" t="s">
        <v>5877</v>
      </c>
      <c r="N1092" s="20" t="s">
        <v>1598</v>
      </c>
      <c r="O1092" s="20" t="s">
        <v>27</v>
      </c>
      <c r="P1092" s="21" t="s">
        <v>5878</v>
      </c>
      <c r="Q1092" s="20"/>
      <c r="R1092" s="20" t="s">
        <v>5879</v>
      </c>
      <c r="S1092" s="20"/>
      <c r="T1092" s="20"/>
      <c r="U1092" s="20"/>
      <c r="V1092" s="20"/>
    </row>
    <row r="1093" spans="2:22" ht="34">
      <c r="B1093" s="11" t="s">
        <v>5880</v>
      </c>
      <c r="C1093" s="12" t="s">
        <v>20</v>
      </c>
      <c r="D1093" s="13" t="s">
        <v>792</v>
      </c>
      <c r="E1093" s="24">
        <v>100</v>
      </c>
      <c r="F1093" s="25">
        <f>Table2[[#This Row],[Price]]/Table2[[#This Row],[Tot Ht Area]]</f>
        <v>4.8169556840077073E-2</v>
      </c>
      <c r="G1093" s="16">
        <v>2076</v>
      </c>
      <c r="H1093" s="16">
        <v>2076</v>
      </c>
      <c r="I1093" s="17" t="s">
        <v>5881</v>
      </c>
      <c r="J1093" s="18" t="s">
        <v>646</v>
      </c>
      <c r="K1093" s="19" t="s">
        <v>24</v>
      </c>
      <c r="L1093" s="19"/>
      <c r="M1093" s="19" t="s">
        <v>5882</v>
      </c>
      <c r="N1093" s="20" t="s">
        <v>1598</v>
      </c>
      <c r="O1093" s="20" t="s">
        <v>27</v>
      </c>
      <c r="P1093" s="21" t="s">
        <v>5883</v>
      </c>
      <c r="Q1093" s="20"/>
      <c r="R1093" s="20" t="s">
        <v>5884</v>
      </c>
      <c r="S1093" s="20"/>
      <c r="T1093" s="20" t="s">
        <v>6318</v>
      </c>
      <c r="U1093" s="20"/>
      <c r="V1093" s="20"/>
    </row>
    <row r="1094" spans="2:22" ht="34">
      <c r="B1094" s="11" t="s">
        <v>5885</v>
      </c>
      <c r="C1094" s="12" t="s">
        <v>20</v>
      </c>
      <c r="D1094" s="13" t="s">
        <v>591</v>
      </c>
      <c r="E1094" s="24">
        <v>597600</v>
      </c>
      <c r="F1094" s="25">
        <f>Table2[[#This Row],[Price]]/Table2[[#This Row],[Tot Ht Area]]</f>
        <v>171.13402061855669</v>
      </c>
      <c r="G1094" s="16">
        <v>3492</v>
      </c>
      <c r="H1094" s="16">
        <v>3492</v>
      </c>
      <c r="I1094" s="17" t="s">
        <v>5886</v>
      </c>
      <c r="J1094" s="18" t="s">
        <v>747</v>
      </c>
      <c r="K1094" s="19" t="s">
        <v>24</v>
      </c>
      <c r="L1094" s="19"/>
      <c r="M1094" s="19" t="s">
        <v>5887</v>
      </c>
      <c r="N1094" s="20" t="s">
        <v>1598</v>
      </c>
      <c r="O1094" s="20" t="s">
        <v>27</v>
      </c>
      <c r="P1094" s="21" t="s">
        <v>5888</v>
      </c>
      <c r="Q1094" s="20"/>
      <c r="R1094" s="20" t="s">
        <v>5889</v>
      </c>
      <c r="S1094" s="20"/>
      <c r="T1094" s="20"/>
      <c r="U1094" s="20"/>
      <c r="V1094" s="20"/>
    </row>
    <row r="1095" spans="2:22" ht="17">
      <c r="B1095" s="11" t="s">
        <v>5890</v>
      </c>
      <c r="C1095" s="12" t="s">
        <v>20</v>
      </c>
      <c r="D1095" s="13" t="s">
        <v>215</v>
      </c>
      <c r="E1095" s="24">
        <v>804000</v>
      </c>
      <c r="F1095" s="25">
        <f>Table2[[#This Row],[Price]]/Table2[[#This Row],[Tot Ht Area]]</f>
        <v>178.78585723815877</v>
      </c>
      <c r="G1095" s="16">
        <v>4497</v>
      </c>
      <c r="H1095" s="16">
        <v>4497</v>
      </c>
      <c r="I1095" s="17" t="s">
        <v>5891</v>
      </c>
      <c r="J1095" s="18" t="s">
        <v>23</v>
      </c>
      <c r="K1095" s="19" t="s">
        <v>24</v>
      </c>
      <c r="L1095" s="19"/>
      <c r="M1095" s="19" t="s">
        <v>5892</v>
      </c>
      <c r="N1095" s="20" t="s">
        <v>1598</v>
      </c>
      <c r="O1095" s="20" t="s">
        <v>27</v>
      </c>
      <c r="P1095" s="21" t="s">
        <v>3272</v>
      </c>
      <c r="Q1095" s="20"/>
      <c r="R1095" s="20" t="s">
        <v>5893</v>
      </c>
      <c r="S1095" s="20"/>
      <c r="T1095" s="20"/>
      <c r="U1095" s="20"/>
      <c r="V1095" s="20"/>
    </row>
    <row r="1096" spans="2:22" ht="34">
      <c r="B1096" s="11" t="s">
        <v>5894</v>
      </c>
      <c r="C1096" s="12" t="s">
        <v>20</v>
      </c>
      <c r="D1096" s="13" t="s">
        <v>407</v>
      </c>
      <c r="E1096" s="24">
        <v>100</v>
      </c>
      <c r="F1096" s="25">
        <f>Table2[[#This Row],[Price]]/Table2[[#This Row],[Tot Ht Area]]</f>
        <v>2.0777062123415749E-2</v>
      </c>
      <c r="G1096" s="16">
        <v>4813</v>
      </c>
      <c r="H1096" s="16">
        <v>4745</v>
      </c>
      <c r="I1096" s="17" t="s">
        <v>5895</v>
      </c>
      <c r="J1096" s="18" t="s">
        <v>400</v>
      </c>
      <c r="K1096" s="19" t="s">
        <v>1465</v>
      </c>
      <c r="L1096" s="19"/>
      <c r="M1096" s="19" t="s">
        <v>5896</v>
      </c>
      <c r="N1096" s="20" t="s">
        <v>1598</v>
      </c>
      <c r="O1096" s="20" t="s">
        <v>27</v>
      </c>
      <c r="P1096" s="21" t="s">
        <v>5897</v>
      </c>
      <c r="Q1096" s="20"/>
      <c r="R1096" s="20" t="s">
        <v>5898</v>
      </c>
      <c r="S1096" s="20"/>
      <c r="T1096" s="20" t="s">
        <v>6318</v>
      </c>
      <c r="U1096" s="20"/>
      <c r="V1096" s="20"/>
    </row>
    <row r="1097" spans="2:22" ht="34">
      <c r="B1097" s="11" t="s">
        <v>5899</v>
      </c>
      <c r="C1097" s="12" t="s">
        <v>20</v>
      </c>
      <c r="D1097" s="13" t="s">
        <v>73</v>
      </c>
      <c r="E1097" s="24">
        <v>100</v>
      </c>
      <c r="F1097" s="25" t="e">
        <f>Table2[[#This Row],[Price]]/Table2[[#This Row],[Tot Ht Area]]</f>
        <v>#DIV/0!</v>
      </c>
      <c r="G1097" s="16"/>
      <c r="H1097" s="16">
        <v>3400</v>
      </c>
      <c r="I1097" s="17" t="s">
        <v>5900</v>
      </c>
      <c r="J1097" s="18" t="s">
        <v>358</v>
      </c>
      <c r="K1097" s="19" t="s">
        <v>172</v>
      </c>
      <c r="L1097" s="19"/>
      <c r="M1097" s="19" t="s">
        <v>5901</v>
      </c>
      <c r="N1097" s="20" t="s">
        <v>1598</v>
      </c>
      <c r="O1097" s="20" t="s">
        <v>27</v>
      </c>
      <c r="P1097" s="21" t="s">
        <v>5902</v>
      </c>
      <c r="Q1097" s="20"/>
      <c r="R1097" s="20" t="s">
        <v>5903</v>
      </c>
      <c r="S1097" s="20"/>
      <c r="T1097" s="20" t="s">
        <v>6318</v>
      </c>
      <c r="U1097" s="20"/>
      <c r="V1097" s="20"/>
    </row>
    <row r="1098" spans="2:22" ht="17">
      <c r="B1098" s="11" t="s">
        <v>5904</v>
      </c>
      <c r="C1098" s="12" t="s">
        <v>20</v>
      </c>
      <c r="D1098" s="13" t="s">
        <v>276</v>
      </c>
      <c r="E1098" s="24">
        <v>970000</v>
      </c>
      <c r="F1098" s="25" t="e">
        <f>Table2[[#This Row],[Price]]/Table2[[#This Row],[Tot Ht Area]]</f>
        <v>#DIV/0!</v>
      </c>
      <c r="G1098" s="16"/>
      <c r="H1098" s="16">
        <v>3400</v>
      </c>
      <c r="I1098" s="17" t="s">
        <v>5905</v>
      </c>
      <c r="J1098" s="18" t="s">
        <v>358</v>
      </c>
      <c r="K1098" s="19" t="s">
        <v>172</v>
      </c>
      <c r="L1098" s="19"/>
      <c r="M1098" s="19" t="s">
        <v>5906</v>
      </c>
      <c r="N1098" s="20" t="s">
        <v>1598</v>
      </c>
      <c r="O1098" s="20" t="s">
        <v>27</v>
      </c>
      <c r="P1098" s="21" t="s">
        <v>3272</v>
      </c>
      <c r="Q1098" s="20"/>
      <c r="R1098" s="20" t="s">
        <v>5907</v>
      </c>
      <c r="S1098" s="20"/>
      <c r="T1098" s="20"/>
      <c r="U1098" s="20"/>
      <c r="V1098" s="20"/>
    </row>
    <row r="1099" spans="2:22" ht="34">
      <c r="B1099" s="11" t="s">
        <v>5908</v>
      </c>
      <c r="C1099" s="12" t="s">
        <v>20</v>
      </c>
      <c r="D1099" s="13" t="s">
        <v>108</v>
      </c>
      <c r="E1099" s="24">
        <v>958700</v>
      </c>
      <c r="F1099" s="25" t="e">
        <f>Table2[[#This Row],[Price]]/Table2[[#This Row],[Tot Ht Area]]</f>
        <v>#DIV/0!</v>
      </c>
      <c r="G1099" s="16"/>
      <c r="H1099" s="16">
        <v>3400</v>
      </c>
      <c r="I1099" s="17" t="s">
        <v>5909</v>
      </c>
      <c r="J1099" s="18" t="s">
        <v>358</v>
      </c>
      <c r="K1099" s="19" t="s">
        <v>172</v>
      </c>
      <c r="L1099" s="19"/>
      <c r="M1099" s="19" t="s">
        <v>5910</v>
      </c>
      <c r="N1099" s="20" t="s">
        <v>1598</v>
      </c>
      <c r="O1099" s="20" t="s">
        <v>27</v>
      </c>
      <c r="P1099" s="21" t="s">
        <v>5911</v>
      </c>
      <c r="Q1099" s="20"/>
      <c r="R1099" s="20" t="s">
        <v>5912</v>
      </c>
      <c r="S1099" s="20"/>
      <c r="T1099" s="20"/>
      <c r="U1099" s="20"/>
      <c r="V1099" s="20"/>
    </row>
    <row r="1100" spans="2:22" ht="17">
      <c r="B1100" s="11" t="s">
        <v>5913</v>
      </c>
      <c r="C1100" s="12" t="s">
        <v>20</v>
      </c>
      <c r="D1100" s="13" t="s">
        <v>322</v>
      </c>
      <c r="E1100" s="24">
        <v>1400000</v>
      </c>
      <c r="F1100" s="25">
        <f>Table2[[#This Row],[Price]]/Table2[[#This Row],[Tot Ht Area]]</f>
        <v>280.78620136381869</v>
      </c>
      <c r="G1100" s="16">
        <v>4986</v>
      </c>
      <c r="H1100" s="16">
        <v>9972</v>
      </c>
      <c r="I1100" s="17" t="s">
        <v>5914</v>
      </c>
      <c r="J1100" s="18" t="s">
        <v>47</v>
      </c>
      <c r="K1100" s="19" t="s">
        <v>24</v>
      </c>
      <c r="L1100" s="19"/>
      <c r="M1100" s="19" t="s">
        <v>5915</v>
      </c>
      <c r="N1100" s="20" t="s">
        <v>1598</v>
      </c>
      <c r="O1100" s="20" t="s">
        <v>27</v>
      </c>
      <c r="P1100" s="21" t="s">
        <v>5916</v>
      </c>
      <c r="Q1100" s="20"/>
      <c r="R1100" s="20" t="s">
        <v>5917</v>
      </c>
      <c r="S1100" s="20"/>
      <c r="T1100" s="20"/>
      <c r="U1100" s="20"/>
      <c r="V1100" s="20"/>
    </row>
    <row r="1101" spans="2:22" ht="34">
      <c r="B1101" s="11" t="s">
        <v>5918</v>
      </c>
      <c r="C1101" s="12" t="s">
        <v>20</v>
      </c>
      <c r="D1101" s="13" t="s">
        <v>177</v>
      </c>
      <c r="E1101" s="24">
        <v>1565000</v>
      </c>
      <c r="F1101" s="25" t="e">
        <f>Table2[[#This Row],[Price]]/Table2[[#This Row],[Tot Ht Area]]</f>
        <v>#DIV/0!</v>
      </c>
      <c r="G1101" s="16"/>
      <c r="H1101" s="16">
        <v>5924</v>
      </c>
      <c r="I1101" s="17" t="s">
        <v>5919</v>
      </c>
      <c r="J1101" s="18" t="s">
        <v>358</v>
      </c>
      <c r="K1101" s="19" t="s">
        <v>1630</v>
      </c>
      <c r="L1101" s="19"/>
      <c r="M1101" s="19" t="s">
        <v>5920</v>
      </c>
      <c r="N1101" s="20" t="s">
        <v>1598</v>
      </c>
      <c r="O1101" s="20" t="s">
        <v>27</v>
      </c>
      <c r="P1101" s="21" t="s">
        <v>3197</v>
      </c>
      <c r="Q1101" s="20" t="s">
        <v>5921</v>
      </c>
      <c r="R1101" s="20" t="s">
        <v>5922</v>
      </c>
      <c r="S1101" s="20"/>
      <c r="T1101" s="20"/>
      <c r="U1101" s="20"/>
      <c r="V1101" s="20"/>
    </row>
    <row r="1102" spans="2:22" ht="34">
      <c r="B1102" s="11" t="s">
        <v>5923</v>
      </c>
      <c r="C1102" s="12" t="s">
        <v>20</v>
      </c>
      <c r="D1102" s="13" t="s">
        <v>285</v>
      </c>
      <c r="E1102" s="24">
        <v>1650000</v>
      </c>
      <c r="F1102" s="25">
        <f>Table2[[#This Row],[Price]]/Table2[[#This Row],[Tot Ht Area]]</f>
        <v>389.33459178857953</v>
      </c>
      <c r="G1102" s="16">
        <v>4238</v>
      </c>
      <c r="H1102" s="16">
        <v>4238</v>
      </c>
      <c r="I1102" s="17" t="s">
        <v>5924</v>
      </c>
      <c r="J1102" s="18" t="s">
        <v>716</v>
      </c>
      <c r="K1102" s="19" t="s">
        <v>24</v>
      </c>
      <c r="L1102" s="19"/>
      <c r="M1102" s="19" t="s">
        <v>5925</v>
      </c>
      <c r="N1102" s="20" t="s">
        <v>1598</v>
      </c>
      <c r="O1102" s="20" t="s">
        <v>27</v>
      </c>
      <c r="P1102" s="21" t="s">
        <v>5926</v>
      </c>
      <c r="Q1102" s="20"/>
      <c r="R1102" s="20" t="s">
        <v>5927</v>
      </c>
      <c r="S1102" s="20"/>
      <c r="T1102" s="20"/>
      <c r="U1102" s="20"/>
      <c r="V1102" s="20"/>
    </row>
    <row r="1103" spans="2:22" ht="17">
      <c r="B1103" s="11" t="s">
        <v>5928</v>
      </c>
      <c r="C1103" s="12" t="s">
        <v>20</v>
      </c>
      <c r="D1103" s="13" t="s">
        <v>73</v>
      </c>
      <c r="E1103" s="24">
        <v>11200000</v>
      </c>
      <c r="F1103" s="25" t="e">
        <f>Table2[[#This Row],[Price]]/Table2[[#This Row],[Tot Ht Area]]</f>
        <v>#DIV/0!</v>
      </c>
      <c r="G1103" s="16"/>
      <c r="H1103" s="16">
        <v>83520</v>
      </c>
      <c r="I1103" s="17" t="s">
        <v>5929</v>
      </c>
      <c r="J1103" s="18" t="s">
        <v>75</v>
      </c>
      <c r="K1103" s="19" t="s">
        <v>1585</v>
      </c>
      <c r="L1103" s="19"/>
      <c r="M1103" s="19" t="s">
        <v>5930</v>
      </c>
      <c r="N1103" s="20" t="s">
        <v>1598</v>
      </c>
      <c r="O1103" s="20" t="s">
        <v>27</v>
      </c>
      <c r="P1103" s="21" t="s">
        <v>5931</v>
      </c>
      <c r="Q1103" s="20"/>
      <c r="R1103" s="20" t="s">
        <v>5932</v>
      </c>
      <c r="S1103" s="20"/>
      <c r="T1103" s="20"/>
      <c r="U1103" s="20"/>
      <c r="V1103" s="20"/>
    </row>
    <row r="1104" spans="2:22" ht="17">
      <c r="B1104" s="11" t="s">
        <v>5933</v>
      </c>
      <c r="C1104" s="12" t="s">
        <v>20</v>
      </c>
      <c r="D1104" s="13" t="s">
        <v>207</v>
      </c>
      <c r="E1104" s="24">
        <v>2900000</v>
      </c>
      <c r="F1104" s="25" t="e">
        <f>Table2[[#This Row],[Price]]/Table2[[#This Row],[Tot Ht Area]]</f>
        <v>#DIV/0!</v>
      </c>
      <c r="G1104" s="16"/>
      <c r="H1104" s="16">
        <v>41000</v>
      </c>
      <c r="I1104" s="17" t="s">
        <v>2144</v>
      </c>
      <c r="J1104" s="18" t="s">
        <v>542</v>
      </c>
      <c r="K1104" s="19" t="s">
        <v>1630</v>
      </c>
      <c r="L1104" s="19"/>
      <c r="M1104" s="19" t="s">
        <v>5934</v>
      </c>
      <c r="N1104" s="20" t="s">
        <v>1598</v>
      </c>
      <c r="O1104" s="20" t="s">
        <v>27</v>
      </c>
      <c r="P1104" s="21" t="s">
        <v>5935</v>
      </c>
      <c r="Q1104" s="20"/>
      <c r="R1104" s="20" t="s">
        <v>5936</v>
      </c>
      <c r="S1104" s="20"/>
      <c r="T1104" s="20"/>
      <c r="U1104" s="20"/>
      <c r="V1104" s="20"/>
    </row>
    <row r="1105" spans="1:22" ht="17">
      <c r="B1105" s="11" t="s">
        <v>5937</v>
      </c>
      <c r="C1105" s="12" t="s">
        <v>20</v>
      </c>
      <c r="D1105" s="13" t="s">
        <v>330</v>
      </c>
      <c r="E1105" s="24">
        <v>100</v>
      </c>
      <c r="F1105" s="25" t="e">
        <f>Table2[[#This Row],[Price]]/Table2[[#This Row],[Tot Ht Area]]</f>
        <v>#DIV/0!</v>
      </c>
      <c r="G1105" s="16"/>
      <c r="H1105" s="16">
        <v>4035</v>
      </c>
      <c r="I1105" s="17" t="s">
        <v>5938</v>
      </c>
      <c r="J1105" s="18" t="s">
        <v>92</v>
      </c>
      <c r="K1105" s="19" t="s">
        <v>1320</v>
      </c>
      <c r="L1105" s="19"/>
      <c r="M1105" s="19" t="s">
        <v>5939</v>
      </c>
      <c r="N1105" s="20" t="s">
        <v>1598</v>
      </c>
      <c r="O1105" s="20" t="s">
        <v>27</v>
      </c>
      <c r="P1105" s="21" t="s">
        <v>5940</v>
      </c>
      <c r="Q1105" s="20"/>
      <c r="R1105" s="20" t="s">
        <v>5941</v>
      </c>
      <c r="S1105" s="20"/>
      <c r="T1105" s="20" t="s">
        <v>6318</v>
      </c>
      <c r="U1105" s="20"/>
      <c r="V1105" s="20"/>
    </row>
    <row r="1106" spans="1:22" ht="34">
      <c r="B1106" s="11" t="s">
        <v>5942</v>
      </c>
      <c r="C1106" s="12" t="s">
        <v>20</v>
      </c>
      <c r="D1106" s="13" t="s">
        <v>745</v>
      </c>
      <c r="E1106" s="24">
        <v>100</v>
      </c>
      <c r="F1106" s="25">
        <f>Table2[[#This Row],[Price]]/Table2[[#This Row],[Tot Ht Area]]</f>
        <v>4.6992481203007516E-2</v>
      </c>
      <c r="G1106" s="16">
        <v>2128</v>
      </c>
      <c r="H1106" s="16">
        <v>2128</v>
      </c>
      <c r="I1106" s="17" t="s">
        <v>5943</v>
      </c>
      <c r="J1106" s="18" t="s">
        <v>278</v>
      </c>
      <c r="K1106" s="19" t="s">
        <v>172</v>
      </c>
      <c r="L1106" s="19"/>
      <c r="M1106" s="19" t="s">
        <v>5944</v>
      </c>
      <c r="N1106" s="20" t="s">
        <v>1598</v>
      </c>
      <c r="O1106" s="20" t="s">
        <v>27</v>
      </c>
      <c r="P1106" s="21" t="s">
        <v>5945</v>
      </c>
      <c r="Q1106" s="20"/>
      <c r="R1106" s="20" t="s">
        <v>5946</v>
      </c>
      <c r="S1106" s="20"/>
      <c r="T1106" s="20" t="s">
        <v>6318</v>
      </c>
      <c r="U1106" s="20"/>
      <c r="V1106" s="20"/>
    </row>
    <row r="1107" spans="1:22" ht="34">
      <c r="B1107" s="11" t="s">
        <v>5947</v>
      </c>
      <c r="C1107" s="12" t="s">
        <v>20</v>
      </c>
      <c r="D1107" s="13" t="s">
        <v>73</v>
      </c>
      <c r="E1107" s="24">
        <v>553600</v>
      </c>
      <c r="F1107" s="25">
        <f>Table2[[#This Row],[Price]]/Table2[[#This Row],[Tot Ht Area]]</f>
        <v>260.1503759398496</v>
      </c>
      <c r="G1107" s="16">
        <v>2128</v>
      </c>
      <c r="H1107" s="16">
        <v>2128</v>
      </c>
      <c r="I1107" s="17" t="s">
        <v>5948</v>
      </c>
      <c r="J1107" s="18" t="s">
        <v>278</v>
      </c>
      <c r="K1107" s="19" t="s">
        <v>172</v>
      </c>
      <c r="L1107" s="19"/>
      <c r="M1107" s="19" t="s">
        <v>5949</v>
      </c>
      <c r="N1107" s="20" t="s">
        <v>1598</v>
      </c>
      <c r="O1107" s="20" t="s">
        <v>27</v>
      </c>
      <c r="P1107" s="21" t="s">
        <v>5950</v>
      </c>
      <c r="Q1107" s="20"/>
      <c r="R1107" s="20" t="s">
        <v>5951</v>
      </c>
      <c r="S1107" s="20"/>
      <c r="T1107" s="20"/>
      <c r="U1107" s="20"/>
      <c r="V1107" s="20"/>
    </row>
    <row r="1108" spans="1:22" ht="17">
      <c r="B1108" s="11" t="s">
        <v>5952</v>
      </c>
      <c r="C1108" s="12" t="s">
        <v>20</v>
      </c>
      <c r="D1108" s="13" t="s">
        <v>729</v>
      </c>
      <c r="E1108" s="24">
        <v>1200000</v>
      </c>
      <c r="F1108" s="25">
        <f>Table2[[#This Row],[Price]]/Table2[[#This Row],[Tot Ht Area]]</f>
        <v>200.80321285140562</v>
      </c>
      <c r="G1108" s="16">
        <v>5976</v>
      </c>
      <c r="H1108" s="16">
        <v>5976</v>
      </c>
      <c r="I1108" s="17" t="s">
        <v>5953</v>
      </c>
      <c r="J1108" s="18" t="s">
        <v>566</v>
      </c>
      <c r="K1108" s="19" t="s">
        <v>24</v>
      </c>
      <c r="L1108" s="19"/>
      <c r="M1108" s="19" t="s">
        <v>5954</v>
      </c>
      <c r="N1108" s="20" t="s">
        <v>1598</v>
      </c>
      <c r="O1108" s="20" t="s">
        <v>27</v>
      </c>
      <c r="P1108" s="21" t="s">
        <v>5955</v>
      </c>
      <c r="Q1108" s="20"/>
      <c r="R1108" s="20" t="s">
        <v>5956</v>
      </c>
      <c r="S1108" s="20"/>
      <c r="T1108" s="20"/>
      <c r="U1108" s="20"/>
      <c r="V1108" s="20"/>
    </row>
    <row r="1109" spans="1:22" ht="17">
      <c r="B1109" s="11" t="s">
        <v>5957</v>
      </c>
      <c r="C1109" s="12" t="s">
        <v>20</v>
      </c>
      <c r="D1109" s="13" t="s">
        <v>995</v>
      </c>
      <c r="E1109" s="24">
        <v>297500</v>
      </c>
      <c r="F1109" s="25" t="e">
        <f>Table2[[#This Row],[Price]]/Table2[[#This Row],[Tot Ht Area]]</f>
        <v>#DIV/0!</v>
      </c>
      <c r="G1109" s="16"/>
      <c r="H1109" s="16">
        <v>4092</v>
      </c>
      <c r="I1109" s="17" t="s">
        <v>5958</v>
      </c>
      <c r="J1109" s="18" t="s">
        <v>225</v>
      </c>
      <c r="K1109" s="19" t="s">
        <v>1320</v>
      </c>
      <c r="L1109" s="19"/>
      <c r="M1109" s="19" t="s">
        <v>5959</v>
      </c>
      <c r="N1109" s="20" t="s">
        <v>1598</v>
      </c>
      <c r="O1109" s="20" t="s">
        <v>27</v>
      </c>
      <c r="P1109" s="21" t="s">
        <v>5960</v>
      </c>
      <c r="Q1109" s="20"/>
      <c r="R1109" s="20" t="s">
        <v>5961</v>
      </c>
      <c r="S1109" s="20"/>
      <c r="T1109" s="20"/>
      <c r="U1109" s="20"/>
      <c r="V1109" s="20"/>
    </row>
    <row r="1110" spans="1:22" ht="34">
      <c r="B1110" s="11" t="s">
        <v>5962</v>
      </c>
      <c r="C1110" s="12" t="s">
        <v>20</v>
      </c>
      <c r="D1110" s="13" t="s">
        <v>591</v>
      </c>
      <c r="E1110" s="24">
        <v>100</v>
      </c>
      <c r="F1110" s="25">
        <f>Table2[[#This Row],[Price]]/Table2[[#This Row],[Tot Ht Area]]</f>
        <v>3.2362459546925564E-2</v>
      </c>
      <c r="G1110" s="16">
        <v>3090</v>
      </c>
      <c r="H1110" s="16">
        <v>6171</v>
      </c>
      <c r="I1110" s="17" t="s">
        <v>5963</v>
      </c>
      <c r="J1110" s="18" t="s">
        <v>4162</v>
      </c>
      <c r="K1110" s="19" t="s">
        <v>172</v>
      </c>
      <c r="L1110" s="19"/>
      <c r="M1110" s="19" t="s">
        <v>5964</v>
      </c>
      <c r="N1110" s="20" t="s">
        <v>1598</v>
      </c>
      <c r="O1110" s="20" t="s">
        <v>27</v>
      </c>
      <c r="P1110" s="21" t="s">
        <v>5965</v>
      </c>
      <c r="Q1110" s="20"/>
      <c r="R1110" s="20" t="s">
        <v>5966</v>
      </c>
      <c r="S1110" s="20"/>
      <c r="T1110" s="20" t="s">
        <v>6318</v>
      </c>
      <c r="U1110" s="20"/>
      <c r="V1110" s="20"/>
    </row>
    <row r="1111" spans="1:22" ht="17">
      <c r="A1111">
        <v>3</v>
      </c>
      <c r="B1111" s="11" t="s">
        <v>5967</v>
      </c>
      <c r="C1111" s="12" t="s">
        <v>20</v>
      </c>
      <c r="D1111" s="13" t="s">
        <v>436</v>
      </c>
      <c r="E1111" s="24">
        <v>2100000</v>
      </c>
      <c r="F1111" s="25" t="e">
        <f>Table2[[#This Row],[Price]]/Table2[[#This Row],[Tot Ht Area]]</f>
        <v>#DIV/0!</v>
      </c>
      <c r="G1111" s="16"/>
      <c r="H1111" s="16">
        <v>8061</v>
      </c>
      <c r="I1111" s="17" t="s">
        <v>5968</v>
      </c>
      <c r="J1111" s="18" t="s">
        <v>23</v>
      </c>
      <c r="K1111" s="19" t="s">
        <v>1320</v>
      </c>
      <c r="L1111" s="19"/>
      <c r="M1111" s="19" t="s">
        <v>5969</v>
      </c>
      <c r="N1111" s="20" t="s">
        <v>1598</v>
      </c>
      <c r="O1111" s="20" t="s">
        <v>27</v>
      </c>
      <c r="P1111" s="21" t="s">
        <v>5970</v>
      </c>
      <c r="Q1111" s="20"/>
      <c r="R1111" s="20" t="s">
        <v>5971</v>
      </c>
      <c r="S1111" s="20"/>
      <c r="T1111" s="20"/>
      <c r="U1111" s="20"/>
      <c r="V1111" s="20"/>
    </row>
    <row r="1112" spans="1:22" ht="34">
      <c r="B1112" s="11" t="s">
        <v>5972</v>
      </c>
      <c r="C1112" s="12" t="s">
        <v>20</v>
      </c>
      <c r="D1112" s="13" t="s">
        <v>177</v>
      </c>
      <c r="E1112" s="24">
        <v>2305000</v>
      </c>
      <c r="F1112" s="25">
        <f>Table2[[#This Row],[Price]]/Table2[[#This Row],[Tot Ht Area]]</f>
        <v>623.64718614718618</v>
      </c>
      <c r="G1112" s="16">
        <v>3696</v>
      </c>
      <c r="H1112" s="16">
        <v>3696</v>
      </c>
      <c r="I1112" s="17" t="s">
        <v>1511</v>
      </c>
      <c r="J1112" s="18" t="s">
        <v>415</v>
      </c>
      <c r="K1112" s="19" t="s">
        <v>1465</v>
      </c>
      <c r="L1112" s="19"/>
      <c r="M1112" s="19" t="s">
        <v>5973</v>
      </c>
      <c r="N1112" s="20" t="s">
        <v>1598</v>
      </c>
      <c r="O1112" s="20" t="s">
        <v>27</v>
      </c>
      <c r="P1112" s="21" t="s">
        <v>5974</v>
      </c>
      <c r="Q1112" s="20"/>
      <c r="R1112" s="20" t="s">
        <v>5975</v>
      </c>
      <c r="S1112" s="20"/>
      <c r="T1112" s="20"/>
      <c r="U1112" s="20"/>
      <c r="V1112" s="20"/>
    </row>
    <row r="1113" spans="1:22" ht="17">
      <c r="B1113" s="11" t="s">
        <v>5976</v>
      </c>
      <c r="C1113" s="12" t="s">
        <v>20</v>
      </c>
      <c r="D1113" s="13" t="s">
        <v>253</v>
      </c>
      <c r="E1113" s="24">
        <v>100</v>
      </c>
      <c r="F1113" s="25">
        <f>Table2[[#This Row],[Price]]/Table2[[#This Row],[Tot Ht Area]]</f>
        <v>4.7147571900047147E-2</v>
      </c>
      <c r="G1113" s="16">
        <v>2121</v>
      </c>
      <c r="H1113" s="16">
        <v>2121</v>
      </c>
      <c r="I1113" s="17" t="s">
        <v>5977</v>
      </c>
      <c r="J1113" s="18" t="s">
        <v>316</v>
      </c>
      <c r="K1113" s="19" t="s">
        <v>24</v>
      </c>
      <c r="L1113" s="19"/>
      <c r="M1113" s="19" t="s">
        <v>5978</v>
      </c>
      <c r="N1113" s="20" t="s">
        <v>1598</v>
      </c>
      <c r="O1113" s="20" t="s">
        <v>27</v>
      </c>
      <c r="P1113" s="21" t="s">
        <v>5979</v>
      </c>
      <c r="Q1113" s="20"/>
      <c r="R1113" s="20" t="s">
        <v>5980</v>
      </c>
      <c r="S1113" s="20"/>
      <c r="T1113" s="20" t="s">
        <v>6318</v>
      </c>
      <c r="U1113" s="20"/>
      <c r="V1113" s="20"/>
    </row>
    <row r="1114" spans="1:22" ht="51">
      <c r="B1114" s="11" t="s">
        <v>5981</v>
      </c>
      <c r="C1114" s="12" t="s">
        <v>20</v>
      </c>
      <c r="D1114" s="13" t="s">
        <v>34</v>
      </c>
      <c r="E1114" s="24">
        <v>100</v>
      </c>
      <c r="F1114" s="25" t="e">
        <f>Table2[[#This Row],[Price]]/Table2[[#This Row],[Tot Ht Area]]</f>
        <v>#DIV/0!</v>
      </c>
      <c r="G1114" s="16"/>
      <c r="H1114" s="16">
        <v>2671</v>
      </c>
      <c r="I1114" s="17" t="s">
        <v>5982</v>
      </c>
      <c r="J1114" s="18" t="s">
        <v>316</v>
      </c>
      <c r="K1114" s="19" t="s">
        <v>1320</v>
      </c>
      <c r="L1114" s="19"/>
      <c r="M1114" s="19" t="s">
        <v>5983</v>
      </c>
      <c r="N1114" s="20" t="s">
        <v>1598</v>
      </c>
      <c r="O1114" s="20" t="s">
        <v>27</v>
      </c>
      <c r="P1114" s="21" t="s">
        <v>5984</v>
      </c>
      <c r="Q1114" s="20"/>
      <c r="R1114" s="20" t="s">
        <v>5985</v>
      </c>
      <c r="S1114" s="20"/>
      <c r="T1114" s="20" t="s">
        <v>6318</v>
      </c>
      <c r="U1114" s="20"/>
      <c r="V1114" s="20"/>
    </row>
    <row r="1115" spans="1:22" ht="17">
      <c r="B1115" s="11" t="s">
        <v>5986</v>
      </c>
      <c r="C1115" s="12" t="s">
        <v>20</v>
      </c>
      <c r="D1115" s="13" t="s">
        <v>1441</v>
      </c>
      <c r="E1115" s="24">
        <v>3240000</v>
      </c>
      <c r="F1115" s="25" t="e">
        <f>Table2[[#This Row],[Price]]/Table2[[#This Row],[Tot Ht Area]]</f>
        <v>#DIV/0!</v>
      </c>
      <c r="G1115" s="16"/>
      <c r="H1115" s="16">
        <v>13188</v>
      </c>
      <c r="I1115" s="17" t="s">
        <v>5987</v>
      </c>
      <c r="J1115" s="18" t="s">
        <v>262</v>
      </c>
      <c r="K1115" s="19" t="s">
        <v>172</v>
      </c>
      <c r="L1115" s="19"/>
      <c r="M1115" s="19" t="s">
        <v>5988</v>
      </c>
      <c r="N1115" s="20" t="s">
        <v>1598</v>
      </c>
      <c r="O1115" s="20" t="s">
        <v>27</v>
      </c>
      <c r="P1115" s="21" t="s">
        <v>5989</v>
      </c>
      <c r="Q1115" s="20"/>
      <c r="R1115" s="20" t="s">
        <v>5990</v>
      </c>
      <c r="S1115" s="20"/>
      <c r="T1115" s="20"/>
      <c r="U1115" s="20"/>
      <c r="V1115" s="20"/>
    </row>
    <row r="1116" spans="1:22" ht="17">
      <c r="B1116" s="11" t="s">
        <v>5991</v>
      </c>
      <c r="C1116" s="12" t="s">
        <v>20</v>
      </c>
      <c r="D1116" s="13" t="s">
        <v>579</v>
      </c>
      <c r="E1116" s="24">
        <v>2048000</v>
      </c>
      <c r="F1116" s="25" t="e">
        <f>Table2[[#This Row],[Price]]/Table2[[#This Row],[Tot Ht Area]]</f>
        <v>#DIV/0!</v>
      </c>
      <c r="G1116" s="16"/>
      <c r="H1116" s="16">
        <v>7054</v>
      </c>
      <c r="I1116" s="17" t="s">
        <v>5992</v>
      </c>
      <c r="J1116" s="18" t="s">
        <v>316</v>
      </c>
      <c r="K1116" s="19" t="s">
        <v>1320</v>
      </c>
      <c r="L1116" s="19"/>
      <c r="M1116" s="19" t="s">
        <v>5993</v>
      </c>
      <c r="N1116" s="20" t="s">
        <v>1598</v>
      </c>
      <c r="O1116" s="20" t="s">
        <v>27</v>
      </c>
      <c r="P1116" s="21" t="s">
        <v>5994</v>
      </c>
      <c r="Q1116" s="20"/>
      <c r="R1116" s="20" t="s">
        <v>5995</v>
      </c>
      <c r="S1116" s="20"/>
      <c r="T1116" s="20"/>
      <c r="U1116" s="20"/>
      <c r="V1116" s="20"/>
    </row>
    <row r="1117" spans="1:22" ht="34">
      <c r="B1117" s="11" t="s">
        <v>5996</v>
      </c>
      <c r="C1117" s="12" t="s">
        <v>20</v>
      </c>
      <c r="D1117" s="13" t="s">
        <v>356</v>
      </c>
      <c r="E1117" s="24">
        <v>1950000</v>
      </c>
      <c r="F1117" s="25" t="e">
        <f>Table2[[#This Row],[Price]]/Table2[[#This Row],[Tot Ht Area]]</f>
        <v>#DIV/0!</v>
      </c>
      <c r="G1117" s="16"/>
      <c r="H1117" s="16">
        <v>3495</v>
      </c>
      <c r="I1117" s="17" t="s">
        <v>5997</v>
      </c>
      <c r="J1117" s="18" t="s">
        <v>1116</v>
      </c>
      <c r="K1117" s="19" t="s">
        <v>1320</v>
      </c>
      <c r="L1117" s="19"/>
      <c r="M1117" s="19" t="s">
        <v>5998</v>
      </c>
      <c r="N1117" s="20" t="s">
        <v>1598</v>
      </c>
      <c r="O1117" s="20" t="s">
        <v>27</v>
      </c>
      <c r="P1117" s="21" t="s">
        <v>5999</v>
      </c>
      <c r="Q1117" s="20"/>
      <c r="R1117" s="20" t="s">
        <v>6000</v>
      </c>
      <c r="S1117" s="20"/>
      <c r="T1117" s="20"/>
      <c r="U1117" s="20"/>
      <c r="V1117" s="20"/>
    </row>
    <row r="1118" spans="1:22" ht="17">
      <c r="B1118" s="11" t="s">
        <v>6001</v>
      </c>
      <c r="C1118" s="12" t="s">
        <v>20</v>
      </c>
      <c r="D1118" s="13" t="s">
        <v>170</v>
      </c>
      <c r="E1118" s="24">
        <v>100</v>
      </c>
      <c r="F1118" s="25" t="e">
        <f>Table2[[#This Row],[Price]]/Table2[[#This Row],[Tot Ht Area]]</f>
        <v>#DIV/0!</v>
      </c>
      <c r="G1118" s="16"/>
      <c r="H1118" s="16">
        <v>5922</v>
      </c>
      <c r="I1118" s="17" t="s">
        <v>6002</v>
      </c>
      <c r="J1118" s="18" t="s">
        <v>278</v>
      </c>
      <c r="K1118" s="19" t="s">
        <v>1320</v>
      </c>
      <c r="L1118" s="19"/>
      <c r="M1118" s="19" t="s">
        <v>6003</v>
      </c>
      <c r="N1118" s="20" t="s">
        <v>1598</v>
      </c>
      <c r="O1118" s="20" t="s">
        <v>27</v>
      </c>
      <c r="P1118" s="21" t="s">
        <v>6004</v>
      </c>
      <c r="Q1118" s="20"/>
      <c r="R1118" s="20" t="s">
        <v>6005</v>
      </c>
      <c r="S1118" s="20"/>
      <c r="T1118" s="20" t="s">
        <v>6318</v>
      </c>
      <c r="U1118" s="20"/>
      <c r="V1118" s="20"/>
    </row>
    <row r="1119" spans="1:22" ht="17">
      <c r="B1119" s="11" t="s">
        <v>6006</v>
      </c>
      <c r="C1119" s="12" t="s">
        <v>20</v>
      </c>
      <c r="D1119" s="13" t="s">
        <v>253</v>
      </c>
      <c r="E1119" s="24">
        <v>100</v>
      </c>
      <c r="F1119" s="25">
        <f>Table2[[#This Row],[Price]]/Table2[[#This Row],[Tot Ht Area]]</f>
        <v>6.8780521356351879E-3</v>
      </c>
      <c r="G1119" s="16">
        <v>14539</v>
      </c>
      <c r="H1119" s="16">
        <v>27359</v>
      </c>
      <c r="I1119" s="17" t="s">
        <v>6007</v>
      </c>
      <c r="J1119" s="18" t="s">
        <v>47</v>
      </c>
      <c r="K1119" s="19" t="s">
        <v>24</v>
      </c>
      <c r="L1119" s="19"/>
      <c r="M1119" s="19" t="s">
        <v>6008</v>
      </c>
      <c r="N1119" s="20" t="s">
        <v>1598</v>
      </c>
      <c r="O1119" s="20" t="s">
        <v>27</v>
      </c>
      <c r="P1119" s="21" t="s">
        <v>6009</v>
      </c>
      <c r="Q1119" s="20"/>
      <c r="R1119" s="20" t="s">
        <v>6010</v>
      </c>
      <c r="S1119" s="20"/>
      <c r="T1119" s="20" t="s">
        <v>6318</v>
      </c>
      <c r="U1119" s="20"/>
      <c r="V1119" s="20"/>
    </row>
    <row r="1120" spans="1:22" ht="34">
      <c r="B1120" s="11" t="s">
        <v>6011</v>
      </c>
      <c r="C1120" s="12" t="s">
        <v>20</v>
      </c>
      <c r="D1120" s="13" t="s">
        <v>21</v>
      </c>
      <c r="E1120" s="24">
        <v>690400</v>
      </c>
      <c r="F1120" s="25" t="e">
        <f>Table2[[#This Row],[Price]]/Table2[[#This Row],[Tot Ht Area]]</f>
        <v>#DIV/0!</v>
      </c>
      <c r="G1120" s="16"/>
      <c r="H1120" s="16">
        <v>20616</v>
      </c>
      <c r="I1120" s="17" t="s">
        <v>6012</v>
      </c>
      <c r="J1120" s="18" t="s">
        <v>135</v>
      </c>
      <c r="K1120" s="19" t="s">
        <v>1630</v>
      </c>
      <c r="L1120" s="19"/>
      <c r="M1120" s="19" t="s">
        <v>6013</v>
      </c>
      <c r="N1120" s="20" t="s">
        <v>1598</v>
      </c>
      <c r="O1120" s="20" t="s">
        <v>27</v>
      </c>
      <c r="P1120" s="21" t="s">
        <v>4369</v>
      </c>
      <c r="Q1120" s="20"/>
      <c r="R1120" s="20" t="s">
        <v>6014</v>
      </c>
      <c r="S1120" s="20"/>
      <c r="T1120" s="20"/>
      <c r="U1120" s="20"/>
      <c r="V1120" s="20"/>
    </row>
    <row r="1121" spans="1:22" ht="34">
      <c r="B1121" s="11" t="s">
        <v>6015</v>
      </c>
      <c r="C1121" s="12" t="s">
        <v>20</v>
      </c>
      <c r="D1121" s="13" t="s">
        <v>314</v>
      </c>
      <c r="E1121" s="24">
        <v>739000</v>
      </c>
      <c r="F1121" s="25" t="e">
        <f>Table2[[#This Row],[Price]]/Table2[[#This Row],[Tot Ht Area]]</f>
        <v>#DIV/0!</v>
      </c>
      <c r="G1121" s="16"/>
      <c r="H1121" s="16">
        <v>2700</v>
      </c>
      <c r="I1121" s="17" t="s">
        <v>6016</v>
      </c>
      <c r="J1121" s="18" t="s">
        <v>135</v>
      </c>
      <c r="K1121" s="19" t="s">
        <v>48</v>
      </c>
      <c r="L1121" s="19"/>
      <c r="M1121" s="19" t="s">
        <v>6017</v>
      </c>
      <c r="N1121" s="20" t="s">
        <v>1598</v>
      </c>
      <c r="O1121" s="20" t="s">
        <v>27</v>
      </c>
      <c r="P1121" s="21" t="s">
        <v>6018</v>
      </c>
      <c r="Q1121" s="20"/>
      <c r="R1121" s="20" t="s">
        <v>6019</v>
      </c>
      <c r="S1121" s="20"/>
      <c r="T1121" s="20"/>
      <c r="U1121" s="20"/>
      <c r="V1121" s="20"/>
    </row>
    <row r="1122" spans="1:22" ht="17">
      <c r="B1122" s="11" t="s">
        <v>6020</v>
      </c>
      <c r="C1122" s="12" t="s">
        <v>20</v>
      </c>
      <c r="D1122" s="13" t="s">
        <v>982</v>
      </c>
      <c r="E1122" s="24">
        <v>825000</v>
      </c>
      <c r="F1122" s="25" t="e">
        <f>Table2[[#This Row],[Price]]/Table2[[#This Row],[Tot Ht Area]]</f>
        <v>#DIV/0!</v>
      </c>
      <c r="G1122" s="16"/>
      <c r="H1122" s="16">
        <v>2574</v>
      </c>
      <c r="I1122" s="17" t="s">
        <v>6021</v>
      </c>
      <c r="J1122" s="18" t="s">
        <v>23</v>
      </c>
      <c r="K1122" s="19" t="s">
        <v>1320</v>
      </c>
      <c r="L1122" s="19"/>
      <c r="M1122" s="19" t="s">
        <v>6022</v>
      </c>
      <c r="N1122" s="20" t="s">
        <v>1598</v>
      </c>
      <c r="O1122" s="20" t="s">
        <v>27</v>
      </c>
      <c r="P1122" s="21" t="s">
        <v>6023</v>
      </c>
      <c r="Q1122" s="20"/>
      <c r="R1122" s="20" t="s">
        <v>6024</v>
      </c>
      <c r="S1122" s="20"/>
      <c r="T1122" s="20"/>
      <c r="U1122" s="20"/>
      <c r="V1122" s="20"/>
    </row>
    <row r="1123" spans="1:22" ht="17">
      <c r="B1123" s="11" t="s">
        <v>6025</v>
      </c>
      <c r="C1123" s="12" t="s">
        <v>20</v>
      </c>
      <c r="D1123" s="13" t="s">
        <v>215</v>
      </c>
      <c r="E1123" s="24">
        <v>600000</v>
      </c>
      <c r="F1123" s="25" t="e">
        <f>Table2[[#This Row],[Price]]/Table2[[#This Row],[Tot Ht Area]]</f>
        <v>#DIV/0!</v>
      </c>
      <c r="G1123" s="16"/>
      <c r="H1123" s="16">
        <v>2535</v>
      </c>
      <c r="I1123" s="17" t="s">
        <v>6026</v>
      </c>
      <c r="J1123" s="18" t="s">
        <v>415</v>
      </c>
      <c r="K1123" s="19" t="s">
        <v>24</v>
      </c>
      <c r="L1123" s="19"/>
      <c r="M1123" s="19" t="s">
        <v>6027</v>
      </c>
      <c r="N1123" s="20" t="s">
        <v>1598</v>
      </c>
      <c r="O1123" s="20" t="s">
        <v>27</v>
      </c>
      <c r="P1123" s="21" t="s">
        <v>6028</v>
      </c>
      <c r="Q1123" s="20"/>
      <c r="R1123" s="20" t="s">
        <v>6029</v>
      </c>
      <c r="S1123" s="20"/>
      <c r="T1123" s="20"/>
      <c r="U1123" s="20"/>
      <c r="V1123" s="20"/>
    </row>
    <row r="1124" spans="1:22" ht="17">
      <c r="B1124" s="11" t="s">
        <v>6030</v>
      </c>
      <c r="C1124" s="12" t="s">
        <v>20</v>
      </c>
      <c r="D1124" s="13" t="s">
        <v>745</v>
      </c>
      <c r="E1124" s="24">
        <v>3000000</v>
      </c>
      <c r="F1124" s="25" t="e">
        <f>Table2[[#This Row],[Price]]/Table2[[#This Row],[Tot Ht Area]]</f>
        <v>#DIV/0!</v>
      </c>
      <c r="G1124" s="16"/>
      <c r="H1124" s="16">
        <v>9800</v>
      </c>
      <c r="I1124" s="17" t="s">
        <v>6031</v>
      </c>
      <c r="J1124" s="18" t="s">
        <v>379</v>
      </c>
      <c r="K1124" s="19" t="s">
        <v>24</v>
      </c>
      <c r="L1124" s="19"/>
      <c r="M1124" s="19" t="s">
        <v>6032</v>
      </c>
      <c r="N1124" s="20" t="s">
        <v>1598</v>
      </c>
      <c r="O1124" s="20" t="s">
        <v>27</v>
      </c>
      <c r="P1124" s="21" t="s">
        <v>6033</v>
      </c>
      <c r="Q1124" s="20"/>
      <c r="R1124" s="20" t="s">
        <v>6034</v>
      </c>
      <c r="S1124" s="20"/>
      <c r="T1124" s="20"/>
      <c r="U1124" s="20"/>
      <c r="V1124" s="20"/>
    </row>
    <row r="1125" spans="1:22" ht="17">
      <c r="B1125" s="11" t="s">
        <v>6035</v>
      </c>
      <c r="C1125" s="12" t="s">
        <v>20</v>
      </c>
      <c r="D1125" s="13" t="s">
        <v>1908</v>
      </c>
      <c r="E1125" s="24">
        <v>859000</v>
      </c>
      <c r="F1125" s="25" t="e">
        <f>Table2[[#This Row],[Price]]/Table2[[#This Row],[Tot Ht Area]]</f>
        <v>#DIV/0!</v>
      </c>
      <c r="G1125" s="16"/>
      <c r="H1125" s="16">
        <v>2574</v>
      </c>
      <c r="I1125" s="17" t="s">
        <v>6036</v>
      </c>
      <c r="J1125" s="18" t="s">
        <v>379</v>
      </c>
      <c r="K1125" s="19" t="s">
        <v>1320</v>
      </c>
      <c r="L1125" s="19"/>
      <c r="M1125" s="19" t="s">
        <v>6037</v>
      </c>
      <c r="N1125" s="20" t="s">
        <v>1598</v>
      </c>
      <c r="O1125" s="20" t="s">
        <v>27</v>
      </c>
      <c r="P1125" s="21" t="s">
        <v>6038</v>
      </c>
      <c r="Q1125" s="20"/>
      <c r="R1125" s="20" t="s">
        <v>6039</v>
      </c>
      <c r="S1125" s="20"/>
      <c r="T1125" s="20"/>
      <c r="U1125" s="20"/>
      <c r="V1125" s="20"/>
    </row>
    <row r="1126" spans="1:22" ht="34">
      <c r="B1126" s="11" t="s">
        <v>6040</v>
      </c>
      <c r="C1126" s="12" t="s">
        <v>20</v>
      </c>
      <c r="D1126" s="13" t="s">
        <v>170</v>
      </c>
      <c r="E1126" s="24">
        <v>1400000</v>
      </c>
      <c r="F1126" s="25" t="e">
        <f>Table2[[#This Row],[Price]]/Table2[[#This Row],[Tot Ht Area]]</f>
        <v>#DIV/0!</v>
      </c>
      <c r="G1126" s="16"/>
      <c r="H1126" s="16">
        <v>8000</v>
      </c>
      <c r="I1126" s="17" t="s">
        <v>6041</v>
      </c>
      <c r="J1126" s="18" t="s">
        <v>225</v>
      </c>
      <c r="K1126" s="19" t="s">
        <v>1320</v>
      </c>
      <c r="L1126" s="19"/>
      <c r="M1126" s="19" t="s">
        <v>6042</v>
      </c>
      <c r="N1126" s="20" t="s">
        <v>1598</v>
      </c>
      <c r="O1126" s="20" t="s">
        <v>27</v>
      </c>
      <c r="P1126" s="21" t="s">
        <v>6043</v>
      </c>
      <c r="Q1126" s="20"/>
      <c r="R1126" s="20" t="s">
        <v>6044</v>
      </c>
      <c r="S1126" s="20"/>
      <c r="T1126" s="20"/>
      <c r="U1126" s="20"/>
      <c r="V1126" s="20"/>
    </row>
    <row r="1127" spans="1:22" ht="34">
      <c r="A1127">
        <v>3</v>
      </c>
      <c r="B1127" s="11" t="s">
        <v>6045</v>
      </c>
      <c r="C1127" s="12" t="s">
        <v>20</v>
      </c>
      <c r="D1127" s="13" t="s">
        <v>185</v>
      </c>
      <c r="E1127" s="24">
        <v>626100</v>
      </c>
      <c r="F1127" s="25">
        <f>Table2[[#This Row],[Price]]/Table2[[#This Row],[Tot Ht Area]]</f>
        <v>208.28343313373253</v>
      </c>
      <c r="G1127" s="16">
        <v>3006</v>
      </c>
      <c r="H1127" s="16">
        <v>3006</v>
      </c>
      <c r="I1127" s="17" t="s">
        <v>6046</v>
      </c>
      <c r="J1127" s="18" t="s">
        <v>415</v>
      </c>
      <c r="K1127" s="19" t="s">
        <v>1320</v>
      </c>
      <c r="L1127" s="19"/>
      <c r="M1127" s="19" t="s">
        <v>6047</v>
      </c>
      <c r="N1127" s="20" t="s">
        <v>1598</v>
      </c>
      <c r="O1127" s="20" t="s">
        <v>27</v>
      </c>
      <c r="P1127" s="21" t="s">
        <v>6048</v>
      </c>
      <c r="Q1127" s="20"/>
      <c r="R1127" s="20" t="s">
        <v>6049</v>
      </c>
      <c r="S1127" s="20"/>
      <c r="T1127" s="20"/>
      <c r="U1127" s="20"/>
      <c r="V1127" s="20"/>
    </row>
    <row r="1128" spans="1:22" ht="17">
      <c r="B1128" s="11" t="s">
        <v>6050</v>
      </c>
      <c r="C1128" s="12" t="s">
        <v>20</v>
      </c>
      <c r="D1128" s="13" t="s">
        <v>55</v>
      </c>
      <c r="E1128" s="24">
        <v>688000</v>
      </c>
      <c r="F1128" s="25">
        <f>Table2[[#This Row],[Price]]/Table2[[#This Row],[Tot Ht Area]]</f>
        <v>281.04575163398692</v>
      </c>
      <c r="G1128" s="16">
        <v>2448</v>
      </c>
      <c r="H1128" s="16">
        <v>2448</v>
      </c>
      <c r="I1128" s="17" t="s">
        <v>6051</v>
      </c>
      <c r="J1128" s="18" t="s">
        <v>1116</v>
      </c>
      <c r="K1128" s="19" t="s">
        <v>24</v>
      </c>
      <c r="L1128" s="19"/>
      <c r="M1128" s="19" t="s">
        <v>6052</v>
      </c>
      <c r="N1128" s="20" t="s">
        <v>1598</v>
      </c>
      <c r="O1128" s="20" t="s">
        <v>27</v>
      </c>
      <c r="P1128" s="21" t="s">
        <v>6053</v>
      </c>
      <c r="Q1128" s="20"/>
      <c r="R1128" s="20" t="s">
        <v>6054</v>
      </c>
      <c r="S1128" s="20"/>
      <c r="T1128" s="20"/>
      <c r="U1128" s="20"/>
      <c r="V1128" s="20"/>
    </row>
    <row r="1129" spans="1:22" ht="34">
      <c r="B1129" s="11" t="s">
        <v>6055</v>
      </c>
      <c r="C1129" s="12" t="s">
        <v>20</v>
      </c>
      <c r="D1129" s="13" t="s">
        <v>428</v>
      </c>
      <c r="E1129" s="24">
        <v>100</v>
      </c>
      <c r="F1129" s="25" t="e">
        <f>Table2[[#This Row],[Price]]/Table2[[#This Row],[Tot Ht Area]]</f>
        <v>#DIV/0!</v>
      </c>
      <c r="G1129" s="16"/>
      <c r="H1129" s="16">
        <v>5401</v>
      </c>
      <c r="I1129" s="17" t="s">
        <v>6056</v>
      </c>
      <c r="J1129" s="18" t="s">
        <v>201</v>
      </c>
      <c r="K1129" s="19" t="s">
        <v>1320</v>
      </c>
      <c r="L1129" s="19"/>
      <c r="M1129" s="19" t="s">
        <v>6057</v>
      </c>
      <c r="N1129" s="20" t="s">
        <v>1598</v>
      </c>
      <c r="O1129" s="20" t="s">
        <v>27</v>
      </c>
      <c r="P1129" s="21" t="s">
        <v>6058</v>
      </c>
      <c r="Q1129" s="20"/>
      <c r="R1129" s="20" t="s">
        <v>6059</v>
      </c>
      <c r="S1129" s="20"/>
      <c r="T1129" s="20" t="s">
        <v>6318</v>
      </c>
      <c r="U1129" s="20"/>
      <c r="V1129" s="20"/>
    </row>
    <row r="1130" spans="1:22" ht="17">
      <c r="B1130" s="11" t="s">
        <v>6060</v>
      </c>
      <c r="C1130" s="12" t="s">
        <v>20</v>
      </c>
      <c r="D1130" s="13" t="s">
        <v>34</v>
      </c>
      <c r="E1130" s="24">
        <v>9500000</v>
      </c>
      <c r="F1130" s="25" t="e">
        <f>Table2[[#This Row],[Price]]/Table2[[#This Row],[Tot Ht Area]]</f>
        <v>#DIV/0!</v>
      </c>
      <c r="G1130" s="16"/>
      <c r="H1130" s="16">
        <v>29208</v>
      </c>
      <c r="I1130" s="17" t="s">
        <v>6061</v>
      </c>
      <c r="J1130" s="18" t="s">
        <v>100</v>
      </c>
      <c r="K1130" s="19" t="s">
        <v>1630</v>
      </c>
      <c r="L1130" s="19"/>
      <c r="M1130" s="19" t="s">
        <v>6062</v>
      </c>
      <c r="N1130" s="20" t="s">
        <v>1598</v>
      </c>
      <c r="O1130" s="20" t="s">
        <v>27</v>
      </c>
      <c r="P1130" s="21" t="s">
        <v>6063</v>
      </c>
      <c r="Q1130" s="20"/>
      <c r="R1130" s="20" t="s">
        <v>6064</v>
      </c>
      <c r="S1130" s="20"/>
      <c r="T1130" s="20"/>
      <c r="U1130" s="20"/>
      <c r="V1130" s="20"/>
    </row>
    <row r="1131" spans="1:22" ht="34">
      <c r="B1131" s="11" t="s">
        <v>6065</v>
      </c>
      <c r="C1131" s="12" t="s">
        <v>20</v>
      </c>
      <c r="D1131" s="13" t="s">
        <v>356</v>
      </c>
      <c r="E1131" s="24">
        <v>4938000</v>
      </c>
      <c r="F1131" s="25">
        <f>Table2[[#This Row],[Price]]/Table2[[#This Row],[Tot Ht Area]]</f>
        <v>502.28867866951481</v>
      </c>
      <c r="G1131" s="16">
        <v>9831</v>
      </c>
      <c r="H1131" s="16">
        <v>9831</v>
      </c>
      <c r="I1131" s="17" t="s">
        <v>6066</v>
      </c>
      <c r="J1131" s="18" t="s">
        <v>287</v>
      </c>
      <c r="K1131" s="19" t="s">
        <v>24</v>
      </c>
      <c r="L1131" s="19"/>
      <c r="M1131" s="19" t="s">
        <v>6067</v>
      </c>
      <c r="N1131" s="20" t="s">
        <v>1598</v>
      </c>
      <c r="O1131" s="20" t="s">
        <v>27</v>
      </c>
      <c r="P1131" s="21" t="s">
        <v>6068</v>
      </c>
      <c r="Q1131" s="20"/>
      <c r="R1131" s="20" t="s">
        <v>6069</v>
      </c>
      <c r="S1131" s="20"/>
      <c r="T1131" s="20"/>
      <c r="U1131" s="20"/>
      <c r="V1131" s="20"/>
    </row>
    <row r="1132" spans="1:22" ht="34">
      <c r="B1132" s="11" t="s">
        <v>6070</v>
      </c>
      <c r="C1132" s="12" t="s">
        <v>20</v>
      </c>
      <c r="D1132" s="13" t="s">
        <v>1490</v>
      </c>
      <c r="E1132" s="24">
        <v>11440000</v>
      </c>
      <c r="F1132" s="25">
        <f>Table2[[#This Row],[Price]]/Table2[[#This Row],[Tot Ht Area]]</f>
        <v>514.13419621590037</v>
      </c>
      <c r="G1132" s="16">
        <v>22251</v>
      </c>
      <c r="H1132" s="16">
        <v>22251</v>
      </c>
      <c r="I1132" s="17" t="s">
        <v>6071</v>
      </c>
      <c r="J1132" s="18" t="s">
        <v>23</v>
      </c>
      <c r="K1132" s="19" t="s">
        <v>24</v>
      </c>
      <c r="L1132" s="19"/>
      <c r="M1132" s="19" t="s">
        <v>6072</v>
      </c>
      <c r="N1132" s="20" t="s">
        <v>1598</v>
      </c>
      <c r="O1132" s="20" t="s">
        <v>27</v>
      </c>
      <c r="P1132" s="21" t="s">
        <v>6073</v>
      </c>
      <c r="Q1132" s="20"/>
      <c r="R1132" s="20" t="s">
        <v>6074</v>
      </c>
      <c r="S1132" s="20"/>
      <c r="T1132" s="20"/>
      <c r="U1132" s="20"/>
      <c r="V1132" s="20"/>
    </row>
    <row r="1133" spans="1:22" ht="34">
      <c r="B1133" s="11" t="s">
        <v>6075</v>
      </c>
      <c r="C1133" s="12" t="s">
        <v>20</v>
      </c>
      <c r="D1133" s="13" t="s">
        <v>398</v>
      </c>
      <c r="E1133" s="24">
        <v>935000</v>
      </c>
      <c r="F1133" s="25" t="e">
        <f>Table2[[#This Row],[Price]]/Table2[[#This Row],[Tot Ht Area]]</f>
        <v>#DIV/0!</v>
      </c>
      <c r="G1133" s="16"/>
      <c r="H1133" s="16">
        <v>7624</v>
      </c>
      <c r="I1133" s="17" t="s">
        <v>6076</v>
      </c>
      <c r="J1133" s="18" t="s">
        <v>1932</v>
      </c>
      <c r="K1133" s="19" t="s">
        <v>1320</v>
      </c>
      <c r="L1133" s="19"/>
      <c r="M1133" s="19" t="s">
        <v>6077</v>
      </c>
      <c r="N1133" s="20" t="s">
        <v>1598</v>
      </c>
      <c r="O1133" s="20" t="s">
        <v>27</v>
      </c>
      <c r="P1133" s="21" t="s">
        <v>6078</v>
      </c>
      <c r="Q1133" s="20"/>
      <c r="R1133" s="20" t="s">
        <v>6079</v>
      </c>
      <c r="S1133" s="20"/>
      <c r="T1133" s="20"/>
      <c r="U1133" s="20"/>
      <c r="V1133" s="20"/>
    </row>
    <row r="1134" spans="1:22" ht="17">
      <c r="B1134" s="11" t="s">
        <v>6080</v>
      </c>
      <c r="C1134" s="12" t="s">
        <v>20</v>
      </c>
      <c r="D1134" s="13" t="s">
        <v>474</v>
      </c>
      <c r="E1134" s="24">
        <v>100</v>
      </c>
      <c r="F1134" s="25" t="e">
        <f>Table2[[#This Row],[Price]]/Table2[[#This Row],[Tot Ht Area]]</f>
        <v>#DIV/0!</v>
      </c>
      <c r="G1134" s="16"/>
      <c r="H1134" s="16">
        <v>7844</v>
      </c>
      <c r="I1134" s="17" t="s">
        <v>6081</v>
      </c>
      <c r="J1134" s="18" t="s">
        <v>47</v>
      </c>
      <c r="K1134" s="19" t="s">
        <v>1465</v>
      </c>
      <c r="L1134" s="19"/>
      <c r="M1134" s="19" t="s">
        <v>6082</v>
      </c>
      <c r="N1134" s="20" t="s">
        <v>1598</v>
      </c>
      <c r="O1134" s="20" t="s">
        <v>27</v>
      </c>
      <c r="P1134" s="21" t="s">
        <v>6083</v>
      </c>
      <c r="Q1134" s="20"/>
      <c r="R1134" s="20" t="s">
        <v>6084</v>
      </c>
      <c r="S1134" s="20"/>
      <c r="T1134" s="20" t="s">
        <v>6318</v>
      </c>
      <c r="U1134" s="20"/>
      <c r="V1134" s="20"/>
    </row>
    <row r="1135" spans="1:22" ht="34">
      <c r="A1135">
        <v>3</v>
      </c>
      <c r="B1135" s="11" t="s">
        <v>6085</v>
      </c>
      <c r="C1135" s="12" t="s">
        <v>20</v>
      </c>
      <c r="D1135" s="13" t="s">
        <v>90</v>
      </c>
      <c r="E1135" s="24">
        <v>645400</v>
      </c>
      <c r="F1135" s="25">
        <f>Table2[[#This Row],[Price]]/Table2[[#This Row],[Tot Ht Area]]</f>
        <v>268.91666666666669</v>
      </c>
      <c r="G1135" s="16">
        <v>2400</v>
      </c>
      <c r="H1135" s="16">
        <v>2400</v>
      </c>
      <c r="I1135" s="17" t="s">
        <v>6086</v>
      </c>
      <c r="J1135" s="18" t="s">
        <v>57</v>
      </c>
      <c r="K1135" s="19" t="s">
        <v>1320</v>
      </c>
      <c r="L1135" s="19"/>
      <c r="M1135" s="19" t="s">
        <v>6087</v>
      </c>
      <c r="N1135" s="20" t="s">
        <v>1598</v>
      </c>
      <c r="O1135" s="20" t="s">
        <v>27</v>
      </c>
      <c r="P1135" s="21" t="s">
        <v>6088</v>
      </c>
      <c r="Q1135" s="20"/>
      <c r="R1135" s="20" t="s">
        <v>6089</v>
      </c>
      <c r="S1135" s="20"/>
      <c r="T1135" s="20"/>
      <c r="U1135" s="20"/>
      <c r="V1135" s="20"/>
    </row>
    <row r="1136" spans="1:22" ht="17">
      <c r="B1136" s="11" t="s">
        <v>6090</v>
      </c>
      <c r="C1136" s="12" t="s">
        <v>20</v>
      </c>
      <c r="D1136" s="13" t="s">
        <v>177</v>
      </c>
      <c r="E1136" s="24">
        <v>4000000</v>
      </c>
      <c r="F1136" s="25" t="e">
        <f>Table2[[#This Row],[Price]]/Table2[[#This Row],[Tot Ht Area]]</f>
        <v>#DIV/0!</v>
      </c>
      <c r="G1136" s="16"/>
      <c r="H1136" s="16">
        <v>13720</v>
      </c>
      <c r="I1136" s="17" t="s">
        <v>6091</v>
      </c>
      <c r="J1136" s="18" t="s">
        <v>66</v>
      </c>
      <c r="K1136" s="19" t="s">
        <v>1320</v>
      </c>
      <c r="L1136" s="19"/>
      <c r="M1136" s="19" t="s">
        <v>6092</v>
      </c>
      <c r="N1136" s="20" t="s">
        <v>1598</v>
      </c>
      <c r="O1136" s="20" t="s">
        <v>27</v>
      </c>
      <c r="P1136" s="21" t="s">
        <v>6093</v>
      </c>
      <c r="Q1136" s="20"/>
      <c r="R1136" s="20" t="s">
        <v>6094</v>
      </c>
      <c r="S1136" s="20"/>
      <c r="T1136" s="20"/>
      <c r="U1136" s="20"/>
      <c r="V1136" s="20"/>
    </row>
    <row r="1137" spans="2:22" ht="17">
      <c r="B1137" s="11" t="s">
        <v>6095</v>
      </c>
      <c r="C1137" s="12" t="s">
        <v>20</v>
      </c>
      <c r="D1137" s="13" t="s">
        <v>177</v>
      </c>
      <c r="E1137" s="24">
        <v>4000000</v>
      </c>
      <c r="F1137" s="25" t="e">
        <f>Table2[[#This Row],[Price]]/Table2[[#This Row],[Tot Ht Area]]</f>
        <v>#DIV/0!</v>
      </c>
      <c r="G1137" s="16"/>
      <c r="H1137" s="16">
        <v>11457</v>
      </c>
      <c r="I1137" s="17" t="s">
        <v>6091</v>
      </c>
      <c r="J1137" s="18" t="s">
        <v>66</v>
      </c>
      <c r="K1137" s="19" t="s">
        <v>1320</v>
      </c>
      <c r="L1137" s="19"/>
      <c r="M1137" s="19" t="s">
        <v>6096</v>
      </c>
      <c r="N1137" s="20" t="s">
        <v>1598</v>
      </c>
      <c r="O1137" s="20" t="s">
        <v>27</v>
      </c>
      <c r="P1137" s="21" t="s">
        <v>6093</v>
      </c>
      <c r="Q1137" s="20"/>
      <c r="R1137" s="20" t="s">
        <v>6097</v>
      </c>
      <c r="S1137" s="20"/>
      <c r="T1137" s="20"/>
      <c r="U1137" s="20"/>
      <c r="V1137" s="20"/>
    </row>
    <row r="1138" spans="2:22" ht="34">
      <c r="B1138" s="11" t="s">
        <v>6098</v>
      </c>
      <c r="C1138" s="12" t="s">
        <v>20</v>
      </c>
      <c r="D1138" s="13" t="s">
        <v>133</v>
      </c>
      <c r="E1138" s="24">
        <v>1200000</v>
      </c>
      <c r="F1138" s="25" t="e">
        <f>Table2[[#This Row],[Price]]/Table2[[#This Row],[Tot Ht Area]]</f>
        <v>#DIV/0!</v>
      </c>
      <c r="G1138" s="16"/>
      <c r="H1138" s="16">
        <v>10080</v>
      </c>
      <c r="I1138" s="17" t="s">
        <v>6099</v>
      </c>
      <c r="J1138" s="18" t="s">
        <v>66</v>
      </c>
      <c r="K1138" s="19" t="s">
        <v>1320</v>
      </c>
      <c r="L1138" s="19"/>
      <c r="M1138" s="19" t="s">
        <v>6100</v>
      </c>
      <c r="N1138" s="20" t="s">
        <v>1598</v>
      </c>
      <c r="O1138" s="20" t="s">
        <v>27</v>
      </c>
      <c r="P1138" s="21" t="s">
        <v>6101</v>
      </c>
      <c r="Q1138" s="20"/>
      <c r="R1138" s="20" t="s">
        <v>6102</v>
      </c>
      <c r="S1138" s="20"/>
      <c r="T1138" s="20"/>
      <c r="U1138" s="20"/>
      <c r="V1138" s="20"/>
    </row>
    <row r="1139" spans="2:22" ht="34">
      <c r="B1139" s="11" t="s">
        <v>6103</v>
      </c>
      <c r="C1139" s="12" t="s">
        <v>20</v>
      </c>
      <c r="D1139" s="13" t="s">
        <v>177</v>
      </c>
      <c r="E1139" s="24">
        <v>1165000</v>
      </c>
      <c r="F1139" s="25">
        <f>Table2[[#This Row],[Price]]/Table2[[#This Row],[Tot Ht Area]]</f>
        <v>264.17233560090705</v>
      </c>
      <c r="G1139" s="16">
        <v>4410</v>
      </c>
      <c r="H1139" s="16">
        <v>4410</v>
      </c>
      <c r="I1139" s="17" t="s">
        <v>6104</v>
      </c>
      <c r="J1139" s="18" t="s">
        <v>358</v>
      </c>
      <c r="K1139" s="19" t="s">
        <v>172</v>
      </c>
      <c r="L1139" s="19"/>
      <c r="M1139" s="19" t="s">
        <v>6105</v>
      </c>
      <c r="N1139" s="20" t="s">
        <v>1598</v>
      </c>
      <c r="O1139" s="20" t="s">
        <v>27</v>
      </c>
      <c r="P1139" s="21" t="s">
        <v>6106</v>
      </c>
      <c r="Q1139" s="20"/>
      <c r="R1139" s="20" t="s">
        <v>6107</v>
      </c>
      <c r="S1139" s="20"/>
      <c r="T1139" s="20"/>
      <c r="U1139" s="20"/>
      <c r="V1139" s="20"/>
    </row>
    <row r="1140" spans="2:22" ht="34">
      <c r="B1140" s="11" t="s">
        <v>6108</v>
      </c>
      <c r="C1140" s="12" t="s">
        <v>20</v>
      </c>
      <c r="D1140" s="13" t="s">
        <v>925</v>
      </c>
      <c r="E1140" s="24">
        <v>1475000</v>
      </c>
      <c r="F1140" s="25">
        <f>Table2[[#This Row],[Price]]/Table2[[#This Row],[Tot Ht Area]]</f>
        <v>251.36332651670074</v>
      </c>
      <c r="G1140" s="16">
        <v>5868</v>
      </c>
      <c r="H1140" s="16">
        <v>5868</v>
      </c>
      <c r="I1140" s="17" t="s">
        <v>2020</v>
      </c>
      <c r="J1140" s="18" t="s">
        <v>358</v>
      </c>
      <c r="K1140" s="19" t="s">
        <v>172</v>
      </c>
      <c r="L1140" s="19"/>
      <c r="M1140" s="19" t="s">
        <v>6109</v>
      </c>
      <c r="N1140" s="20" t="s">
        <v>1598</v>
      </c>
      <c r="O1140" s="20" t="s">
        <v>27</v>
      </c>
      <c r="P1140" s="21" t="s">
        <v>6110</v>
      </c>
      <c r="Q1140" s="20"/>
      <c r="R1140" s="20" t="s">
        <v>6111</v>
      </c>
      <c r="S1140" s="20"/>
      <c r="T1140" s="20"/>
      <c r="U1140" s="20"/>
      <c r="V1140" s="20"/>
    </row>
    <row r="1141" spans="2:22" ht="17">
      <c r="B1141" s="11" t="s">
        <v>6112</v>
      </c>
      <c r="C1141" s="12" t="s">
        <v>20</v>
      </c>
      <c r="D1141" s="13" t="s">
        <v>1641</v>
      </c>
      <c r="E1141" s="24">
        <v>1500000</v>
      </c>
      <c r="F1141" s="25">
        <f>Table2[[#This Row],[Price]]/Table2[[#This Row],[Tot Ht Area]]</f>
        <v>255.62372188139059</v>
      </c>
      <c r="G1141" s="16">
        <v>5868</v>
      </c>
      <c r="H1141" s="16">
        <v>5868</v>
      </c>
      <c r="I1141" s="17" t="s">
        <v>6113</v>
      </c>
      <c r="J1141" s="18" t="s">
        <v>358</v>
      </c>
      <c r="K1141" s="19" t="s">
        <v>172</v>
      </c>
      <c r="L1141" s="19"/>
      <c r="M1141" s="19" t="s">
        <v>6114</v>
      </c>
      <c r="N1141" s="20" t="s">
        <v>1598</v>
      </c>
      <c r="O1141" s="20" t="s">
        <v>27</v>
      </c>
      <c r="P1141" s="21" t="s">
        <v>6115</v>
      </c>
      <c r="Q1141" s="20"/>
      <c r="R1141" s="20" t="s">
        <v>6116</v>
      </c>
      <c r="S1141" s="20"/>
      <c r="T1141" s="20"/>
      <c r="U1141" s="20"/>
      <c r="V1141" s="20"/>
    </row>
    <row r="1142" spans="2:22" ht="17">
      <c r="B1142" s="11" t="s">
        <v>6117</v>
      </c>
      <c r="C1142" s="12" t="s">
        <v>20</v>
      </c>
      <c r="D1142" s="13" t="s">
        <v>709</v>
      </c>
      <c r="E1142" s="24">
        <v>296600</v>
      </c>
      <c r="F1142" s="25" t="e">
        <f>Table2[[#This Row],[Price]]/Table2[[#This Row],[Tot Ht Area]]</f>
        <v>#DIV/0!</v>
      </c>
      <c r="G1142" s="16"/>
      <c r="H1142" s="16">
        <v>15600</v>
      </c>
      <c r="I1142" s="17" t="s">
        <v>6118</v>
      </c>
      <c r="J1142" s="18" t="s">
        <v>241</v>
      </c>
      <c r="K1142" s="19" t="s">
        <v>1630</v>
      </c>
      <c r="L1142" s="19"/>
      <c r="M1142" s="19" t="s">
        <v>6119</v>
      </c>
      <c r="N1142" s="20" t="s">
        <v>1598</v>
      </c>
      <c r="O1142" s="20" t="s">
        <v>27</v>
      </c>
      <c r="P1142" s="21" t="s">
        <v>3245</v>
      </c>
      <c r="Q1142" s="20"/>
      <c r="R1142" s="20" t="s">
        <v>6120</v>
      </c>
      <c r="S1142" s="20"/>
      <c r="T1142" s="20"/>
      <c r="U1142" s="20"/>
      <c r="V1142" s="20"/>
    </row>
    <row r="1143" spans="2:22" ht="51">
      <c r="B1143" s="11" t="s">
        <v>6121</v>
      </c>
      <c r="C1143" s="12" t="s">
        <v>20</v>
      </c>
      <c r="D1143" s="13" t="s">
        <v>81</v>
      </c>
      <c r="E1143" s="24">
        <v>2700000</v>
      </c>
      <c r="F1143" s="25" t="e">
        <f>Table2[[#This Row],[Price]]/Table2[[#This Row],[Tot Ht Area]]</f>
        <v>#DIV/0!</v>
      </c>
      <c r="G1143" s="16"/>
      <c r="H1143" s="16">
        <v>3141</v>
      </c>
      <c r="I1143" s="17" t="s">
        <v>6122</v>
      </c>
      <c r="J1143" s="18" t="s">
        <v>1057</v>
      </c>
      <c r="K1143" s="19" t="s">
        <v>24</v>
      </c>
      <c r="L1143" s="19"/>
      <c r="M1143" s="19" t="s">
        <v>6123</v>
      </c>
      <c r="N1143" s="20" t="s">
        <v>1598</v>
      </c>
      <c r="O1143" s="20" t="s">
        <v>27</v>
      </c>
      <c r="P1143" s="21" t="s">
        <v>6124</v>
      </c>
      <c r="Q1143" s="20"/>
      <c r="R1143" s="20" t="s">
        <v>6125</v>
      </c>
      <c r="S1143" s="20"/>
      <c r="T1143" s="20"/>
      <c r="U1143" s="20"/>
      <c r="V1143" s="20"/>
    </row>
    <row r="1144" spans="2:22" ht="17">
      <c r="B1144" s="11" t="s">
        <v>6126</v>
      </c>
      <c r="C1144" s="12" t="s">
        <v>20</v>
      </c>
      <c r="D1144" s="13" t="s">
        <v>1490</v>
      </c>
      <c r="E1144" s="24">
        <v>1775000</v>
      </c>
      <c r="F1144" s="25">
        <f>Table2[[#This Row],[Price]]/Table2[[#This Row],[Tot Ht Area]]</f>
        <v>192.64163229867592</v>
      </c>
      <c r="G1144" s="16">
        <v>9214</v>
      </c>
      <c r="H1144" s="16">
        <v>9214</v>
      </c>
      <c r="I1144" s="17" t="s">
        <v>6127</v>
      </c>
      <c r="J1144" s="18" t="s">
        <v>548</v>
      </c>
      <c r="K1144" s="19" t="s">
        <v>24</v>
      </c>
      <c r="L1144" s="19"/>
      <c r="M1144" s="19" t="s">
        <v>6128</v>
      </c>
      <c r="N1144" s="20" t="s">
        <v>1598</v>
      </c>
      <c r="O1144" s="20" t="s">
        <v>27</v>
      </c>
      <c r="P1144" s="21" t="s">
        <v>6129</v>
      </c>
      <c r="Q1144" s="20"/>
      <c r="R1144" s="20" t="s">
        <v>6130</v>
      </c>
      <c r="S1144" s="20"/>
      <c r="T1144" s="20"/>
      <c r="U1144" s="20"/>
      <c r="V1144" s="20"/>
    </row>
    <row r="1145" spans="2:22" ht="17">
      <c r="B1145" s="11" t="s">
        <v>6131</v>
      </c>
      <c r="C1145" s="12" t="s">
        <v>20</v>
      </c>
      <c r="D1145" s="13" t="s">
        <v>1860</v>
      </c>
      <c r="E1145" s="24">
        <v>100</v>
      </c>
      <c r="F1145" s="25">
        <f>Table2[[#This Row],[Price]]/Table2[[#This Row],[Tot Ht Area]]</f>
        <v>3.9651070578905628E-2</v>
      </c>
      <c r="G1145" s="16">
        <v>2522</v>
      </c>
      <c r="H1145" s="16">
        <v>3080</v>
      </c>
      <c r="I1145" s="17" t="s">
        <v>6132</v>
      </c>
      <c r="J1145" s="18" t="s">
        <v>1231</v>
      </c>
      <c r="K1145" s="19" t="s">
        <v>1465</v>
      </c>
      <c r="L1145" s="19"/>
      <c r="M1145" s="19" t="s">
        <v>6133</v>
      </c>
      <c r="N1145" s="20" t="s">
        <v>1598</v>
      </c>
      <c r="O1145" s="20" t="s">
        <v>27</v>
      </c>
      <c r="P1145" s="21" t="s">
        <v>6134</v>
      </c>
      <c r="Q1145" s="20"/>
      <c r="R1145" s="20" t="s">
        <v>6135</v>
      </c>
      <c r="S1145" s="20"/>
      <c r="T1145" s="20" t="s">
        <v>6318</v>
      </c>
      <c r="U1145" s="20"/>
      <c r="V1145" s="20"/>
    </row>
    <row r="1146" spans="2:22" ht="17">
      <c r="B1146" s="11" t="s">
        <v>6136</v>
      </c>
      <c r="C1146" s="12" t="s">
        <v>20</v>
      </c>
      <c r="D1146" s="13" t="s">
        <v>141</v>
      </c>
      <c r="E1146" s="24">
        <v>1100000</v>
      </c>
      <c r="F1146" s="25" t="e">
        <f>Table2[[#This Row],[Price]]/Table2[[#This Row],[Tot Ht Area]]</f>
        <v>#DIV/0!</v>
      </c>
      <c r="G1146" s="16"/>
      <c r="H1146" s="16">
        <v>3956</v>
      </c>
      <c r="I1146" s="17" t="s">
        <v>6137</v>
      </c>
      <c r="J1146" s="18" t="s">
        <v>560</v>
      </c>
      <c r="K1146" s="19" t="s">
        <v>1320</v>
      </c>
      <c r="L1146" s="19"/>
      <c r="M1146" s="19" t="s">
        <v>6138</v>
      </c>
      <c r="N1146" s="20" t="s">
        <v>1598</v>
      </c>
      <c r="O1146" s="20" t="s">
        <v>27</v>
      </c>
      <c r="P1146" s="21" t="s">
        <v>6139</v>
      </c>
      <c r="Q1146" s="20"/>
      <c r="R1146" s="20" t="s">
        <v>6140</v>
      </c>
      <c r="S1146" s="20"/>
      <c r="T1146" s="20"/>
      <c r="U1146" s="20"/>
      <c r="V1146" s="20"/>
    </row>
    <row r="1147" spans="2:22" ht="17">
      <c r="B1147" s="11" t="s">
        <v>6141</v>
      </c>
      <c r="C1147" s="12" t="s">
        <v>20</v>
      </c>
      <c r="D1147" s="13" t="s">
        <v>322</v>
      </c>
      <c r="E1147" s="24">
        <v>2400000</v>
      </c>
      <c r="F1147" s="25" t="e">
        <f>Table2[[#This Row],[Price]]/Table2[[#This Row],[Tot Ht Area]]</f>
        <v>#DIV/0!</v>
      </c>
      <c r="G1147" s="16"/>
      <c r="H1147" s="16">
        <v>10800</v>
      </c>
      <c r="I1147" s="17" t="s">
        <v>6142</v>
      </c>
      <c r="J1147" s="18" t="s">
        <v>201</v>
      </c>
      <c r="K1147" s="19" t="s">
        <v>1320</v>
      </c>
      <c r="L1147" s="19"/>
      <c r="M1147" s="19" t="s">
        <v>6143</v>
      </c>
      <c r="N1147" s="20" t="s">
        <v>1598</v>
      </c>
      <c r="O1147" s="20" t="s">
        <v>27</v>
      </c>
      <c r="P1147" s="21" t="s">
        <v>6144</v>
      </c>
      <c r="Q1147" s="20"/>
      <c r="R1147" s="20" t="s">
        <v>6145</v>
      </c>
      <c r="S1147" s="20"/>
      <c r="T1147" s="20"/>
      <c r="U1147" s="20"/>
      <c r="V1147" s="20"/>
    </row>
    <row r="1148" spans="2:22" ht="17">
      <c r="B1148" s="11" t="s">
        <v>6146</v>
      </c>
      <c r="C1148" s="12" t="s">
        <v>20</v>
      </c>
      <c r="D1148" s="13" t="s">
        <v>177</v>
      </c>
      <c r="E1148" s="24">
        <v>210000</v>
      </c>
      <c r="F1148" s="25">
        <f>Table2[[#This Row],[Price]]/Table2[[#This Row],[Tot Ht Area]]</f>
        <v>88.682432432432435</v>
      </c>
      <c r="G1148" s="16">
        <v>2368</v>
      </c>
      <c r="H1148" s="16">
        <v>3786</v>
      </c>
      <c r="I1148" s="17" t="s">
        <v>6147</v>
      </c>
      <c r="J1148" s="18" t="s">
        <v>287</v>
      </c>
      <c r="K1148" s="19" t="s">
        <v>24</v>
      </c>
      <c r="L1148" s="19"/>
      <c r="M1148" s="19" t="s">
        <v>6148</v>
      </c>
      <c r="N1148" s="20" t="s">
        <v>1598</v>
      </c>
      <c r="O1148" s="20" t="s">
        <v>27</v>
      </c>
      <c r="P1148" s="21" t="s">
        <v>6149</v>
      </c>
      <c r="Q1148" s="20"/>
      <c r="R1148" s="20" t="s">
        <v>6150</v>
      </c>
      <c r="S1148" s="20"/>
      <c r="T1148" s="20"/>
      <c r="U1148" s="20"/>
      <c r="V1148" s="20"/>
    </row>
    <row r="1149" spans="2:22" ht="17">
      <c r="B1149" s="11" t="s">
        <v>6151</v>
      </c>
      <c r="C1149" s="12" t="s">
        <v>20</v>
      </c>
      <c r="D1149" s="13" t="s">
        <v>995</v>
      </c>
      <c r="E1149" s="24">
        <v>12242800</v>
      </c>
      <c r="F1149" s="25" t="e">
        <f>Table2[[#This Row],[Price]]/Table2[[#This Row],[Tot Ht Area]]</f>
        <v>#DIV/0!</v>
      </c>
      <c r="G1149" s="16"/>
      <c r="H1149" s="16">
        <v>67575</v>
      </c>
      <c r="I1149" s="17" t="s">
        <v>6152</v>
      </c>
      <c r="J1149" s="18" t="s">
        <v>379</v>
      </c>
      <c r="K1149" s="19" t="s">
        <v>1716</v>
      </c>
      <c r="L1149" s="19"/>
      <c r="M1149" s="19" t="s">
        <v>6153</v>
      </c>
      <c r="N1149" s="20" t="s">
        <v>1598</v>
      </c>
      <c r="O1149" s="20" t="s">
        <v>27</v>
      </c>
      <c r="P1149" s="21" t="s">
        <v>6154</v>
      </c>
      <c r="Q1149" s="20"/>
      <c r="R1149" s="20" t="s">
        <v>6155</v>
      </c>
      <c r="S1149" s="20"/>
      <c r="T1149" s="20"/>
      <c r="U1149" s="20"/>
      <c r="V1149" s="20"/>
    </row>
    <row r="1150" spans="2:22" ht="17">
      <c r="B1150" s="11" t="s">
        <v>6156</v>
      </c>
      <c r="C1150" s="12" t="s">
        <v>20</v>
      </c>
      <c r="D1150" s="13" t="s">
        <v>90</v>
      </c>
      <c r="E1150" s="24">
        <v>2370000</v>
      </c>
      <c r="F1150" s="25">
        <f>Table2[[#This Row],[Price]]/Table2[[#This Row],[Tot Ht Area]]</f>
        <v>448.86363636363637</v>
      </c>
      <c r="G1150" s="16">
        <v>5280</v>
      </c>
      <c r="H1150" s="16">
        <v>5280</v>
      </c>
      <c r="I1150" s="17" t="s">
        <v>6157</v>
      </c>
      <c r="J1150" s="18" t="s">
        <v>100</v>
      </c>
      <c r="K1150" s="19" t="s">
        <v>24</v>
      </c>
      <c r="L1150" s="19"/>
      <c r="M1150" s="19" t="s">
        <v>6158</v>
      </c>
      <c r="N1150" s="20" t="s">
        <v>1598</v>
      </c>
      <c r="O1150" s="20" t="s">
        <v>27</v>
      </c>
      <c r="P1150" s="21" t="s">
        <v>6159</v>
      </c>
      <c r="Q1150" s="20"/>
      <c r="R1150" s="20" t="s">
        <v>6160</v>
      </c>
      <c r="S1150" s="20"/>
      <c r="T1150" s="20"/>
      <c r="U1150" s="20"/>
      <c r="V1150" s="20"/>
    </row>
    <row r="1151" spans="2:22" ht="17">
      <c r="B1151" s="11" t="s">
        <v>6161</v>
      </c>
      <c r="C1151" s="12" t="s">
        <v>20</v>
      </c>
      <c r="D1151" s="13" t="s">
        <v>307</v>
      </c>
      <c r="E1151" s="24">
        <v>205000</v>
      </c>
      <c r="F1151" s="25" t="e">
        <f>Table2[[#This Row],[Price]]/Table2[[#This Row],[Tot Ht Area]]</f>
        <v>#DIV/0!</v>
      </c>
      <c r="G1151" s="16"/>
      <c r="H1151" s="16">
        <v>11080</v>
      </c>
      <c r="I1151" s="17" t="s">
        <v>6162</v>
      </c>
      <c r="J1151" s="18" t="s">
        <v>287</v>
      </c>
      <c r="K1151" s="19" t="s">
        <v>1716</v>
      </c>
      <c r="L1151" s="19"/>
      <c r="M1151" s="19" t="s">
        <v>6163</v>
      </c>
      <c r="N1151" s="20" t="s">
        <v>1598</v>
      </c>
      <c r="O1151" s="20" t="s">
        <v>27</v>
      </c>
      <c r="P1151" s="21" t="s">
        <v>6164</v>
      </c>
      <c r="Q1151" s="20"/>
      <c r="R1151" s="20" t="s">
        <v>6165</v>
      </c>
      <c r="S1151" s="20"/>
      <c r="T1151" s="20"/>
      <c r="U1151" s="20"/>
      <c r="V1151" s="20"/>
    </row>
    <row r="1152" spans="2:22" ht="17">
      <c r="B1152" s="11" t="s">
        <v>6166</v>
      </c>
      <c r="C1152" s="12" t="s">
        <v>20</v>
      </c>
      <c r="D1152" s="13" t="s">
        <v>276</v>
      </c>
      <c r="E1152" s="24">
        <v>1935000</v>
      </c>
      <c r="F1152" s="25">
        <f>Table2[[#This Row],[Price]]/Table2[[#This Row],[Tot Ht Area]]</f>
        <v>200.39353769676885</v>
      </c>
      <c r="G1152" s="16">
        <v>9656</v>
      </c>
      <c r="H1152" s="16">
        <v>9656</v>
      </c>
      <c r="I1152" s="17" t="s">
        <v>6167</v>
      </c>
      <c r="J1152" s="18" t="s">
        <v>358</v>
      </c>
      <c r="K1152" s="19" t="s">
        <v>172</v>
      </c>
      <c r="L1152" s="19"/>
      <c r="M1152" s="19" t="s">
        <v>6168</v>
      </c>
      <c r="N1152" s="20" t="s">
        <v>1598</v>
      </c>
      <c r="O1152" s="20" t="s">
        <v>27</v>
      </c>
      <c r="P1152" s="21" t="s">
        <v>6169</v>
      </c>
      <c r="Q1152" s="20"/>
      <c r="R1152" s="20" t="s">
        <v>6170</v>
      </c>
      <c r="S1152" s="20"/>
      <c r="T1152" s="20"/>
      <c r="U1152" s="20"/>
      <c r="V1152" s="20"/>
    </row>
    <row r="1153" spans="2:22" ht="17">
      <c r="B1153" s="11" t="s">
        <v>6171</v>
      </c>
      <c r="C1153" s="12" t="s">
        <v>20</v>
      </c>
      <c r="D1153" s="13" t="s">
        <v>276</v>
      </c>
      <c r="E1153" s="24">
        <v>1850000</v>
      </c>
      <c r="F1153" s="25">
        <f>Table2[[#This Row],[Price]]/Table2[[#This Row],[Tot Ht Area]]</f>
        <v>181.1062163485071</v>
      </c>
      <c r="G1153" s="16">
        <v>10215</v>
      </c>
      <c r="H1153" s="16">
        <v>10215</v>
      </c>
      <c r="I1153" s="17" t="s">
        <v>6172</v>
      </c>
      <c r="J1153" s="18" t="s">
        <v>358</v>
      </c>
      <c r="K1153" s="19" t="s">
        <v>172</v>
      </c>
      <c r="L1153" s="19"/>
      <c r="M1153" s="19" t="s">
        <v>6173</v>
      </c>
      <c r="N1153" s="20" t="s">
        <v>1598</v>
      </c>
      <c r="O1153" s="20" t="s">
        <v>27</v>
      </c>
      <c r="P1153" s="21" t="s">
        <v>6174</v>
      </c>
      <c r="Q1153" s="20"/>
      <c r="R1153" s="20" t="s">
        <v>6175</v>
      </c>
      <c r="S1153" s="20"/>
      <c r="T1153" s="20"/>
      <c r="U1153" s="20"/>
      <c r="V1153" s="20"/>
    </row>
    <row r="1154" spans="2:22" ht="17">
      <c r="B1154" s="11" t="s">
        <v>6176</v>
      </c>
      <c r="C1154" s="23" t="s">
        <v>33</v>
      </c>
      <c r="D1154" s="13" t="s">
        <v>372</v>
      </c>
      <c r="E1154" s="24">
        <v>218000</v>
      </c>
      <c r="F1154" s="25">
        <f>Table2[[#This Row],[Price]]/Table2[[#This Row],[Tot Ht Area]]</f>
        <v>106.86274509803921</v>
      </c>
      <c r="G1154" s="16">
        <v>2040</v>
      </c>
      <c r="H1154" s="16">
        <v>2380</v>
      </c>
      <c r="I1154" s="17" t="s">
        <v>1843</v>
      </c>
      <c r="J1154" s="18">
        <v>1976</v>
      </c>
      <c r="K1154" s="19" t="s">
        <v>37</v>
      </c>
      <c r="L1154" s="19" t="s">
        <v>6177</v>
      </c>
      <c r="M1154" s="19" t="s">
        <v>6178</v>
      </c>
      <c r="N1154" s="20" t="s">
        <v>6179</v>
      </c>
      <c r="O1154" s="20" t="s">
        <v>1812</v>
      </c>
      <c r="P1154" s="21" t="s">
        <v>6179</v>
      </c>
      <c r="Q1154" s="20"/>
      <c r="R1154" s="26" t="s">
        <v>6180</v>
      </c>
      <c r="S1154" s="20"/>
      <c r="T1154" s="20"/>
      <c r="U1154" s="20"/>
      <c r="V1154" s="20"/>
    </row>
    <row r="1155" spans="2:22" ht="17">
      <c r="B1155" s="11" t="s">
        <v>6181</v>
      </c>
      <c r="C1155" s="23" t="s">
        <v>33</v>
      </c>
      <c r="D1155" s="13" t="s">
        <v>64</v>
      </c>
      <c r="E1155" s="24">
        <v>650000</v>
      </c>
      <c r="F1155" s="25">
        <f>Table2[[#This Row],[Price]]/Table2[[#This Row],[Tot Ht Area]]</f>
        <v>50.04619648906683</v>
      </c>
      <c r="G1155" s="16">
        <v>12988</v>
      </c>
      <c r="H1155" s="16">
        <v>14914</v>
      </c>
      <c r="I1155" s="17" t="s">
        <v>6182</v>
      </c>
      <c r="J1155" s="18" t="s">
        <v>233</v>
      </c>
      <c r="K1155" s="19" t="s">
        <v>101</v>
      </c>
      <c r="L1155" s="19" t="s">
        <v>324</v>
      </c>
      <c r="M1155" s="19" t="s">
        <v>6183</v>
      </c>
      <c r="N1155" s="20" t="s">
        <v>6179</v>
      </c>
      <c r="O1155" s="20" t="s">
        <v>1812</v>
      </c>
      <c r="P1155" s="21" t="s">
        <v>6179</v>
      </c>
      <c r="Q1155" s="20"/>
      <c r="R1155" s="20" t="s">
        <v>6184</v>
      </c>
      <c r="S1155" s="20"/>
      <c r="T1155" s="20"/>
      <c r="U1155" s="20"/>
      <c r="V1155" s="20"/>
    </row>
    <row r="1156" spans="2:22" ht="34">
      <c r="B1156" s="11" t="s">
        <v>6185</v>
      </c>
      <c r="C1156" s="23" t="s">
        <v>33</v>
      </c>
      <c r="D1156" s="13" t="s">
        <v>356</v>
      </c>
      <c r="E1156" s="24">
        <v>4000000</v>
      </c>
      <c r="F1156" s="25">
        <f>Table2[[#This Row],[Price]]/Table2[[#This Row],[Tot Ht Area]]</f>
        <v>299.98500074996252</v>
      </c>
      <c r="G1156" s="16">
        <v>13334</v>
      </c>
      <c r="H1156" s="16">
        <v>15040</v>
      </c>
      <c r="I1156" s="17" t="s">
        <v>6186</v>
      </c>
      <c r="J1156" s="18" t="s">
        <v>4162</v>
      </c>
      <c r="K1156" s="19" t="s">
        <v>101</v>
      </c>
      <c r="L1156" s="19" t="s">
        <v>1761</v>
      </c>
      <c r="M1156" s="19" t="s">
        <v>6187</v>
      </c>
      <c r="N1156" s="20" t="s">
        <v>6179</v>
      </c>
      <c r="O1156" s="20" t="s">
        <v>1812</v>
      </c>
      <c r="P1156" s="21" t="s">
        <v>6179</v>
      </c>
      <c r="Q1156" s="20"/>
      <c r="R1156" s="26" t="s">
        <v>6188</v>
      </c>
      <c r="S1156" s="20"/>
      <c r="T1156" s="20"/>
      <c r="U1156" s="20"/>
      <c r="V1156" s="20"/>
    </row>
    <row r="1157" spans="2:22" ht="17">
      <c r="B1157" s="11" t="s">
        <v>6189</v>
      </c>
      <c r="C1157" s="23" t="s">
        <v>33</v>
      </c>
      <c r="D1157" s="13" t="s">
        <v>877</v>
      </c>
      <c r="E1157" s="24">
        <v>1500000</v>
      </c>
      <c r="F1157" s="25">
        <f>Table2[[#This Row],[Price]]/Table2[[#This Row],[Tot Ht Area]]</f>
        <v>766.87116564417181</v>
      </c>
      <c r="G1157" s="16">
        <v>1956</v>
      </c>
      <c r="H1157" s="16">
        <v>2511</v>
      </c>
      <c r="I1157" s="17" t="s">
        <v>6190</v>
      </c>
      <c r="J1157" s="18" t="s">
        <v>301</v>
      </c>
      <c r="K1157" s="19" t="s">
        <v>37</v>
      </c>
      <c r="L1157" s="19" t="s">
        <v>58</v>
      </c>
      <c r="M1157" s="19" t="s">
        <v>6191</v>
      </c>
      <c r="N1157" s="20" t="s">
        <v>6179</v>
      </c>
      <c r="O1157" s="20" t="s">
        <v>1812</v>
      </c>
      <c r="P1157" s="21" t="s">
        <v>6192</v>
      </c>
      <c r="Q1157" s="20"/>
      <c r="R1157" s="20" t="s">
        <v>6193</v>
      </c>
      <c r="S1157" s="20"/>
      <c r="T1157" s="20"/>
      <c r="U1157" s="20"/>
      <c r="V1157" s="20"/>
    </row>
    <row r="1158" spans="2:22" ht="17">
      <c r="B1158" s="11" t="s">
        <v>6194</v>
      </c>
      <c r="C1158" s="23" t="s">
        <v>33</v>
      </c>
      <c r="D1158" s="13" t="s">
        <v>64</v>
      </c>
      <c r="E1158" s="24">
        <v>1222500</v>
      </c>
      <c r="F1158" s="25">
        <f>Table2[[#This Row],[Price]]/Table2[[#This Row],[Tot Ht Area]]</f>
        <v>329.07133243607001</v>
      </c>
      <c r="G1158" s="16">
        <v>3715</v>
      </c>
      <c r="H1158" s="16">
        <v>3899</v>
      </c>
      <c r="I1158" s="17" t="s">
        <v>6195</v>
      </c>
      <c r="J1158" s="18" t="s">
        <v>2133</v>
      </c>
      <c r="K1158" s="19" t="s">
        <v>37</v>
      </c>
      <c r="L1158" s="19" t="s">
        <v>234</v>
      </c>
      <c r="M1158" s="19" t="s">
        <v>6196</v>
      </c>
      <c r="N1158" s="20" t="s">
        <v>6179</v>
      </c>
      <c r="O1158" s="20" t="s">
        <v>1812</v>
      </c>
      <c r="P1158" s="21" t="s">
        <v>6179</v>
      </c>
      <c r="Q1158" s="20"/>
      <c r="R1158" s="20" t="s">
        <v>6197</v>
      </c>
      <c r="S1158" s="20"/>
      <c r="T1158" s="20"/>
      <c r="U1158" s="20"/>
      <c r="V1158" s="20"/>
    </row>
  </sheetData>
  <conditionalFormatting sqref="B3:B1158">
    <cfRule type="expression" dxfId="125" priority="9">
      <formula>$T3="Yes"</formula>
    </cfRule>
  </conditionalFormatting>
  <conditionalFormatting sqref="E2:F1158">
    <cfRule type="containsErrors" dxfId="124" priority="2">
      <formula>ISERROR(E2)</formula>
    </cfRule>
    <cfRule type="cellIs" dxfId="123" priority="4" operator="lessThanOrEqual">
      <formula>100</formula>
    </cfRule>
    <cfRule type="containsBlanks" dxfId="122" priority="7">
      <formula>LEN(TRIM(E2))=0</formula>
    </cfRule>
  </conditionalFormatting>
  <conditionalFormatting sqref="E902:F1158">
    <cfRule type="containsBlanks" dxfId="121" priority="8" stopIfTrue="1">
      <formula>LEN(TRIM(E902))=0</formula>
    </cfRule>
  </conditionalFormatting>
  <conditionalFormatting sqref="N1:N1048576">
    <cfRule type="beginsWith" dxfId="120" priority="1" operator="beginsWith" text="Hospitals">
      <formula>LEFT(N1,LEN("Hospitals"))="Hospitals"</formula>
    </cfRule>
    <cfRule type="beginsWith" dxfId="119" priority="6" operator="beginsWith" text="Medical">
      <formula>LEFT(N1,LEN("Medical"))="Medical"</formula>
    </cfRule>
  </conditionalFormatting>
  <conditionalFormatting sqref="N3:N1158">
    <cfRule type="containsText" dxfId="118" priority="3" operator="containsText" text="Multi-tenant Medical">
      <formula>NOT(ISERROR(SEARCH("Multi-tenant Medical",N3)))</formula>
    </cfRule>
  </conditionalFormatting>
  <conditionalFormatting sqref="O1:O1048576">
    <cfRule type="containsText" dxfId="117" priority="5" operator="containsText" text="Low">
      <formula>NOT(ISERROR(SEARCH("Low",O1)))</formula>
    </cfRule>
  </conditionalFormatting>
  <hyperlinks>
    <hyperlink ref="Q322" r:id="rId1" xr:uid="{283D2641-8770-B54C-B705-755DBDD04141}"/>
    <hyperlink ref="Q330" r:id="rId2" xr:uid="{9C091F01-3139-AB46-ACF4-29FC039F9315}"/>
    <hyperlink ref="Q346" r:id="rId3" xr:uid="{67335BD3-23DC-0C40-AE14-0AE3EA5F4484}"/>
    <hyperlink ref="Q7" r:id="rId4" xr:uid="{4A35331A-D78A-4248-9D21-362013886A7E}"/>
    <hyperlink ref="R361" r:id="rId5" xr:uid="{C099A760-652C-8142-91E7-5772EB42765F}"/>
    <hyperlink ref="R61" r:id="rId6" xr:uid="{F8670EF1-D217-904B-863D-565F77A89F3B}"/>
    <hyperlink ref="R359" r:id="rId7" xr:uid="{E19C33E7-C102-124C-89C8-7FA228BE0AEC}"/>
    <hyperlink ref="R356" r:id="rId8" xr:uid="{FAD92174-7D63-8643-8977-BDAD9F42D0A4}"/>
    <hyperlink ref="R62" r:id="rId9" xr:uid="{F175AB39-1897-E242-84C2-1F35788E5A91}"/>
    <hyperlink ref="R63" r:id="rId10" xr:uid="{0BBBE6E4-4ED9-AA42-9A21-555C224B2B8A}"/>
    <hyperlink ref="R1024" r:id="rId11" xr:uid="{DA746781-8D01-D74C-9F9C-C419486EFE55}"/>
    <hyperlink ref="Q548" r:id="rId12" xr:uid="{647F6097-3388-3344-9A7D-B5EF05381307}"/>
    <hyperlink ref="Q553" r:id="rId13" xr:uid="{068C49A0-B832-CE47-B4E8-D63DFBA4610B}"/>
    <hyperlink ref="Q556" r:id="rId14" xr:uid="{A1BFB622-1B8E-A541-8A40-8F994A80B743}"/>
    <hyperlink ref="R553" r:id="rId15" xr:uid="{AAFFAA88-DFD1-BE41-BAC0-43FA1D98C3AC}"/>
    <hyperlink ref="R559" r:id="rId16" xr:uid="{78BA8B1F-48C5-EA48-9E5E-09BD7E180FCE}"/>
    <hyperlink ref="R890" r:id="rId17" xr:uid="{35379D4F-E3D3-CC47-9CED-DCF4D05E1C51}"/>
    <hyperlink ref="R836" r:id="rId18" xr:uid="{BCA01AB2-1953-8E45-AF2E-E04CF55ED5DB}"/>
    <hyperlink ref="R24" r:id="rId19" xr:uid="{E9944708-B9A2-A242-8AB0-2C0FC549B588}"/>
    <hyperlink ref="R278" r:id="rId20" xr:uid="{C82633E2-4369-B844-9D0C-123A1D696442}"/>
    <hyperlink ref="Q279" r:id="rId21" xr:uid="{1EB081E9-73F9-944E-AF8B-798E68315AD2}"/>
    <hyperlink ref="R279" r:id="rId22" xr:uid="{043BFF0B-A729-0147-97DA-A86638429911}"/>
    <hyperlink ref="Q26" r:id="rId23" xr:uid="{373AE8BE-215D-B04C-8D1C-2D2FB39360C1}"/>
    <hyperlink ref="Q27" r:id="rId24" xr:uid="{347686E6-2279-544F-9BAA-C00B71704F7F}"/>
    <hyperlink ref="Q28" r:id="rId25" xr:uid="{A3064B63-7CA2-D447-8C28-B68931DA5974}"/>
    <hyperlink ref="Q45" r:id="rId26" display="https://search.sunbiz.org/Inquiry/CorporationSearch/SearchResults?InquiryType=EntityName&amp;InquiryDirectionType=ForwardRecord&amp;SearchTerm=OPTIMA%20HOME%20INSPECTIONS%2C%20LLC&amp;SearchNameOrder=OPTIMAILLABORATORIES%20G821190&amp;ListNameOrder=OPTIMAHOMESERVICES%20P990000974750&amp;Detail=FL.DOS.Corporations.Shared.Contracts.FilingRecord" xr:uid="{A38BC430-BCF8-EF4D-BA18-AA94D4ABD781}"/>
    <hyperlink ref="R263" r:id="rId27" xr:uid="{07B70170-EF86-BD4A-8E40-42E6CA4B79B9}"/>
    <hyperlink ref="Q67" r:id="rId28" xr:uid="{144D1D85-FE24-5549-B48E-AAB70D3BF139}"/>
    <hyperlink ref="R67" r:id="rId29" xr:uid="{4057C85A-95C6-2A49-8039-E160217C3963}"/>
    <hyperlink ref="Q65" r:id="rId30" xr:uid="{A28963EC-53BB-5544-892D-FE6F24029D43}"/>
    <hyperlink ref="Q68" r:id="rId31" xr:uid="{9977D007-B4B0-5349-AE66-3A59A848CD80}"/>
    <hyperlink ref="R68" r:id="rId32" xr:uid="{1B47FAC0-BF88-8443-B6D8-9C1936D4AA27}"/>
    <hyperlink ref="Q197" r:id="rId33" xr:uid="{2154F381-27A5-1540-B051-851262567A0A}"/>
    <hyperlink ref="Q216" r:id="rId34" xr:uid="{946C2590-60CE-1641-90DB-472B0699CFBD}"/>
    <hyperlink ref="R215" r:id="rId35" xr:uid="{575AC603-A730-F64B-9816-DF9B798949F1}"/>
    <hyperlink ref="Q215" r:id="rId36" xr:uid="{8D527ACC-5D7B-F645-9B9D-1DAF4C639FB6}"/>
    <hyperlink ref="Q211" r:id="rId37" xr:uid="{44F7EB19-31EE-8A43-BF49-9DED82EA8470}"/>
    <hyperlink ref="Q275" r:id="rId38" xr:uid="{4EA778D0-C530-7D45-A9D7-B0B13C1216AA}"/>
    <hyperlink ref="Q205" r:id="rId39" xr:uid="{D69C0F41-E60E-254E-92AE-BC1041624EAB}"/>
    <hyperlink ref="S215" r:id="rId40" xr:uid="{6C1B6A55-163F-F44E-ACBE-81580CD8AA66}"/>
    <hyperlink ref="Q3" r:id="rId41" xr:uid="{6F4961AA-84F8-9342-AAEB-CA41350D7F97}"/>
    <hyperlink ref="R3" r:id="rId42" xr:uid="{69EA0E92-D094-8345-88FF-18FF035D0998}"/>
    <hyperlink ref="R254" r:id="rId43" xr:uid="{33BE8EB7-FE5A-A447-B0D7-B806CA686212}"/>
    <hyperlink ref="Q254" r:id="rId44" xr:uid="{67EC5516-CC82-764D-BB4F-879F7F527179}"/>
    <hyperlink ref="Q198" r:id="rId45" xr:uid="{33D3EFA2-BAB6-AB48-8184-F767A2857A38}"/>
    <hyperlink ref="R198" r:id="rId46" xr:uid="{14DDA548-C132-D944-9523-1C2F166C8F45}"/>
    <hyperlink ref="R272" r:id="rId47" xr:uid="{7A3FB31B-B0A3-BA44-9D80-5B613BB6AE9D}"/>
    <hyperlink ref="Q193" r:id="rId48" xr:uid="{042B8514-9CA5-0E44-B69A-A766FF1FDB0D}"/>
    <hyperlink ref="Q196" r:id="rId49" xr:uid="{C46C1A1E-479C-954F-918E-FD3B85FCF2E9}"/>
    <hyperlink ref="Q183" r:id="rId50" xr:uid="{17EF9335-62BA-5F4F-A444-2CB9469CDD8A}"/>
    <hyperlink ref="R183" r:id="rId51" xr:uid="{CFE3EA55-65A3-304A-A3FC-142F91E087B4}"/>
    <hyperlink ref="Q179" r:id="rId52" xr:uid="{8F99A48C-CF6D-A744-AD57-EE7A8FF01547}"/>
    <hyperlink ref="R179" r:id="rId53" xr:uid="{D75CE3D2-1A49-6345-BF8D-5612928A7933}"/>
    <hyperlink ref="R162" r:id="rId54" xr:uid="{7C9894C2-23DF-0949-A8F9-8B1864B51A64}"/>
    <hyperlink ref="Q162" r:id="rId55" xr:uid="{28868C25-3BC8-8143-A1D2-1DC8E5DDA5A7}"/>
    <hyperlink ref="R269" r:id="rId56" xr:uid="{4C4C8F75-760A-8E45-AEA5-98D52C6D5C97}"/>
    <hyperlink ref="Q269" r:id="rId57" xr:uid="{1E9ADC52-57CD-1D4C-A0B0-1F1E05F5E133}"/>
    <hyperlink ref="Q152" r:id="rId58" xr:uid="{D7EEF938-C1AD-044B-A18B-F27E48D6E23A}"/>
    <hyperlink ref="R152" r:id="rId59" xr:uid="{BDDC4479-84FF-614D-832B-6ED7B13201E2}"/>
    <hyperlink ref="R142" r:id="rId60" xr:uid="{CBA73511-726F-3440-BCAF-BD6253439EE7}"/>
    <hyperlink ref="R141" r:id="rId61" display="https://www.google.com/maps/@28.7721607,-81.3497901,3a,75y,291.04h,93.54t/data=!3m7!1e1!3m5!1sqPekVc-UKabixt961KyGng!2e0!6shttps:%2F%2Fstreetviewpixels-pa.googleapis.com%2Fv1%2Fthumbnail%3Fcb_client%3Dmaps_sv.tactile%26w%3D900%26h%3D600%26pitch%3D-3.5400000000000063%26panoid%3DqPekVc-UKabixt961KyGng%26yaw%3D291.04!7i16384!8i8192?entry=ttu&amp;g_ep=EgoyMDI2MDEyNS4wIKXMDSoASAFQAw%3D%3D" xr:uid="{A00C7003-3646-B745-8073-A967E70039E6}"/>
    <hyperlink ref="Q141" r:id="rId62" xr:uid="{8386E3FF-338D-3544-A904-4FB7A4D670B9}"/>
    <hyperlink ref="Q123" r:id="rId63" xr:uid="{A628E6E6-3E55-AD41-AB4B-E8027001775A}"/>
    <hyperlink ref="Q29" r:id="rId64" xr:uid="{FC70AD5F-D2D6-1E41-852F-CAFE1DE26DB4}"/>
    <hyperlink ref="Q30" r:id="rId65" xr:uid="{8F56AB18-8261-4941-BD24-346A2A2088F4}"/>
    <hyperlink ref="Q31" r:id="rId66" xr:uid="{872E2916-D69E-3C4C-ACD4-F470DDF42F65}"/>
    <hyperlink ref="Q32" r:id="rId67" xr:uid="{C6CC3D58-C20F-174F-A48B-9D8BEE870404}"/>
    <hyperlink ref="Q33" r:id="rId68" xr:uid="{34D388E5-C1C0-674C-BBD5-F1BE68C941B7}"/>
    <hyperlink ref="R260" r:id="rId69" display="https://www.google.com/maps/place/The+Apopka+Chief/@28.6858866,-81.5094495,3a,75y,259.52h,93.25t/data=!3m7!1e1!3m5!1spgbMU3RtXAFgivJ1cywkrQ!2e0!6shttps:%2F%2Fstreetviewpixels-pa.googleapis.com%2Fv1%2Fthumbnail%3Fcb_client%3Dmaps_sv.tactile%26w%3D900%26h%3D600%26pitch%3D-3.247669854686251%26panoid%3DpgbMU3RtXAFgivJ1cywkrQ%26yaw%3D259.5246747376673!7i16384!8i8192!4m16!1m9!3m8!1s0x88e7760750c4eb55:0xbbbdd437c178a2ea!2s400+N+Park+Ave,+Apopka,+FL+32712!3b1!8m2!3d28.6858038!4d-81.5097155!10e5!16s%2Fg%2F11bw404sf0!3m5!1s0x88e79dfbdc8ce6df:0x194d4eeb9f1befe3!8m2!3d28.6858059!4d-81.5097369!16s%2Fg%2F1tdzmcr2?entry=ttu&amp;g_ep=EgoyMDI2MDEyNS4wIKXMDSoASAFQAw%3D%3D" xr:uid="{4A21186A-8457-2940-A84B-C803D53FF159}"/>
    <hyperlink ref="Q34" r:id="rId70" xr:uid="{F9967711-55C0-B342-B32A-9B37027ACDDC}"/>
    <hyperlink ref="R261" r:id="rId71" xr:uid="{E8B43001-A1E6-214F-AA74-413EEC7EEBB4}"/>
    <hyperlink ref="Q261" r:id="rId72" xr:uid="{13418D8D-2BDD-4046-BB6B-361408606783}"/>
    <hyperlink ref="Q263" r:id="rId73" xr:uid="{DB9BD710-12B8-254A-A771-B57F5C46D0E6}"/>
    <hyperlink ref="Q77" r:id="rId74" xr:uid="{E5860380-7A6B-A747-AA16-228496E07E69}"/>
    <hyperlink ref="R77" r:id="rId75" xr:uid="{E05B65C4-9FED-5D4F-B20E-E7927DFDABEA}"/>
    <hyperlink ref="Q94" r:id="rId76" xr:uid="{0A3991F8-5DAB-8042-AF1F-92658A5686BA}"/>
    <hyperlink ref="R265" r:id="rId77" xr:uid="{765CE7B5-5AE0-B945-9C07-5E3C153E4CD7}"/>
    <hyperlink ref="Q265" r:id="rId78" xr:uid="{54C86AE2-937C-4649-BF93-E48AF849759C}"/>
    <hyperlink ref="Q95" r:id="rId79" xr:uid="{79A9BCFA-D001-8F49-BE7F-DE4D5CE3D5E7}"/>
    <hyperlink ref="Q105" r:id="rId80" xr:uid="{A50A007E-1890-E440-B077-7099EC5C7BF1}"/>
    <hyperlink ref="R105" r:id="rId81" xr:uid="{D8C8E07E-21BC-BA47-8F45-74029EBB615A}"/>
    <hyperlink ref="Q117" r:id="rId82" xr:uid="{5B4D8D1F-A517-8C41-AB0E-C96B68BD5F0A}"/>
    <hyperlink ref="Q267" r:id="rId83" xr:uid="{01A23B87-15E3-3949-B370-4D1D1E7E8C31}"/>
    <hyperlink ref="R119" r:id="rId84" xr:uid="{A9631004-59A5-804F-AA6E-BB56ACA37219}"/>
    <hyperlink ref="R267" r:id="rId85" xr:uid="{F207BC08-5CFC-5F41-9D30-E043212975BF}"/>
    <hyperlink ref="Q119" r:id="rId86" xr:uid="{789013E9-BAA2-B046-8834-6BE5942ABDD3}"/>
    <hyperlink ref="Q35" r:id="rId87" xr:uid="{BA357931-11A8-6241-8123-4F08344EFE56}"/>
    <hyperlink ref="Q36" r:id="rId88" xr:uid="{405CEF5E-F591-EE4D-930E-95420E23055C}"/>
    <hyperlink ref="R37" r:id="rId89" xr:uid="{266137DC-F621-544F-BF76-1592B3F1BA47}"/>
    <hyperlink ref="Q37" r:id="rId90" xr:uid="{66F1F266-4AD7-0B49-B025-4607E4133DA7}"/>
    <hyperlink ref="Q38" r:id="rId91" xr:uid="{E4ACCCD4-283E-4840-9389-8F9AEB633922}"/>
    <hyperlink ref="Q262" r:id="rId92" xr:uid="{3155E7FC-A373-AD4F-89B3-6A5D2E775DBE}"/>
    <hyperlink ref="R262" r:id="rId93" xr:uid="{4A902D7A-342F-794D-A9E7-4979E7F6BB17}"/>
    <hyperlink ref="Q39" r:id="rId94" xr:uid="{786BE2DF-16F9-614E-A163-4A039F3868E8}"/>
    <hyperlink ref="Q40" r:id="rId95" xr:uid="{40C244D0-8F33-DB4F-9817-391599934B99}"/>
    <hyperlink ref="Q41" r:id="rId96" xr:uid="{4A3647FA-1724-294D-8B80-20767FBE58F1}"/>
    <hyperlink ref="Q42" r:id="rId97" xr:uid="{EAB313F9-2089-E74E-8185-97FA945D3CA0}"/>
    <hyperlink ref="Q43" r:id="rId98" xr:uid="{BE57F6B5-DCFD-2649-8666-6D5C5B6E9F41}"/>
    <hyperlink ref="Q44" r:id="rId99" xr:uid="{BFCCDC4E-CD1B-854B-A5CF-F72CE8BCDD71}"/>
    <hyperlink ref="Q46" r:id="rId100" xr:uid="{91D0CAC0-4097-404C-80FF-E81D8425EFDE}"/>
    <hyperlink ref="Q47" r:id="rId101" xr:uid="{DD46EBC5-4612-BA47-B33B-E55DE0203F1E}"/>
    <hyperlink ref="Q48" r:id="rId102" xr:uid="{A405D97D-E963-FA49-A932-74579428C23F}"/>
    <hyperlink ref="Q49" r:id="rId103" xr:uid="{EA21CE67-A738-744A-8CF4-BDEC37439ABA}"/>
    <hyperlink ref="Q50" r:id="rId104" xr:uid="{AA06D8F3-DA41-504C-BCA0-A4C51097E332}"/>
    <hyperlink ref="Q52" r:id="rId105" xr:uid="{C7832B54-ED0D-3943-A483-A0487A035215}"/>
    <hyperlink ref="Q51" r:id="rId106" xr:uid="{C1D10555-3BE8-974B-B3BF-300B21DD5300}"/>
    <hyperlink ref="Q53" r:id="rId107" xr:uid="{3AD718F5-2CEC-DF43-9D8A-016BBDEFBB17}"/>
    <hyperlink ref="Q54" r:id="rId108" xr:uid="{98A85B39-C0D8-E94F-8CB4-6DD9198C3B44}"/>
    <hyperlink ref="Q55" r:id="rId109" xr:uid="{9CAD5F38-A6B2-D44D-97E4-5C93679A1DD9}"/>
    <hyperlink ref="Q56" r:id="rId110" xr:uid="{43A16884-3E41-CD45-A2C5-1F3656173F83}"/>
    <hyperlink ref="Q57" r:id="rId111" xr:uid="{4725D6A6-758E-484E-8AA4-7D47D35FD10C}"/>
    <hyperlink ref="Q58" r:id="rId112" xr:uid="{5653A024-A706-644E-8CF7-F7E521CC11AB}"/>
    <hyperlink ref="Q59" r:id="rId113" xr:uid="{0A11F1B7-08F5-A24C-B2BA-39E9F609F10F}"/>
    <hyperlink ref="Q60" r:id="rId114" xr:uid="{F44C4366-024C-B949-A848-6AA9B0346527}"/>
    <hyperlink ref="Q61" r:id="rId115" xr:uid="{9BF463D6-B7D9-134B-9272-95D37D7EC45F}"/>
    <hyperlink ref="Q62" r:id="rId116" xr:uid="{7372ADC0-0C29-A44C-9941-FC420923FADE}"/>
    <hyperlink ref="Q64" r:id="rId117" xr:uid="{125EB7BE-8971-4344-A099-17EA7D8F7063}"/>
    <hyperlink ref="Q63" r:id="rId118" xr:uid="{DA7F659F-95DF-604B-A591-DB99DFED5CAF}"/>
    <hyperlink ref="Q66" r:id="rId119" xr:uid="{D57A6057-3174-F044-9F86-DAC389EA3AA8}"/>
    <hyperlink ref="Q69" r:id="rId120" xr:uid="{DC36124C-0659-7243-97CF-83864FEEDC8E}"/>
    <hyperlink ref="Q71" r:id="rId121" xr:uid="{C42C9C73-A12C-3343-8D4F-01F33D67CBDA}"/>
    <hyperlink ref="Q264" r:id="rId122" xr:uid="{0F4EBD63-0808-694C-8A60-AEE0BE435DAD}"/>
    <hyperlink ref="R264" r:id="rId123" xr:uid="{75B70FDF-E7FB-E446-9BB9-5BD51F732BCA}"/>
    <hyperlink ref="Q73" r:id="rId124" xr:uid="{E9AA1FAA-E6C5-3142-9DBF-3429EFBD33D8}"/>
    <hyperlink ref="Q72" r:id="rId125" xr:uid="{6110CC1F-0A42-0342-A6AB-497BD62BF814}"/>
    <hyperlink ref="Q74" r:id="rId126" xr:uid="{B92F8019-F59E-5B46-804F-B6C8319143D1}"/>
    <hyperlink ref="Q75" r:id="rId127" xr:uid="{A6F94FDE-85A7-F043-BB1F-D009219B78DB}"/>
    <hyperlink ref="R75" r:id="rId128" xr:uid="{02A00736-60B5-4A4C-B089-3BECB044C8B3}"/>
    <hyperlink ref="Q76" r:id="rId129" xr:uid="{81750EC2-4F98-2A46-A4AF-A147D6AB1D00}"/>
    <hyperlink ref="Q78" r:id="rId130" xr:uid="{25222BE5-A100-6F4C-914E-CBCC4463C70F}"/>
    <hyperlink ref="Q79" r:id="rId131" xr:uid="{5FFA2D48-B3CB-884F-B387-4D740BE2E57A}"/>
    <hyperlink ref="Q233" r:id="rId132" xr:uid="{1C28278C-DEC1-8247-9AFF-4257CE0C360E}"/>
    <hyperlink ref="Q80" r:id="rId133" xr:uid="{D3AB6C5C-31F9-6F49-BF94-00E8EFEAFF53}"/>
    <hyperlink ref="Q234" r:id="rId134" xr:uid="{CF794549-93A3-6A41-9226-0E5A7DBDD75F}"/>
    <hyperlink ref="R233" r:id="rId135" xr:uid="{EC246805-EFF0-4948-A891-CD272F4C45F6}"/>
    <hyperlink ref="Q81" r:id="rId136" xr:uid="{17D847A2-971F-AA40-BC03-B0512FF30486}"/>
    <hyperlink ref="Q82" r:id="rId137" xr:uid="{19494DEC-5669-AF45-A935-213854B2B4AA}"/>
    <hyperlink ref="Q83" r:id="rId138" xr:uid="{C929ECAE-3092-DB4F-B0A4-F2FFF49676A1}"/>
    <hyperlink ref="Q84" r:id="rId139" xr:uid="{72AD3E28-87F5-4442-8AB7-67215B8BF8C1}"/>
    <hyperlink ref="Q85" r:id="rId140" xr:uid="{956AC557-1BE5-5E4D-AE67-021B8235BCC2}"/>
    <hyperlink ref="Q86" r:id="rId141" xr:uid="{D294C6AF-B76C-1E41-B132-9184F55C0FC7}"/>
    <hyperlink ref="Q87" r:id="rId142" xr:uid="{8560F2FB-AA5D-E745-953F-F729BF1342A1}"/>
    <hyperlink ref="R87" r:id="rId143" xr:uid="{968E7543-7ED2-3949-83FA-D4E3630D744D}"/>
    <hyperlink ref="Q88" r:id="rId144" xr:uid="{C25151C7-663D-4648-A96C-7B0567DA472B}"/>
    <hyperlink ref="Q89" r:id="rId145" xr:uid="{5ABB43B9-CB96-9A4C-B3AE-3DDE49887675}"/>
    <hyperlink ref="Q90" r:id="rId146" xr:uid="{7CD9630F-BC42-A640-837B-020D88AE2B39}"/>
    <hyperlink ref="R91" r:id="rId147" xr:uid="{2B7D401A-8BAB-EB4C-8D02-1B52B4C79308}"/>
    <hyperlink ref="Q91" r:id="rId148" xr:uid="{49C40B6A-FC93-A943-801B-09F8ECF7AFB6}"/>
    <hyperlink ref="Q92" r:id="rId149" xr:uid="{A00A7B99-984E-0B4E-84EE-0804A0463FD5}"/>
    <hyperlink ref="Q93" r:id="rId150" xr:uid="{4179DAB6-218E-1242-AACF-410B2014B595}"/>
    <hyperlink ref="R97" r:id="rId151" xr:uid="{ADF9ED20-B188-4D44-993D-619FA034974F}"/>
    <hyperlink ref="R96" r:id="rId152" xr:uid="{96D43CEC-FF94-DA44-839E-AED77B20F261}"/>
    <hyperlink ref="Q98" r:id="rId153" xr:uid="{3C827AE6-24D0-A248-A6A2-862981565598}"/>
    <hyperlink ref="Q99" r:id="rId154" xr:uid="{4AD8CAF2-3F8C-8D49-B5A7-DE88BE3D2CE4}"/>
    <hyperlink ref="R99" r:id="rId155" xr:uid="{F7601EAA-2D10-B345-8FEF-583ED6C70F0E}"/>
    <hyperlink ref="Q100" r:id="rId156" xr:uid="{A6747F12-8EE0-5840-8E82-7C9990467EC8}"/>
    <hyperlink ref="Q101" r:id="rId157" xr:uid="{DCFD159E-9C51-3848-8934-7A861DBB08B8}"/>
    <hyperlink ref="Q102" r:id="rId158" xr:uid="{46FFE4F5-1EB0-7041-9176-9904ACDA6B95}"/>
    <hyperlink ref="Q103" r:id="rId159" xr:uid="{06D84AC0-E961-8D45-B7FE-C2117AE9FADD}"/>
    <hyperlink ref="R103" r:id="rId160" xr:uid="{620C1165-8EFD-824D-A38B-295BB7BFAADD}"/>
    <hyperlink ref="Q104" r:id="rId161" xr:uid="{DDCE1B08-FB1C-7D42-B229-D65D01F7D85C}"/>
    <hyperlink ref="R104" r:id="rId162" xr:uid="{2B929E1B-55E4-0B49-9F01-91BDBA112BC5}"/>
    <hyperlink ref="Q255" r:id="rId163" xr:uid="{5A046A9B-BACC-564E-8D30-FCB73D110AAF}"/>
    <hyperlink ref="R255" r:id="rId164" xr:uid="{21343C59-CAE3-DE47-A256-F273C44C4F7E}"/>
    <hyperlink ref="Q5" r:id="rId165" xr:uid="{21CC518A-582A-0746-9BA2-BCAAE5ED7B8D}"/>
    <hyperlink ref="R5" r:id="rId166" xr:uid="{3C05CE3E-E0ED-624F-9317-69F6D4E6DD09}"/>
    <hyperlink ref="Q6" r:id="rId167" xr:uid="{3BA12E3C-74E3-504B-802D-FEEDE765C355}"/>
    <hyperlink ref="R6" r:id="rId168" xr:uid="{0A1D5B05-D50A-9949-B13B-E17785200F9A}"/>
    <hyperlink ref="Q8" r:id="rId169" xr:uid="{C995504F-3ED7-2344-8C98-9898FA68D5C4}"/>
    <hyperlink ref="R7" r:id="rId170" xr:uid="{38FF63FC-A192-D541-ABC9-78A4871EB6BD}"/>
    <hyperlink ref="Q9" r:id="rId171" xr:uid="{F0BCEE75-168B-3B41-AF23-EC5D6A83DB31}"/>
    <hyperlink ref="Q10" r:id="rId172" xr:uid="{1F5CD091-7BF7-2940-B8D0-59007C2BA9A2}"/>
    <hyperlink ref="Q11" r:id="rId173" xr:uid="{C28AE805-BCDE-BF44-B6D9-5577183CDCC7}"/>
    <hyperlink ref="Q12" r:id="rId174" xr:uid="{80CD71AA-AC05-F741-8BAE-7A08BFF6AD13}"/>
    <hyperlink ref="R12" r:id="rId175" xr:uid="{C3969914-D426-7741-91CC-CC0EB4B315AE}"/>
    <hyperlink ref="Q13" r:id="rId176" xr:uid="{77CE3511-1B54-494B-91B3-0166F5422FE4}"/>
    <hyperlink ref="Q14" r:id="rId177" xr:uid="{3C8BA8E0-C19A-4849-84B8-0859FA85EADE}"/>
    <hyperlink ref="R15" r:id="rId178" xr:uid="{F31A42EA-775C-1D4F-836F-9297965991ED}"/>
    <hyperlink ref="R16" r:id="rId179" xr:uid="{AAEFF1C4-CB15-7847-8771-9E927168B2CD}"/>
    <hyperlink ref="R249" r:id="rId180" xr:uid="{66FA2A6D-93C0-F44A-ACAF-552AF094E373}"/>
    <hyperlink ref="Q256" r:id="rId181" xr:uid="{07B41FA3-8694-424C-B8DB-EE478C78CD30}"/>
    <hyperlink ref="R256" r:id="rId182" xr:uid="{60996B51-A128-CD42-82F8-F2C2D2E1BC7C}"/>
    <hyperlink ref="Q257" r:id="rId183" xr:uid="{88BE882B-774D-3A43-9B53-C7BC29B30B6F}"/>
    <hyperlink ref="R257" r:id="rId184" xr:uid="{2ED56B86-DDD9-BD42-AEA4-1845344A09B6}"/>
    <hyperlink ref="Q17" r:id="rId185" xr:uid="{8E60A2ED-4215-F44F-A234-E47A4590FD78}"/>
    <hyperlink ref="Q18" r:id="rId186" xr:uid="{FD522259-5133-A646-A97C-DCC5BAE2DBA5}"/>
    <hyperlink ref="Q19" r:id="rId187" xr:uid="{F904E0A4-E588-E243-84BA-A19581847116}"/>
    <hyperlink ref="R19" r:id="rId188" xr:uid="{2F881C5E-AC40-9643-A37A-A09C68FA4849}"/>
    <hyperlink ref="Q20" r:id="rId189" xr:uid="{9BB6426B-C483-9040-A01E-384CCE50B7D4}"/>
    <hyperlink ref="Q21" r:id="rId190" xr:uid="{B06599B4-E950-C848-9DDB-B8077996BF6F}"/>
    <hyperlink ref="Q22" r:id="rId191" xr:uid="{D1DD5981-FC22-F745-B90B-D84AD9E9EA55}"/>
    <hyperlink ref="R258" r:id="rId192" xr:uid="{D53F890F-ECCB-8349-BFFF-B6CA58D9BDBC}"/>
    <hyperlink ref="Q259" r:id="rId193" xr:uid="{7D735CC2-18DA-164D-AF4F-36823E542156}"/>
    <hyperlink ref="R259" r:id="rId194" xr:uid="{B6B951AA-D815-9C49-B4C0-05EBD447A826}"/>
    <hyperlink ref="Q276" r:id="rId195" xr:uid="{63C59AD7-463F-7C45-87FE-B7C4B6FBDABF}"/>
    <hyperlink ref="Q277" r:id="rId196" xr:uid="{78764671-8019-D645-B30A-8EC8CEBEAFA2}"/>
    <hyperlink ref="Q278" r:id="rId197" xr:uid="{D2B325FD-F3DD-BD4A-A6AE-D8ACF4C14852}"/>
    <hyperlink ref="Q280" r:id="rId198" xr:uid="{0A450145-502B-394A-8EBE-6191182198F3}"/>
    <hyperlink ref="Q281" r:id="rId199" xr:uid="{7F09A657-4D87-1442-8704-4E98381E91D9}"/>
    <hyperlink ref="Q282" r:id="rId200" xr:uid="{6B7D0958-0770-5D4E-B62B-2E9F297186D6}"/>
    <hyperlink ref="Q1056" r:id="rId201" xr:uid="{9D98863C-3A73-954A-961B-8E84130E3F24}"/>
    <hyperlink ref="Q1052" r:id="rId202" xr:uid="{A86B1C61-2524-CB40-B3B6-D8DAE929B3CC}"/>
    <hyperlink ref="R1052" r:id="rId203" xr:uid="{7A35C4F7-9C29-E940-A0D9-B1793CDBBE7C}"/>
    <hyperlink ref="Q106" r:id="rId204" xr:uid="{69E6789B-7881-4248-9F75-482A16FAAFCA}"/>
    <hyperlink ref="Q107" r:id="rId205" xr:uid="{1C0DCDB4-73EB-944E-B5F3-399629B25D7B}"/>
    <hyperlink ref="Q108" r:id="rId206" xr:uid="{9F9EBC20-1F1E-664B-85AD-25A89E26F18C}"/>
    <hyperlink ref="Q212" r:id="rId207" xr:uid="{C16771AD-FD6F-D046-8626-357D00ACFA90}"/>
    <hyperlink ref="R212" r:id="rId208" xr:uid="{ED24FBBE-BAB1-7F44-9028-5F7205D88B07}"/>
    <hyperlink ref="Q213" r:id="rId209" xr:uid="{93CEA62E-AE5D-1C46-AAF6-71280E64E08F}"/>
    <hyperlink ref="Q214" r:id="rId210" xr:uid="{281B6CCC-4C8C-234F-A770-3CB16590CCC9}"/>
    <hyperlink ref="R210" r:id="rId211" xr:uid="{998B0C40-A198-4F42-9387-FAA511463041}"/>
    <hyperlink ref="Q209" r:id="rId212" xr:uid="{BD1D145D-8DEE-4548-BC4A-A0DE9B6F7A3A}"/>
    <hyperlink ref="R209" r:id="rId213" xr:uid="{8A2EC6EC-6167-8C4B-9641-9D1C3EC15A86}"/>
    <hyperlink ref="Q208" r:id="rId214" xr:uid="{677B0CCD-8513-D447-9E8B-EB1A65D9664C}"/>
    <hyperlink ref="Q274" r:id="rId215" xr:uid="{22011642-EA3E-094B-9E0D-024239D8778E}"/>
    <hyperlink ref="R274" r:id="rId216" xr:uid="{8A12322D-C05A-1B47-B170-930A592EA978}"/>
    <hyperlink ref="R207" r:id="rId217" xr:uid="{BBD44B0D-CE03-334A-BAB0-5F003D414036}"/>
    <hyperlink ref="Q207" r:id="rId218" xr:uid="{CF9401F9-8B3B-234A-AC9A-4F88530B1CE7}"/>
    <hyperlink ref="Q206" r:id="rId219" xr:uid="{445DB3BD-D84D-554F-96F4-5C6CC05E6342}"/>
    <hyperlink ref="R206" r:id="rId220" xr:uid="{621F8EAD-47BC-C44B-9D1C-6A4532E60C6E}"/>
    <hyperlink ref="Q204" r:id="rId221" xr:uid="{6EED0272-A322-E245-BAC0-9D0E3F45F484}"/>
    <hyperlink ref="Q203" r:id="rId222" xr:uid="{1F0E05C7-9AD4-CF4F-85EC-A1FEDE07E975}"/>
    <hyperlink ref="Q202" r:id="rId223" xr:uid="{0777B0E8-3D81-E141-BACB-1AF597463FE3}"/>
    <hyperlink ref="R201" r:id="rId224" xr:uid="{47009947-441F-3149-AD5B-1102A09376C1}"/>
    <hyperlink ref="Q201" r:id="rId225" location="/" xr:uid="{B0B3F2BA-7832-3447-8A23-9D6FA9AA7094}"/>
    <hyperlink ref="R200" r:id="rId226" xr:uid="{01B7F76F-7167-8049-90DB-3E504B41EEC9}"/>
    <hyperlink ref="Q200" r:id="rId227" xr:uid="{9E149D88-625E-3B44-A938-5B876385903E}"/>
    <hyperlink ref="Q199" r:id="rId228" xr:uid="{98C459C0-95E2-104B-A427-4C89C315E867}"/>
    <hyperlink ref="R273" r:id="rId229" xr:uid="{95BB050C-7045-DC49-9E92-806A2A0D7466}"/>
    <hyperlink ref="R197" r:id="rId230" xr:uid="{A951DC85-29E0-3647-B617-0991EC58CC89}"/>
    <hyperlink ref="Q271" r:id="rId231" xr:uid="{1B1078FD-D473-0D49-B2C8-D9367DF7F2C0}"/>
    <hyperlink ref="R271" r:id="rId232" xr:uid="{3AAED65D-B916-CF42-9374-BB5D0C88F44E}"/>
    <hyperlink ref="R194" r:id="rId233" xr:uid="{D1905BA4-D6E8-1540-8883-A1FBBEC83370}"/>
    <hyperlink ref="Q194" r:id="rId234" xr:uid="{9E61E212-90DC-3841-810C-E076DFE3028A}"/>
    <hyperlink ref="Q192" r:id="rId235" xr:uid="{1CDC41C6-030F-E945-8E0F-BCA01FD8A64F}"/>
    <hyperlink ref="Q191" r:id="rId236" xr:uid="{F6E59165-D410-AD4A-B034-ED4982688F2B}"/>
    <hyperlink ref="R191" r:id="rId237" xr:uid="{B8C1B999-111A-CC4A-95D3-2A13945BAD16}"/>
    <hyperlink ref="Q190" r:id="rId238" xr:uid="{0D5362FF-324E-EC43-893E-21146EB2A39A}"/>
    <hyperlink ref="Q188" r:id="rId239" xr:uid="{3C46EE40-9AA3-C448-89E7-2AB1C9BFEFB6}"/>
    <hyperlink ref="Q187" r:id="rId240" xr:uid="{114B4679-4FCA-B446-A3FF-1F1C885E94E2}"/>
    <hyperlink ref="Q186" r:id="rId241" xr:uid="{C68532BC-7949-C443-9D4B-E42F42B26F59}"/>
    <hyperlink ref="Q185" r:id="rId242" xr:uid="{AC4D2827-C75C-7C49-B079-AB689F86D17D}"/>
    <hyperlink ref="Q184" r:id="rId243" xr:uid="{ED7C9C3E-FE44-4B4B-AD8E-F36A820D3D90}"/>
    <hyperlink ref="R184" r:id="rId244" xr:uid="{FD402B53-6D94-6143-9F40-3AD941CC6192}"/>
    <hyperlink ref="Q180" r:id="rId245" xr:uid="{603824B3-3A06-7440-A7D3-A4CE19CDA084}"/>
    <hyperlink ref="R109" r:id="rId246" xr:uid="{DD18CD64-2FE3-1747-9B22-44FFF387986C}"/>
    <hyperlink ref="Q109" r:id="rId247" xr:uid="{FCA4057D-7EB6-1946-9C16-A7F622FA7207}"/>
    <hyperlink ref="Q110" r:id="rId248" xr:uid="{73AA73DB-A705-6647-A134-EE10208EEFDB}"/>
    <hyperlink ref="Q111" r:id="rId249" xr:uid="{EE3A5D28-A8AA-3E45-8F3D-8240BB0D3090}"/>
    <hyperlink ref="Q112" r:id="rId250" xr:uid="{2A71362B-65DF-F240-89CA-F86664585EDF}"/>
    <hyperlink ref="R112" r:id="rId251" xr:uid="{92487164-860F-274C-919B-7659E0D0F933}"/>
    <hyperlink ref="Q113" r:id="rId252" xr:uid="{A11E561A-5170-8442-B115-51713E65A5A5}"/>
    <hyperlink ref="Q114" r:id="rId253" xr:uid="{741F604A-304A-914C-B8EF-D52606D25748}"/>
    <hyperlink ref="R114" r:id="rId254" xr:uid="{0298079C-55AE-0741-B15E-9576EBED78E7}"/>
    <hyperlink ref="Q115" r:id="rId255" xr:uid="{1F3C6E9A-78E1-524A-8CFE-1B70361A0C0C}"/>
    <hyperlink ref="Q116" r:id="rId256" xr:uid="{A53A3D3C-8C1C-8641-BCD1-0693E3D384C1}"/>
    <hyperlink ref="Q118" r:id="rId257" xr:uid="{125ACA26-D8D3-2442-8B4D-8423882A6599}"/>
    <hyperlink ref="Q266" r:id="rId258" xr:uid="{370E49F3-32C7-EF4C-897C-347394475258}"/>
    <hyperlink ref="R266" r:id="rId259" xr:uid="{11D35193-084C-FF4B-B5B6-63BCF4292B37}"/>
    <hyperlink ref="Q120" r:id="rId260" xr:uid="{081FAD9A-13E7-C141-99EA-038DB8A9D079}"/>
    <hyperlink ref="Q121" r:id="rId261" xr:uid="{203694E1-6DAA-0341-A4CF-CB24DA98849B}"/>
    <hyperlink ref="Q124" r:id="rId262" xr:uid="{D68B206F-443F-D845-8C76-7C0C79FD123E}"/>
    <hyperlink ref="Q125" r:id="rId263" xr:uid="{D4844209-9097-254C-87D9-0896DBFD73FE}"/>
    <hyperlink ref="Q126" r:id="rId264" xr:uid="{02FA0955-ED94-9748-A6A3-1B9159AF1953}"/>
    <hyperlink ref="Q127" r:id="rId265" xr:uid="{F3411AF7-B28A-2B48-AEC2-393B8FBE6210}"/>
    <hyperlink ref="Q128" r:id="rId266" xr:uid="{5EEB92E3-A2C5-E544-B5E9-EA9C50144AF3}"/>
    <hyperlink ref="Q129" r:id="rId267" xr:uid="{894553BA-88C2-FC4D-8445-9F06DEFB7089}"/>
    <hyperlink ref="Q130" r:id="rId268" xr:uid="{565C06FC-3E40-6C41-8A0D-AF4976C460A1}"/>
    <hyperlink ref="Q131" r:id="rId269" xr:uid="{AC06A6D9-AB7D-E84E-9CA1-A549FA23F7F3}"/>
    <hyperlink ref="Q132" r:id="rId270" xr:uid="{47BF9C53-E647-D649-8171-E992633A6DC8}"/>
    <hyperlink ref="Q133" r:id="rId271" xr:uid="{8DE8AE3C-083B-CB4E-B116-8C8CC5BDB59F}"/>
    <hyperlink ref="Q134" r:id="rId272" xr:uid="{EBDE4DF3-33FF-AD4C-89E8-6982BD4AB4A1}"/>
    <hyperlink ref="Q135" r:id="rId273" xr:uid="{5C3A19DC-D3BB-C04A-A98F-4891BA9EB30E}"/>
    <hyperlink ref="Q136" r:id="rId274" xr:uid="{FE6FA384-EEA9-AD43-A24E-F3E31B88FB89}"/>
    <hyperlink ref="Q137" r:id="rId275" xr:uid="{A5090C98-CCAE-8C41-BF80-BB7AA2499809}"/>
    <hyperlink ref="R137" r:id="rId276" xr:uid="{7E0D3203-6427-2549-A449-65C044B06F3C}"/>
    <hyperlink ref="Q139" r:id="rId277" xr:uid="{EBEE91BC-1720-074B-8FB2-355713DAC8C7}"/>
    <hyperlink ref="R139" r:id="rId278" xr:uid="{6991C603-CEC1-DB46-BA9E-0DA2C8840073}"/>
    <hyperlink ref="Q140" r:id="rId279" xr:uid="{7BDDB7C8-A92A-414D-9F60-DCDF4F1DA546}"/>
    <hyperlink ref="Q142" r:id="rId280" xr:uid="{B5C5A836-4C66-B94A-8708-C6B40F89C6FD}"/>
    <hyperlink ref="Q143" r:id="rId281" xr:uid="{461F2981-23F4-3746-8E9A-7203828C9860}"/>
    <hyperlink ref="R143" r:id="rId282" xr:uid="{0769FB3D-3B95-894A-AB7D-BC350A6C3476}"/>
    <hyperlink ref="R268" r:id="rId283" xr:uid="{1A6D7B07-7E89-B947-8076-88FD7DE67FA2}"/>
    <hyperlink ref="Q144" r:id="rId284" xr:uid="{E2031BC5-4992-F64D-9641-B13FDB8D3627}"/>
    <hyperlink ref="Q145" r:id="rId285" xr:uid="{888F6404-ED87-0242-8C1C-E45ECA0CCF6A}"/>
    <hyperlink ref="Q147" r:id="rId286" xr:uid="{83C917A1-E0AB-1944-BF6F-BC25662C8C15}"/>
    <hyperlink ref="Q148" r:id="rId287" xr:uid="{D3923522-8380-EF4E-9451-8215CE10EC0C}"/>
    <hyperlink ref="Q149" r:id="rId288" xr:uid="{3832537D-88BC-1745-A49D-CB8B6EEEC5A4}"/>
    <hyperlink ref="R149" r:id="rId289" xr:uid="{9E7952E6-8B9F-A149-B1D4-1FE2A8653D1A}"/>
    <hyperlink ref="Q151" r:id="rId290" xr:uid="{A99A1910-B098-FF4E-92A3-03B5BDF37AC1}"/>
    <hyperlink ref="Q150" r:id="rId291" xr:uid="{B0C0995D-1737-C04E-BB10-CB3B939D88F5}"/>
    <hyperlink ref="R154" r:id="rId292" xr:uid="{278D77FC-66B7-E74F-AA66-CB33C5B0FFEB}"/>
    <hyperlink ref="R153" r:id="rId293" xr:uid="{6A7ED2CF-348F-D64F-8CF7-E18C202E27FC}"/>
    <hyperlink ref="Q153" r:id="rId294" xr:uid="{787F9B31-6E9A-2D41-A44E-5EB75B3A2CE6}"/>
    <hyperlink ref="Q154" r:id="rId295" xr:uid="{382916C7-9152-1743-8EB0-E2E56ED9A440}"/>
    <hyperlink ref="R155" r:id="rId296" xr:uid="{54AFE1DA-8169-FF46-BCCD-8834624E159F}"/>
    <hyperlink ref="Q155" r:id="rId297" xr:uid="{B7743748-6FF8-354D-A814-A600C3B42790}"/>
    <hyperlink ref="Q156" r:id="rId298" xr:uid="{A28DD8AA-DE70-2F4B-9A58-A25048963F29}"/>
    <hyperlink ref="Q158" r:id="rId299" xr:uid="{2B82EFDD-3F61-9A4C-8A0D-AAEE31A5C712}"/>
    <hyperlink ref="R159" r:id="rId300" xr:uid="{DA55D28E-03C4-5849-B2DF-5F5CAF9F1F9D}"/>
    <hyperlink ref="Q159" r:id="rId301" xr:uid="{62D838FC-5EC8-5446-8FBB-8B337688D1B2}"/>
    <hyperlink ref="Q160" r:id="rId302" xr:uid="{768B2D7C-8FC7-6E43-9056-65163E205AA8}"/>
    <hyperlink ref="R161" r:id="rId303" xr:uid="{3D6530A8-66A3-0140-8201-84577514DAEB}"/>
    <hyperlink ref="Q161" r:id="rId304" xr:uid="{14F380A8-BE55-4341-99CE-E789ED60A7D6}"/>
    <hyperlink ref="Q163" r:id="rId305" xr:uid="{EB72B4CE-E3D5-0446-A418-AACD32298916}"/>
    <hyperlink ref="R163" r:id="rId306" display="https://www.google.com/maps/@28.8176464,-81.8774908,3a,16.9y,174.93h,85.93t/data=!3m7!1e1!3m5!1sD1bpb9_7mud9RolGKF6C9w!2e0!6shttps:%2F%2Fstreetviewpixels-pa.googleapis.com%2Fv1%2Fthumbnail%3Fcb_client%3Dmaps_sv.tactile%26w%3D900%26h%3D600%26pitch%3D4.066419333309582%26panoid%3DD1bpb9_7mud9RolGKF6C9w%26yaw%3D174.92757615331712!7i16384!8i8192?entry=ttu&amp;g_ep=EgoyMDI2MDIwMS4wIKXMDSoASAFQAw%3D%3D" xr:uid="{446FDEC9-3298-7243-9096-AAC18A0FFA68}"/>
    <hyperlink ref="Q164" r:id="rId307" xr:uid="{15B72B7B-A369-BD4C-A93E-59E6FB4F1369}"/>
    <hyperlink ref="Q165" r:id="rId308" xr:uid="{F69DBF07-24B8-4746-B8C2-836C69922568}"/>
    <hyperlink ref="Q166" r:id="rId309" xr:uid="{0A42703E-712E-B440-9FFD-EA3B250795DB}"/>
    <hyperlink ref="R166" r:id="rId310" xr:uid="{4463A880-81C3-D54A-8EF1-A12CFDCC9205}"/>
    <hyperlink ref="Q167" r:id="rId311" xr:uid="{E29F9D05-6ADE-614C-94A0-9BED2932082B}"/>
    <hyperlink ref="R168" r:id="rId312" xr:uid="{A02C74C3-A221-5D44-AF97-2F0CE838087B}"/>
    <hyperlink ref="Q168" r:id="rId313" xr:uid="{E74700B0-FFA5-F54D-B24D-FE2D46B93D77}"/>
    <hyperlink ref="Q169" r:id="rId314" xr:uid="{8E4E1BBA-EF4A-3049-A8C7-223D63EDFEF7}"/>
    <hyperlink ref="Q170" r:id="rId315" xr:uid="{EA23D3E3-2E67-BB4B-B8B6-32711A6ADE13}"/>
    <hyperlink ref="Q171" r:id="rId316" xr:uid="{C50AF9CB-044E-0A49-821B-9ABA93BADC1E}"/>
    <hyperlink ref="Q172" r:id="rId317" xr:uid="{A681E6B7-977B-FE4F-936D-30F511113136}"/>
    <hyperlink ref="Q173" r:id="rId318" xr:uid="{FB2A231A-E3F6-234F-8CDC-EB3121E79016}"/>
    <hyperlink ref="Q174" r:id="rId319" xr:uid="{C682DEAD-8B0D-4A40-AB61-25F7BF1E127D}"/>
    <hyperlink ref="R174" r:id="rId320" xr:uid="{2EC44911-6421-9349-80F4-0789D725856B}"/>
    <hyperlink ref="Q177" r:id="rId321" xr:uid="{EE902AAC-A59C-644E-8D67-585C550AD88B}"/>
    <hyperlink ref="Q178" r:id="rId322" xr:uid="{97E8A355-714E-FE46-86D6-41908677AFC1}"/>
    <hyperlink ref="R178" r:id="rId323" xr:uid="{C6046332-22F4-D140-93B2-36F7A4255EF3}"/>
    <hyperlink ref="Q182" r:id="rId324" xr:uid="{71C923BC-FF85-7D4C-B4F5-3BE56E1D00B9}"/>
    <hyperlink ref="Q270" r:id="rId325" xr:uid="{DD3AFA6A-A7FD-0A41-9AA0-CB3B1EB90240}"/>
    <hyperlink ref="Q272" r:id="rId326" xr:uid="{42A92FC9-BBBD-A34A-94A7-1668807A9CE4}"/>
    <hyperlink ref="Q268" r:id="rId327" xr:uid="{AA0424E0-9FE1-8445-AAAB-8EDE80A6BD92}"/>
    <hyperlink ref="Q4" r:id="rId328" xr:uid="{E3804973-0B42-1F42-8B54-B49D11433A7D}"/>
    <hyperlink ref="R236" r:id="rId329" xr:uid="{A12281AD-D269-EE44-A584-3511152F18E0}"/>
    <hyperlink ref="R247" r:id="rId330" xr:uid="{026D75E2-F8B9-5B45-8C99-D2767DAE4842}"/>
    <hyperlink ref="R237" r:id="rId331" xr:uid="{706F1B94-757E-0B40-9E45-2FD762730037}"/>
    <hyperlink ref="R252" r:id="rId332" xr:uid="{478EE5CB-9652-2C4C-9871-2F9D98C4CD04}"/>
    <hyperlink ref="Q218" r:id="rId333" xr:uid="{0642DEDA-2700-B247-87DA-5817013CF633}"/>
    <hyperlink ref="Q219" r:id="rId334" xr:uid="{0A50F295-E5EC-994D-8750-1C40D2577A00}"/>
    <hyperlink ref="Q221" r:id="rId335" xr:uid="{343D21F5-80DB-CC47-91CA-F7D548706303}"/>
    <hyperlink ref="Q344" r:id="rId336" xr:uid="{DEF06C50-C279-3C40-9A77-D1E48D29387C}"/>
    <hyperlink ref="Q222" r:id="rId337" xr:uid="{87414863-825E-EE43-8C7D-6AEE5055E32D}"/>
    <hyperlink ref="Q223" r:id="rId338" xr:uid="{DA2C1F77-3DFE-3448-B8F5-3D35D8A2B4FB}"/>
    <hyperlink ref="R224" r:id="rId339" xr:uid="{BD9F1B5F-C1AB-014D-A4E6-09FF7DBFA669}"/>
    <hyperlink ref="Q224" r:id="rId340" xr:uid="{03346344-59F9-3145-BEEF-1506599BA015}"/>
    <hyperlink ref="Q225" r:id="rId341" xr:uid="{5F920A99-811B-2545-8C35-CFC35F92A932}"/>
    <hyperlink ref="Q226" r:id="rId342" xr:uid="{2E6032E5-2BF4-C341-A5B7-AE01E6BA0C4A}"/>
    <hyperlink ref="Q227" r:id="rId343" xr:uid="{1E3ACB7E-6F82-614B-B98E-2FBE4342A5A0}"/>
    <hyperlink ref="Q228" r:id="rId344" xr:uid="{EBAB9A78-9BEE-3C43-9C56-FDA7F86C1716}"/>
    <hyperlink ref="Q229" r:id="rId345" xr:uid="{D5BEFE0C-13BA-6C4C-A666-3ED02DB2DBA4}"/>
    <hyperlink ref="Q250" r:id="rId346" xr:uid="{804BA51C-2405-A54C-8B45-013442E642BA}"/>
    <hyperlink ref="Q231" r:id="rId347" xr:uid="{05216559-56BA-8741-83BA-41266BBB8949}"/>
    <hyperlink ref="Q232" r:id="rId348" xr:uid="{82290093-9208-A34F-A776-5740463ECC3C}"/>
  </hyperlinks>
  <pageMargins left="0.7" right="0.7" top="0.75" bottom="0.75" header="0.3" footer="0.3"/>
  <tableParts count="1">
    <tablePart r:id="rId34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A95A-49F7-2841-9174-6520BAC335CB}">
  <dimension ref="A1:W197"/>
  <sheetViews>
    <sheetView topLeftCell="B132" workbookViewId="0">
      <selection activeCell="L121" sqref="L121"/>
    </sheetView>
  </sheetViews>
  <sheetFormatPr baseColWidth="10" defaultRowHeight="16"/>
  <cols>
    <col min="1" max="1" width="31.83203125" customWidth="1"/>
    <col min="2" max="2" width="26.83203125" customWidth="1"/>
    <col min="3" max="3" width="15.83203125" customWidth="1"/>
    <col min="4" max="4" width="18.83203125" customWidth="1"/>
    <col min="5" max="6" width="14.6640625" customWidth="1"/>
    <col min="7" max="7" width="18.5" customWidth="1"/>
    <col min="8" max="8" width="17.1640625" customWidth="1"/>
    <col min="9" max="9" width="21" customWidth="1"/>
    <col min="10" max="13" width="0" hidden="1" customWidth="1"/>
    <col min="14" max="14" width="22.6640625" customWidth="1"/>
    <col min="15" max="15" width="0" hidden="1" customWidth="1"/>
    <col min="16" max="16" width="35" customWidth="1"/>
    <col min="17" max="17" width="255.83203125" hidden="1" customWidth="1"/>
    <col min="18" max="18" width="255.83203125" bestFit="1" customWidth="1"/>
    <col min="19" max="19" width="35.1640625" bestFit="1" customWidth="1"/>
    <col min="20" max="20" width="20.33203125" customWidth="1"/>
    <col min="21" max="21" width="36.6640625" customWidth="1"/>
    <col min="23" max="23" width="20.5" customWidth="1"/>
  </cols>
  <sheetData>
    <row r="1" spans="1:23">
      <c r="A1" t="s">
        <v>6316</v>
      </c>
    </row>
    <row r="2" spans="1:23" ht="28">
      <c r="A2" s="1" t="s">
        <v>0</v>
      </c>
      <c r="B2" s="2" t="s">
        <v>1</v>
      </c>
      <c r="C2" s="3" t="s">
        <v>2</v>
      </c>
      <c r="D2" s="4" t="s">
        <v>3</v>
      </c>
      <c r="E2" s="5" t="s">
        <v>4</v>
      </c>
      <c r="F2" s="6" t="s">
        <v>5</v>
      </c>
      <c r="G2" s="7" t="s">
        <v>6</v>
      </c>
      <c r="H2" s="7" t="s">
        <v>7</v>
      </c>
      <c r="I2" s="8" t="s">
        <v>8</v>
      </c>
      <c r="J2" s="9" t="s">
        <v>9</v>
      </c>
      <c r="K2" s="2" t="s">
        <v>10</v>
      </c>
      <c r="L2" s="2" t="s">
        <v>11</v>
      </c>
      <c r="M2" s="2" t="s">
        <v>12</v>
      </c>
      <c r="N2" s="2" t="s">
        <v>13</v>
      </c>
      <c r="O2" s="2" t="s">
        <v>14</v>
      </c>
      <c r="P2" s="10" t="s">
        <v>15</v>
      </c>
      <c r="Q2" s="2" t="s">
        <v>16</v>
      </c>
      <c r="R2" s="2" t="s">
        <v>17</v>
      </c>
      <c r="S2" s="2" t="s">
        <v>18</v>
      </c>
      <c r="T2" s="51" t="s">
        <v>6199</v>
      </c>
      <c r="U2" s="50" t="s">
        <v>6320</v>
      </c>
      <c r="V2" s="50" t="s">
        <v>6224</v>
      </c>
      <c r="W2" s="50" t="s">
        <v>6233</v>
      </c>
    </row>
    <row r="3" spans="1:23" ht="51">
      <c r="A3">
        <v>3</v>
      </c>
      <c r="B3" s="11" t="s">
        <v>523</v>
      </c>
      <c r="C3" s="23" t="s">
        <v>33</v>
      </c>
      <c r="D3" s="13" t="s">
        <v>428</v>
      </c>
      <c r="E3" s="14">
        <v>5000000</v>
      </c>
      <c r="F3" s="15">
        <f t="shared" ref="F3:F34" si="0">E3/G3</f>
        <v>405.28491529545272</v>
      </c>
      <c r="G3" s="16">
        <v>12337</v>
      </c>
      <c r="H3" s="16">
        <v>14132</v>
      </c>
      <c r="I3" s="17" t="s">
        <v>6379</v>
      </c>
      <c r="J3" s="18" t="s">
        <v>415</v>
      </c>
      <c r="K3" s="19" t="s">
        <v>48</v>
      </c>
      <c r="L3" s="19" t="s">
        <v>127</v>
      </c>
      <c r="M3" s="19" t="s">
        <v>525</v>
      </c>
      <c r="N3" s="52" t="s">
        <v>6212</v>
      </c>
      <c r="O3" s="20" t="s">
        <v>27</v>
      </c>
      <c r="P3" s="21" t="s">
        <v>6202</v>
      </c>
      <c r="Q3" s="22" t="s">
        <v>526</v>
      </c>
      <c r="R3" s="22" t="s">
        <v>527</v>
      </c>
      <c r="S3" s="20"/>
      <c r="T3" s="20" t="str">
        <f t="shared" ref="T3:T34" si="1">IF(OR(J3="",D3=""),"Unknown",IF(LEFT(D3,4)*1-J3*1&lt;=10,"New",IF(LEFT(D3,4)*1-J3*1&lt;=25,"Normal","Old")))</f>
        <v>Normal</v>
      </c>
      <c r="U3" t="s">
        <v>6318</v>
      </c>
      <c r="V3" s="67">
        <f>LEFT(D3,4)*1</f>
        <v>2021</v>
      </c>
      <c r="W3" t="s">
        <v>6655</v>
      </c>
    </row>
    <row r="4" spans="1:23" ht="51">
      <c r="A4">
        <v>3</v>
      </c>
      <c r="B4" s="11" t="s">
        <v>1175</v>
      </c>
      <c r="C4" s="12" t="s">
        <v>184</v>
      </c>
      <c r="D4" s="13" t="s">
        <v>428</v>
      </c>
      <c r="E4" s="14">
        <v>3060000</v>
      </c>
      <c r="F4" s="15">
        <f t="shared" si="0"/>
        <v>278.71390837052553</v>
      </c>
      <c r="G4" s="16">
        <v>10979</v>
      </c>
      <c r="H4" s="16">
        <v>12986</v>
      </c>
      <c r="I4" s="17" t="s">
        <v>6377</v>
      </c>
      <c r="J4" s="18" t="s">
        <v>287</v>
      </c>
      <c r="K4" s="19" t="s">
        <v>48</v>
      </c>
      <c r="L4" s="19"/>
      <c r="M4" s="19" t="s">
        <v>1177</v>
      </c>
      <c r="N4" s="52" t="s">
        <v>6212</v>
      </c>
      <c r="O4" s="20" t="s">
        <v>27</v>
      </c>
      <c r="P4" s="21" t="s">
        <v>6207</v>
      </c>
      <c r="Q4" s="22" t="s">
        <v>1178</v>
      </c>
      <c r="R4" s="22" t="s">
        <v>1179</v>
      </c>
      <c r="S4" s="20"/>
      <c r="T4" s="20" t="str">
        <f t="shared" si="1"/>
        <v>New</v>
      </c>
      <c r="U4" t="s">
        <v>6318</v>
      </c>
      <c r="V4" s="67">
        <f t="shared" ref="V4:V67" si="2">LEFT(D4,4)*1</f>
        <v>2021</v>
      </c>
      <c r="W4" t="s">
        <v>6655</v>
      </c>
    </row>
    <row r="5" spans="1:23" ht="34">
      <c r="A5">
        <v>3</v>
      </c>
      <c r="B5" s="11" t="s">
        <v>657</v>
      </c>
      <c r="C5" s="23" t="s">
        <v>33</v>
      </c>
      <c r="D5" s="13" t="s">
        <v>658</v>
      </c>
      <c r="E5" s="14">
        <v>33444697</v>
      </c>
      <c r="F5" s="15">
        <f t="shared" si="0"/>
        <v>478.33488751269329</v>
      </c>
      <c r="G5" s="16">
        <v>69919</v>
      </c>
      <c r="H5" s="16">
        <v>77729</v>
      </c>
      <c r="I5" s="17" t="s">
        <v>659</v>
      </c>
      <c r="J5" s="18" t="s">
        <v>47</v>
      </c>
      <c r="K5" s="19" t="s">
        <v>48</v>
      </c>
      <c r="L5" s="19" t="s">
        <v>152</v>
      </c>
      <c r="M5" s="19" t="s">
        <v>660</v>
      </c>
      <c r="N5" s="52" t="s">
        <v>6212</v>
      </c>
      <c r="O5" s="20" t="s">
        <v>27</v>
      </c>
      <c r="P5" s="21" t="s">
        <v>6204</v>
      </c>
      <c r="Q5" s="22" t="s">
        <v>661</v>
      </c>
      <c r="R5" s="22" t="s">
        <v>662</v>
      </c>
      <c r="S5" s="20"/>
      <c r="T5" s="20" t="str">
        <f t="shared" si="1"/>
        <v>New</v>
      </c>
      <c r="V5" s="67">
        <f t="shared" si="2"/>
        <v>2025</v>
      </c>
      <c r="W5" t="s">
        <v>6656</v>
      </c>
    </row>
    <row r="6" spans="1:23" ht="68">
      <c r="A6">
        <v>3</v>
      </c>
      <c r="B6" s="11" t="s">
        <v>559</v>
      </c>
      <c r="C6" s="23" t="s">
        <v>33</v>
      </c>
      <c r="D6" s="13" t="s">
        <v>64</v>
      </c>
      <c r="E6" s="14">
        <v>10221900</v>
      </c>
      <c r="F6" s="15">
        <f t="shared" si="0"/>
        <v>651.90688775510205</v>
      </c>
      <c r="G6" s="16">
        <v>15680</v>
      </c>
      <c r="H6" s="16">
        <v>20440</v>
      </c>
      <c r="I6" s="17" t="s">
        <v>524</v>
      </c>
      <c r="J6" s="18" t="s">
        <v>560</v>
      </c>
      <c r="K6" s="19" t="s">
        <v>48</v>
      </c>
      <c r="L6" s="19" t="s">
        <v>143</v>
      </c>
      <c r="M6" s="19" t="s">
        <v>561</v>
      </c>
      <c r="N6" s="52" t="s">
        <v>6212</v>
      </c>
      <c r="O6" s="20" t="s">
        <v>27</v>
      </c>
      <c r="P6" s="21" t="s">
        <v>6203</v>
      </c>
      <c r="Q6" s="22" t="s">
        <v>562</v>
      </c>
      <c r="R6" s="22" t="s">
        <v>563</v>
      </c>
      <c r="S6" s="20"/>
      <c r="T6" s="20" t="str">
        <f t="shared" si="1"/>
        <v>Old</v>
      </c>
      <c r="U6" t="s">
        <v>6318</v>
      </c>
      <c r="V6" s="67">
        <f t="shared" si="2"/>
        <v>2021</v>
      </c>
      <c r="W6" t="s">
        <v>6655</v>
      </c>
    </row>
    <row r="7" spans="1:23" ht="51">
      <c r="A7">
        <v>3</v>
      </c>
      <c r="B7" s="11" t="s">
        <v>1194</v>
      </c>
      <c r="C7" s="12" t="s">
        <v>184</v>
      </c>
      <c r="D7" s="13" t="s">
        <v>307</v>
      </c>
      <c r="E7" s="14">
        <v>1340800</v>
      </c>
      <c r="F7" s="15">
        <f t="shared" si="0"/>
        <v>111.71471421429762</v>
      </c>
      <c r="G7" s="16">
        <v>12002</v>
      </c>
      <c r="H7" s="16">
        <v>12360</v>
      </c>
      <c r="I7" s="17" t="s">
        <v>6335</v>
      </c>
      <c r="J7" s="18" t="s">
        <v>209</v>
      </c>
      <c r="K7" s="19" t="s">
        <v>48</v>
      </c>
      <c r="L7" s="19"/>
      <c r="M7" s="19" t="s">
        <v>1196</v>
      </c>
      <c r="N7" s="52" t="s">
        <v>6212</v>
      </c>
      <c r="O7" s="20" t="s">
        <v>27</v>
      </c>
      <c r="P7" s="21" t="s">
        <v>6208</v>
      </c>
      <c r="Q7" s="22" t="s">
        <v>1197</v>
      </c>
      <c r="R7" s="22" t="s">
        <v>1198</v>
      </c>
      <c r="S7" s="20"/>
      <c r="T7" s="20" t="str">
        <f t="shared" si="1"/>
        <v>New</v>
      </c>
      <c r="U7" t="s">
        <v>6318</v>
      </c>
      <c r="V7" s="67">
        <f t="shared" si="2"/>
        <v>2020</v>
      </c>
      <c r="W7" t="s">
        <v>6655</v>
      </c>
    </row>
    <row r="8" spans="1:23" ht="34">
      <c r="A8">
        <v>3</v>
      </c>
      <c r="B8" s="11" t="s">
        <v>677</v>
      </c>
      <c r="C8" s="23" t="s">
        <v>678</v>
      </c>
      <c r="D8" s="13" t="s">
        <v>658</v>
      </c>
      <c r="E8" s="14">
        <v>5150000</v>
      </c>
      <c r="F8" s="15">
        <f t="shared" si="0"/>
        <v>412.66025641025641</v>
      </c>
      <c r="G8" s="16">
        <v>12480</v>
      </c>
      <c r="H8" s="16">
        <v>12720</v>
      </c>
      <c r="I8" s="17" t="s">
        <v>679</v>
      </c>
      <c r="J8" s="18" t="s">
        <v>201</v>
      </c>
      <c r="K8" s="19" t="s">
        <v>680</v>
      </c>
      <c r="L8" s="19" t="s">
        <v>681</v>
      </c>
      <c r="M8" s="19" t="s">
        <v>682</v>
      </c>
      <c r="N8" s="52" t="s">
        <v>6212</v>
      </c>
      <c r="O8" s="20" t="s">
        <v>27</v>
      </c>
      <c r="P8" s="21" t="s">
        <v>6205</v>
      </c>
      <c r="Q8" s="22" t="s">
        <v>683</v>
      </c>
      <c r="R8" s="22" t="s">
        <v>684</v>
      </c>
      <c r="S8" s="20"/>
      <c r="T8" s="20" t="str">
        <f t="shared" si="1"/>
        <v>New</v>
      </c>
      <c r="U8" t="s">
        <v>6318</v>
      </c>
      <c r="V8" s="67">
        <f t="shared" si="2"/>
        <v>2025</v>
      </c>
      <c r="W8" t="s">
        <v>6655</v>
      </c>
    </row>
    <row r="9" spans="1:23" ht="34">
      <c r="A9">
        <v>3</v>
      </c>
      <c r="B9" s="29" t="s">
        <v>1013</v>
      </c>
      <c r="C9" s="12" t="s">
        <v>20</v>
      </c>
      <c r="D9" s="30" t="s">
        <v>293</v>
      </c>
      <c r="E9" s="38">
        <v>3889000</v>
      </c>
      <c r="F9" s="15">
        <f t="shared" si="0"/>
        <v>136.42741878902686</v>
      </c>
      <c r="G9" s="33">
        <v>28506</v>
      </c>
      <c r="H9" s="33">
        <v>28506</v>
      </c>
      <c r="I9" s="34" t="s">
        <v>1014</v>
      </c>
      <c r="J9" s="35">
        <v>2024</v>
      </c>
      <c r="K9" s="30" t="s">
        <v>1015</v>
      </c>
      <c r="L9" s="30"/>
      <c r="M9" s="30" t="s">
        <v>1016</v>
      </c>
      <c r="N9" s="52" t="s">
        <v>6212</v>
      </c>
      <c r="O9" s="20" t="s">
        <v>27</v>
      </c>
      <c r="P9" s="21" t="s">
        <v>6206</v>
      </c>
      <c r="Q9" s="20" t="s">
        <v>1017</v>
      </c>
      <c r="R9" s="22" t="s">
        <v>1018</v>
      </c>
      <c r="S9" s="20"/>
      <c r="T9" s="20" t="str">
        <f t="shared" si="1"/>
        <v>New</v>
      </c>
      <c r="V9" s="67">
        <f t="shared" si="2"/>
        <v>2023</v>
      </c>
      <c r="W9" t="s">
        <v>6656</v>
      </c>
    </row>
    <row r="10" spans="1:23" ht="34">
      <c r="A10">
        <v>3</v>
      </c>
      <c r="B10" s="11" t="s">
        <v>1387</v>
      </c>
      <c r="C10" s="12" t="s">
        <v>20</v>
      </c>
      <c r="D10" s="13" t="s">
        <v>356</v>
      </c>
      <c r="E10" s="14">
        <v>9998200</v>
      </c>
      <c r="F10" s="15">
        <f t="shared" si="0"/>
        <v>587.19680507429382</v>
      </c>
      <c r="G10" s="16">
        <v>17027</v>
      </c>
      <c r="H10" s="16">
        <v>17027</v>
      </c>
      <c r="I10" s="17" t="s">
        <v>1388</v>
      </c>
      <c r="J10" s="18" t="s">
        <v>262</v>
      </c>
      <c r="K10" s="19" t="s">
        <v>24</v>
      </c>
      <c r="L10" s="19"/>
      <c r="M10" s="19" t="s">
        <v>1389</v>
      </c>
      <c r="N10" s="52" t="s">
        <v>6212</v>
      </c>
      <c r="O10" s="20" t="s">
        <v>27</v>
      </c>
      <c r="P10" s="21" t="s">
        <v>6210</v>
      </c>
      <c r="Q10" s="22" t="s">
        <v>1390</v>
      </c>
      <c r="R10" s="22" t="s">
        <v>1391</v>
      </c>
      <c r="S10" s="20"/>
      <c r="T10" s="20" t="str">
        <f t="shared" si="1"/>
        <v>New</v>
      </c>
      <c r="U10" t="s">
        <v>6318</v>
      </c>
      <c r="V10" s="67">
        <f t="shared" si="2"/>
        <v>2024</v>
      </c>
      <c r="W10" t="s">
        <v>6655</v>
      </c>
    </row>
    <row r="11" spans="1:23" ht="51">
      <c r="A11">
        <v>3</v>
      </c>
      <c r="B11" s="11" t="s">
        <v>1276</v>
      </c>
      <c r="C11" s="12" t="s">
        <v>20</v>
      </c>
      <c r="D11" s="13" t="s">
        <v>330</v>
      </c>
      <c r="E11" s="14">
        <v>550000</v>
      </c>
      <c r="F11" s="15">
        <f t="shared" si="0"/>
        <v>45.304777594728172</v>
      </c>
      <c r="G11" s="16">
        <v>12140</v>
      </c>
      <c r="H11" s="16">
        <v>12140</v>
      </c>
      <c r="I11" s="17" t="s">
        <v>6334</v>
      </c>
      <c r="J11" s="18" t="s">
        <v>287</v>
      </c>
      <c r="K11" s="19" t="s">
        <v>24</v>
      </c>
      <c r="L11" s="19"/>
      <c r="M11" s="19" t="s">
        <v>1278</v>
      </c>
      <c r="N11" s="52" t="s">
        <v>6212</v>
      </c>
      <c r="O11" s="20" t="s">
        <v>27</v>
      </c>
      <c r="P11" s="21" t="s">
        <v>6209</v>
      </c>
      <c r="Q11" s="22" t="s">
        <v>1279</v>
      </c>
      <c r="R11" s="22" t="s">
        <v>1280</v>
      </c>
      <c r="S11" s="20"/>
      <c r="T11" s="20" t="str">
        <f t="shared" si="1"/>
        <v>New</v>
      </c>
      <c r="V11" s="67">
        <f t="shared" si="2"/>
        <v>2020</v>
      </c>
      <c r="W11" t="s">
        <v>6655</v>
      </c>
    </row>
    <row r="12" spans="1:23" ht="68">
      <c r="A12">
        <v>3</v>
      </c>
      <c r="B12" s="11" t="s">
        <v>455</v>
      </c>
      <c r="C12" s="23" t="s">
        <v>33</v>
      </c>
      <c r="D12" s="13" t="s">
        <v>223</v>
      </c>
      <c r="E12" s="14">
        <v>15500000</v>
      </c>
      <c r="F12" s="15">
        <f t="shared" si="0"/>
        <v>1500.3387861775238</v>
      </c>
      <c r="G12" s="16">
        <v>10331</v>
      </c>
      <c r="H12" s="16">
        <v>12626</v>
      </c>
      <c r="I12" s="17" t="s">
        <v>6381</v>
      </c>
      <c r="J12" s="18" t="s">
        <v>47</v>
      </c>
      <c r="K12" s="19" t="s">
        <v>48</v>
      </c>
      <c r="L12" s="19" t="s">
        <v>457</v>
      </c>
      <c r="M12" s="19" t="s">
        <v>458</v>
      </c>
      <c r="N12" s="52" t="s">
        <v>6212</v>
      </c>
      <c r="O12" s="20" t="s">
        <v>27</v>
      </c>
      <c r="P12" s="21" t="s">
        <v>6201</v>
      </c>
      <c r="Q12" s="22" t="s">
        <v>459</v>
      </c>
      <c r="R12" s="22" t="s">
        <v>460</v>
      </c>
      <c r="S12" s="20"/>
      <c r="T12" s="20" t="str">
        <f t="shared" si="1"/>
        <v>New</v>
      </c>
      <c r="U12" t="s">
        <v>6318</v>
      </c>
      <c r="V12" s="67">
        <f t="shared" si="2"/>
        <v>2021</v>
      </c>
      <c r="W12" t="s">
        <v>6655</v>
      </c>
    </row>
    <row r="13" spans="1:23" ht="34">
      <c r="A13">
        <v>3</v>
      </c>
      <c r="B13" s="29" t="s">
        <v>1043</v>
      </c>
      <c r="C13" s="12" t="s">
        <v>20</v>
      </c>
      <c r="D13" s="30" t="s">
        <v>253</v>
      </c>
      <c r="E13" s="38">
        <v>4100000</v>
      </c>
      <c r="F13" s="15">
        <f t="shared" si="0"/>
        <v>227.77777777777777</v>
      </c>
      <c r="G13" s="33">
        <v>18000</v>
      </c>
      <c r="H13" s="33">
        <v>18000</v>
      </c>
      <c r="I13" s="34" t="s">
        <v>6431</v>
      </c>
      <c r="J13" s="35">
        <v>1997</v>
      </c>
      <c r="K13" s="30" t="s">
        <v>24</v>
      </c>
      <c r="L13" s="30"/>
      <c r="M13" s="30" t="s">
        <v>1045</v>
      </c>
      <c r="N13" s="52" t="s">
        <v>26</v>
      </c>
      <c r="O13" s="20" t="s">
        <v>27</v>
      </c>
      <c r="P13" s="21" t="s">
        <v>1046</v>
      </c>
      <c r="Q13" s="22" t="s">
        <v>1047</v>
      </c>
      <c r="R13" s="22" t="s">
        <v>1048</v>
      </c>
      <c r="S13" s="20"/>
      <c r="T13" s="20" t="str">
        <f t="shared" si="1"/>
        <v>Normal</v>
      </c>
      <c r="U13" t="s">
        <v>6318</v>
      </c>
      <c r="V13" s="67">
        <f t="shared" si="2"/>
        <v>2022</v>
      </c>
      <c r="W13" t="s">
        <v>6655</v>
      </c>
    </row>
    <row r="14" spans="1:23" ht="51">
      <c r="A14">
        <v>3</v>
      </c>
      <c r="B14" s="11" t="s">
        <v>853</v>
      </c>
      <c r="C14" s="23" t="s">
        <v>678</v>
      </c>
      <c r="D14" s="13" t="s">
        <v>336</v>
      </c>
      <c r="E14" s="24">
        <v>3552600</v>
      </c>
      <c r="F14" s="15">
        <f t="shared" si="0"/>
        <v>466.9558359621451</v>
      </c>
      <c r="G14" s="16">
        <v>7608</v>
      </c>
      <c r="H14" s="16">
        <v>8124</v>
      </c>
      <c r="I14" s="17" t="s">
        <v>6515</v>
      </c>
      <c r="J14" s="18" t="s">
        <v>201</v>
      </c>
      <c r="K14" s="19" t="s">
        <v>680</v>
      </c>
      <c r="L14" s="19" t="s">
        <v>855</v>
      </c>
      <c r="M14" s="19" t="s">
        <v>856</v>
      </c>
      <c r="N14" s="52" t="s">
        <v>6212</v>
      </c>
      <c r="O14" s="20" t="s">
        <v>27</v>
      </c>
      <c r="P14" s="21" t="s">
        <v>6515</v>
      </c>
      <c r="Q14" s="26" t="s">
        <v>857</v>
      </c>
      <c r="R14" s="26" t="s">
        <v>858</v>
      </c>
      <c r="S14" s="20"/>
      <c r="T14" s="20" t="str">
        <f t="shared" si="1"/>
        <v>New</v>
      </c>
      <c r="U14" t="s">
        <v>6318</v>
      </c>
      <c r="V14" s="67">
        <f t="shared" si="2"/>
        <v>2021</v>
      </c>
      <c r="W14" t="s">
        <v>6657</v>
      </c>
    </row>
    <row r="15" spans="1:23" ht="17">
      <c r="A15">
        <v>3</v>
      </c>
      <c r="B15" s="11" t="s">
        <v>737</v>
      </c>
      <c r="C15" s="23" t="s">
        <v>678</v>
      </c>
      <c r="D15" s="13" t="s">
        <v>428</v>
      </c>
      <c r="E15" s="24">
        <v>1010000</v>
      </c>
      <c r="F15" s="15">
        <f t="shared" si="0"/>
        <v>175.49956559513467</v>
      </c>
      <c r="G15" s="16">
        <v>5755</v>
      </c>
      <c r="H15" s="16">
        <v>5959</v>
      </c>
      <c r="I15" s="17" t="s">
        <v>738</v>
      </c>
      <c r="J15" s="18" t="s">
        <v>92</v>
      </c>
      <c r="K15" s="19" t="s">
        <v>680</v>
      </c>
      <c r="L15" s="19" t="s">
        <v>739</v>
      </c>
      <c r="M15" s="19" t="s">
        <v>740</v>
      </c>
      <c r="N15" s="52" t="s">
        <v>26</v>
      </c>
      <c r="O15" s="20" t="s">
        <v>27</v>
      </c>
      <c r="P15" s="21" t="s">
        <v>741</v>
      </c>
      <c r="Q15" s="26" t="s">
        <v>742</v>
      </c>
      <c r="R15" s="20" t="s">
        <v>743</v>
      </c>
      <c r="S15" s="20"/>
      <c r="T15" s="20" t="str">
        <f t="shared" si="1"/>
        <v>Normal</v>
      </c>
      <c r="U15" t="s">
        <v>6318</v>
      </c>
      <c r="V15" s="67">
        <f t="shared" si="2"/>
        <v>2021</v>
      </c>
      <c r="W15" t="s">
        <v>6658</v>
      </c>
    </row>
    <row r="16" spans="1:23" ht="32">
      <c r="A16">
        <v>3</v>
      </c>
      <c r="B16" s="29" t="s">
        <v>901</v>
      </c>
      <c r="C16" s="12" t="s">
        <v>20</v>
      </c>
      <c r="D16" s="30" t="s">
        <v>450</v>
      </c>
      <c r="E16" s="31">
        <v>1340000</v>
      </c>
      <c r="F16" s="15">
        <f t="shared" si="0"/>
        <v>517.97448782373408</v>
      </c>
      <c r="G16" s="33">
        <v>2587</v>
      </c>
      <c r="H16" s="33">
        <v>2587</v>
      </c>
      <c r="I16" s="34" t="s">
        <v>902</v>
      </c>
      <c r="J16" s="35">
        <v>2007</v>
      </c>
      <c r="K16" s="30" t="s">
        <v>172</v>
      </c>
      <c r="L16" s="30"/>
      <c r="M16" s="30" t="s">
        <v>903</v>
      </c>
      <c r="N16" s="52" t="s">
        <v>26</v>
      </c>
      <c r="O16" s="20" t="s">
        <v>27</v>
      </c>
      <c r="P16" s="21" t="s">
        <v>6530</v>
      </c>
      <c r="Q16" s="26" t="s">
        <v>904</v>
      </c>
      <c r="R16" s="20" t="s">
        <v>905</v>
      </c>
      <c r="S16" s="20"/>
      <c r="T16" s="20" t="str">
        <f t="shared" si="1"/>
        <v>Normal</v>
      </c>
      <c r="V16" s="67">
        <f t="shared" si="2"/>
        <v>2020</v>
      </c>
      <c r="W16" t="s">
        <v>6659</v>
      </c>
    </row>
    <row r="17" spans="1:23" ht="34">
      <c r="A17">
        <v>3</v>
      </c>
      <c r="B17" s="11" t="s">
        <v>140</v>
      </c>
      <c r="C17" s="23" t="s">
        <v>33</v>
      </c>
      <c r="D17" s="13" t="s">
        <v>141</v>
      </c>
      <c r="E17" s="24">
        <v>925000</v>
      </c>
      <c r="F17" s="15">
        <f t="shared" si="0"/>
        <v>262.41134751773052</v>
      </c>
      <c r="G17" s="16">
        <v>3525</v>
      </c>
      <c r="H17" s="16">
        <v>3525</v>
      </c>
      <c r="I17" s="17" t="s">
        <v>6426</v>
      </c>
      <c r="J17" s="18" t="s">
        <v>135</v>
      </c>
      <c r="K17" s="19" t="s">
        <v>48</v>
      </c>
      <c r="L17" s="19" t="s">
        <v>143</v>
      </c>
      <c r="M17" s="19" t="s">
        <v>144</v>
      </c>
      <c r="N17" s="52" t="s">
        <v>26</v>
      </c>
      <c r="O17" s="20" t="s">
        <v>27</v>
      </c>
      <c r="P17" s="21" t="s">
        <v>145</v>
      </c>
      <c r="Q17" s="20" t="s">
        <v>146</v>
      </c>
      <c r="R17" s="26" t="s">
        <v>6200</v>
      </c>
      <c r="S17" s="20"/>
      <c r="T17" s="20" t="str">
        <f t="shared" si="1"/>
        <v>Old</v>
      </c>
      <c r="U17" t="s">
        <v>6318</v>
      </c>
      <c r="V17" s="67">
        <f t="shared" si="2"/>
        <v>2022</v>
      </c>
      <c r="W17" t="s">
        <v>6658</v>
      </c>
    </row>
    <row r="18" spans="1:23" ht="51">
      <c r="A18">
        <v>3</v>
      </c>
      <c r="B18" s="11" t="s">
        <v>721</v>
      </c>
      <c r="C18" s="23" t="s">
        <v>678</v>
      </c>
      <c r="D18" s="13" t="s">
        <v>722</v>
      </c>
      <c r="E18" s="24">
        <v>2002800</v>
      </c>
      <c r="F18" s="15">
        <f t="shared" si="0"/>
        <v>302.17260108630052</v>
      </c>
      <c r="G18" s="16">
        <v>6628</v>
      </c>
      <c r="H18" s="16">
        <v>6628</v>
      </c>
      <c r="I18" s="17" t="s">
        <v>723</v>
      </c>
      <c r="J18" s="18" t="s">
        <v>688</v>
      </c>
      <c r="K18" s="19" t="s">
        <v>680</v>
      </c>
      <c r="L18" s="19" t="s">
        <v>724</v>
      </c>
      <c r="M18" s="19" t="s">
        <v>725</v>
      </c>
      <c r="N18" s="52" t="s">
        <v>26</v>
      </c>
      <c r="O18" s="20" t="s">
        <v>27</v>
      </c>
      <c r="P18" s="21" t="s">
        <v>26</v>
      </c>
      <c r="Q18" s="26" t="s">
        <v>726</v>
      </c>
      <c r="R18" s="26" t="s">
        <v>727</v>
      </c>
      <c r="S18" s="20"/>
      <c r="T18" s="20" t="str">
        <f t="shared" si="1"/>
        <v>Normal</v>
      </c>
      <c r="U18" t="s">
        <v>6318</v>
      </c>
      <c r="V18" s="67">
        <f t="shared" si="2"/>
        <v>2024</v>
      </c>
      <c r="W18" t="s">
        <v>6657</v>
      </c>
    </row>
    <row r="19" spans="1:23" ht="34">
      <c r="A19">
        <v>3</v>
      </c>
      <c r="B19" s="11" t="s">
        <v>744</v>
      </c>
      <c r="C19" s="23" t="s">
        <v>678</v>
      </c>
      <c r="D19" s="13" t="s">
        <v>745</v>
      </c>
      <c r="E19" s="24">
        <v>2310000</v>
      </c>
      <c r="F19" s="15">
        <f t="shared" si="0"/>
        <v>320.83333333333331</v>
      </c>
      <c r="G19" s="16">
        <v>7200</v>
      </c>
      <c r="H19" s="16">
        <v>7200</v>
      </c>
      <c r="I19" s="17" t="s">
        <v>746</v>
      </c>
      <c r="J19" s="18" t="s">
        <v>747</v>
      </c>
      <c r="K19" s="19" t="s">
        <v>680</v>
      </c>
      <c r="L19" s="19" t="s">
        <v>739</v>
      </c>
      <c r="M19" s="19" t="s">
        <v>748</v>
      </c>
      <c r="N19" s="52" t="s">
        <v>26</v>
      </c>
      <c r="O19" s="20" t="s">
        <v>27</v>
      </c>
      <c r="P19" s="21" t="s">
        <v>749</v>
      </c>
      <c r="Q19" s="26" t="s">
        <v>750</v>
      </c>
      <c r="R19" s="20" t="s">
        <v>751</v>
      </c>
      <c r="S19" s="20" t="s">
        <v>752</v>
      </c>
      <c r="T19" s="20" t="str">
        <f t="shared" si="1"/>
        <v>Old</v>
      </c>
      <c r="U19" t="s">
        <v>6318</v>
      </c>
      <c r="V19" s="67">
        <f t="shared" si="2"/>
        <v>2025</v>
      </c>
      <c r="W19" t="s">
        <v>6657</v>
      </c>
    </row>
    <row r="20" spans="1:23" ht="34">
      <c r="A20">
        <v>3</v>
      </c>
      <c r="B20" s="11" t="s">
        <v>1281</v>
      </c>
      <c r="C20" s="12" t="s">
        <v>20</v>
      </c>
      <c r="D20" s="13" t="s">
        <v>428</v>
      </c>
      <c r="E20" s="24">
        <v>5050000</v>
      </c>
      <c r="F20" s="15">
        <f t="shared" si="0"/>
        <v>202.46161247644631</v>
      </c>
      <c r="G20" s="16">
        <v>24943</v>
      </c>
      <c r="H20" s="16">
        <v>24943</v>
      </c>
      <c r="I20" s="17" t="s">
        <v>1282</v>
      </c>
      <c r="J20" s="18" t="s">
        <v>126</v>
      </c>
      <c r="K20" s="19" t="s">
        <v>48</v>
      </c>
      <c r="L20" s="19"/>
      <c r="M20" s="19" t="s">
        <v>1283</v>
      </c>
      <c r="N20" s="52" t="s">
        <v>26</v>
      </c>
      <c r="O20" s="20" t="s">
        <v>27</v>
      </c>
      <c r="P20" s="21" t="s">
        <v>1284</v>
      </c>
      <c r="Q20" s="26" t="s">
        <v>1285</v>
      </c>
      <c r="R20" s="20" t="s">
        <v>1286</v>
      </c>
      <c r="S20" s="20"/>
      <c r="T20" s="20" t="str">
        <f t="shared" si="1"/>
        <v>Old</v>
      </c>
      <c r="U20" t="s">
        <v>6318</v>
      </c>
      <c r="V20" s="67">
        <f t="shared" si="2"/>
        <v>2021</v>
      </c>
      <c r="W20" t="s">
        <v>6656</v>
      </c>
    </row>
    <row r="21" spans="1:23" ht="34">
      <c r="A21">
        <v>3</v>
      </c>
      <c r="B21" s="11" t="s">
        <v>1248</v>
      </c>
      <c r="C21" s="12" t="s">
        <v>20</v>
      </c>
      <c r="D21" s="13" t="s">
        <v>253</v>
      </c>
      <c r="E21" s="24">
        <v>460000</v>
      </c>
      <c r="F21" s="15">
        <f t="shared" si="0"/>
        <v>180.39215686274511</v>
      </c>
      <c r="G21" s="16">
        <v>2550</v>
      </c>
      <c r="H21" s="16">
        <v>2550</v>
      </c>
      <c r="I21" s="17" t="s">
        <v>6422</v>
      </c>
      <c r="J21" s="18" t="s">
        <v>57</v>
      </c>
      <c r="K21" s="19" t="s">
        <v>172</v>
      </c>
      <c r="L21" s="19"/>
      <c r="M21" s="19" t="s">
        <v>1250</v>
      </c>
      <c r="N21" s="52" t="s">
        <v>26</v>
      </c>
      <c r="O21" s="20" t="s">
        <v>27</v>
      </c>
      <c r="P21" s="21" t="s">
        <v>1251</v>
      </c>
      <c r="Q21" s="26" t="s">
        <v>1252</v>
      </c>
      <c r="R21" s="20" t="s">
        <v>1253</v>
      </c>
      <c r="S21" s="20"/>
      <c r="T21" s="20" t="str">
        <f t="shared" si="1"/>
        <v>Old</v>
      </c>
      <c r="U21" t="s">
        <v>6318</v>
      </c>
      <c r="V21" s="67">
        <f t="shared" si="2"/>
        <v>2022</v>
      </c>
      <c r="W21" t="s">
        <v>6659</v>
      </c>
    </row>
    <row r="22" spans="1:23" ht="34">
      <c r="A22">
        <v>3</v>
      </c>
      <c r="B22" s="11" t="s">
        <v>292</v>
      </c>
      <c r="C22" s="23" t="s">
        <v>33</v>
      </c>
      <c r="D22" s="13" t="s">
        <v>293</v>
      </c>
      <c r="E22" s="24">
        <v>475000</v>
      </c>
      <c r="F22" s="15">
        <f t="shared" si="0"/>
        <v>102.81385281385282</v>
      </c>
      <c r="G22" s="16">
        <v>4620</v>
      </c>
      <c r="H22" s="16">
        <v>4745</v>
      </c>
      <c r="I22" s="17" t="s">
        <v>294</v>
      </c>
      <c r="J22" s="18" t="s">
        <v>47</v>
      </c>
      <c r="K22" s="19" t="s">
        <v>48</v>
      </c>
      <c r="L22" s="19" t="s">
        <v>67</v>
      </c>
      <c r="M22" s="19" t="s">
        <v>295</v>
      </c>
      <c r="N22" s="52" t="s">
        <v>26</v>
      </c>
      <c r="O22" s="20" t="s">
        <v>27</v>
      </c>
      <c r="P22" s="21" t="s">
        <v>296</v>
      </c>
      <c r="Q22" s="26" t="s">
        <v>297</v>
      </c>
      <c r="R22" s="20" t="s">
        <v>298</v>
      </c>
      <c r="S22" s="20"/>
      <c r="T22" s="20" t="str">
        <f t="shared" si="1"/>
        <v>New</v>
      </c>
      <c r="U22" t="s">
        <v>6318</v>
      </c>
      <c r="V22" s="67">
        <f t="shared" si="2"/>
        <v>2023</v>
      </c>
      <c r="W22" t="s">
        <v>6658</v>
      </c>
    </row>
    <row r="23" spans="1:23" ht="34">
      <c r="A23">
        <v>3</v>
      </c>
      <c r="B23" s="11" t="s">
        <v>341</v>
      </c>
      <c r="C23" s="23" t="s">
        <v>33</v>
      </c>
      <c r="D23" s="13" t="s">
        <v>90</v>
      </c>
      <c r="E23" s="24">
        <v>1650000</v>
      </c>
      <c r="F23" s="15">
        <f t="shared" si="0"/>
        <v>230.06134969325154</v>
      </c>
      <c r="G23" s="16">
        <v>7172</v>
      </c>
      <c r="H23" s="16">
        <v>7435</v>
      </c>
      <c r="I23" s="17" t="s">
        <v>6373</v>
      </c>
      <c r="J23" s="18" t="s">
        <v>233</v>
      </c>
      <c r="K23" s="19" t="s">
        <v>48</v>
      </c>
      <c r="L23" s="19" t="s">
        <v>343</v>
      </c>
      <c r="M23" s="19" t="s">
        <v>344</v>
      </c>
      <c r="N23" s="52" t="s">
        <v>26</v>
      </c>
      <c r="O23" s="20" t="s">
        <v>27</v>
      </c>
      <c r="P23" s="21" t="s">
        <v>345</v>
      </c>
      <c r="Q23" s="26" t="s">
        <v>346</v>
      </c>
      <c r="R23" s="20" t="s">
        <v>347</v>
      </c>
      <c r="S23" s="20"/>
      <c r="T23" s="20" t="str">
        <f t="shared" si="1"/>
        <v>New</v>
      </c>
      <c r="U23" t="s">
        <v>6318</v>
      </c>
      <c r="V23" s="67">
        <f t="shared" si="2"/>
        <v>2021</v>
      </c>
      <c r="W23" t="s">
        <v>6657</v>
      </c>
    </row>
    <row r="24" spans="1:23" ht="17">
      <c r="A24">
        <v>3</v>
      </c>
      <c r="B24" s="11" t="s">
        <v>1204</v>
      </c>
      <c r="C24" s="12" t="s">
        <v>20</v>
      </c>
      <c r="D24" s="13" t="s">
        <v>253</v>
      </c>
      <c r="E24" s="24">
        <v>3735000</v>
      </c>
      <c r="F24" s="15">
        <f t="shared" si="0"/>
        <v>647.08939708939704</v>
      </c>
      <c r="G24" s="16">
        <v>5772</v>
      </c>
      <c r="H24" s="16">
        <v>5772</v>
      </c>
      <c r="I24" s="17" t="s">
        <v>1205</v>
      </c>
      <c r="J24" s="18" t="s">
        <v>23</v>
      </c>
      <c r="K24" s="19" t="s">
        <v>24</v>
      </c>
      <c r="L24" s="19"/>
      <c r="M24" s="19" t="s">
        <v>1206</v>
      </c>
      <c r="N24" s="52" t="s">
        <v>1519</v>
      </c>
      <c r="O24" s="20" t="s">
        <v>27</v>
      </c>
      <c r="P24" s="21" t="s">
        <v>1207</v>
      </c>
      <c r="Q24" s="26" t="s">
        <v>1208</v>
      </c>
      <c r="R24" s="26" t="s">
        <v>1209</v>
      </c>
      <c r="S24" s="20"/>
      <c r="T24" s="20" t="str">
        <f t="shared" si="1"/>
        <v>Normal</v>
      </c>
      <c r="V24" s="67">
        <f t="shared" si="2"/>
        <v>2022</v>
      </c>
      <c r="W24" t="s">
        <v>6658</v>
      </c>
    </row>
    <row r="25" spans="1:23" ht="34">
      <c r="A25">
        <v>3</v>
      </c>
      <c r="B25" s="11" t="s">
        <v>597</v>
      </c>
      <c r="C25" s="23" t="s">
        <v>33</v>
      </c>
      <c r="D25" s="13" t="s">
        <v>90</v>
      </c>
      <c r="E25" s="24">
        <v>1150000</v>
      </c>
      <c r="F25" s="15">
        <f t="shared" si="0"/>
        <v>407.36804817569958</v>
      </c>
      <c r="G25" s="16">
        <v>2823</v>
      </c>
      <c r="H25" s="16">
        <v>3293</v>
      </c>
      <c r="I25" s="17" t="s">
        <v>6370</v>
      </c>
      <c r="J25" s="18" t="s">
        <v>599</v>
      </c>
      <c r="K25" s="19" t="s">
        <v>37</v>
      </c>
      <c r="L25" s="19" t="s">
        <v>143</v>
      </c>
      <c r="M25" s="19" t="s">
        <v>600</v>
      </c>
      <c r="N25" s="52" t="s">
        <v>26</v>
      </c>
      <c r="O25" s="20" t="s">
        <v>27</v>
      </c>
      <c r="P25" s="21" t="s">
        <v>601</v>
      </c>
      <c r="Q25" s="26" t="s">
        <v>602</v>
      </c>
      <c r="R25" s="20" t="s">
        <v>603</v>
      </c>
      <c r="S25" s="20"/>
      <c r="T25" s="20" t="str">
        <f t="shared" si="1"/>
        <v>Old</v>
      </c>
      <c r="U25" t="s">
        <v>6318</v>
      </c>
      <c r="V25" s="67">
        <f t="shared" si="2"/>
        <v>2021</v>
      </c>
      <c r="W25" t="s">
        <v>6659</v>
      </c>
    </row>
    <row r="26" spans="1:23" ht="34">
      <c r="A26">
        <v>3</v>
      </c>
      <c r="B26" s="11" t="s">
        <v>1120</v>
      </c>
      <c r="C26" s="12" t="s">
        <v>184</v>
      </c>
      <c r="D26" s="13" t="s">
        <v>407</v>
      </c>
      <c r="E26" s="24">
        <v>390000</v>
      </c>
      <c r="F26" s="15">
        <f t="shared" si="0"/>
        <v>106.73234811165845</v>
      </c>
      <c r="G26" s="16">
        <v>3654</v>
      </c>
      <c r="H26" s="16">
        <v>4134</v>
      </c>
      <c r="I26" s="17" t="s">
        <v>6420</v>
      </c>
      <c r="J26" s="18" t="s">
        <v>135</v>
      </c>
      <c r="K26" s="19" t="s">
        <v>48</v>
      </c>
      <c r="L26" s="19"/>
      <c r="M26" s="19" t="s">
        <v>1122</v>
      </c>
      <c r="N26" s="52" t="s">
        <v>26</v>
      </c>
      <c r="O26" s="20" t="s">
        <v>27</v>
      </c>
      <c r="P26" s="21" t="s">
        <v>1123</v>
      </c>
      <c r="Q26" s="26" t="s">
        <v>1124</v>
      </c>
      <c r="R26" s="20" t="s">
        <v>1125</v>
      </c>
      <c r="S26" s="20"/>
      <c r="T26" s="20" t="str">
        <f t="shared" si="1"/>
        <v>Old</v>
      </c>
      <c r="U26" t="s">
        <v>6318</v>
      </c>
      <c r="V26" s="67">
        <f t="shared" si="2"/>
        <v>2022</v>
      </c>
      <c r="W26" t="s">
        <v>6658</v>
      </c>
    </row>
    <row r="27" spans="1:23" ht="34">
      <c r="A27">
        <v>3</v>
      </c>
      <c r="B27" s="11" t="s">
        <v>259</v>
      </c>
      <c r="C27" s="23" t="s">
        <v>33</v>
      </c>
      <c r="D27" s="13" t="s">
        <v>260</v>
      </c>
      <c r="E27" s="24">
        <v>3473802</v>
      </c>
      <c r="F27" s="15">
        <f t="shared" si="0"/>
        <v>915.12170706006327</v>
      </c>
      <c r="G27" s="16">
        <v>3796</v>
      </c>
      <c r="H27" s="16">
        <v>3922</v>
      </c>
      <c r="I27" s="17" t="s">
        <v>261</v>
      </c>
      <c r="J27" s="18" t="s">
        <v>262</v>
      </c>
      <c r="K27" s="19" t="s">
        <v>48</v>
      </c>
      <c r="L27" s="19" t="s">
        <v>194</v>
      </c>
      <c r="M27" s="19" t="s">
        <v>263</v>
      </c>
      <c r="N27" s="52" t="s">
        <v>26</v>
      </c>
      <c r="O27" s="20" t="s">
        <v>27</v>
      </c>
      <c r="P27" s="21" t="s">
        <v>264</v>
      </c>
      <c r="Q27" s="26" t="s">
        <v>265</v>
      </c>
      <c r="R27" s="20" t="s">
        <v>266</v>
      </c>
      <c r="S27" s="20"/>
      <c r="T27" s="20" t="str">
        <f t="shared" si="1"/>
        <v>New</v>
      </c>
      <c r="V27" s="67">
        <f t="shared" si="2"/>
        <v>2025</v>
      </c>
      <c r="W27" t="s">
        <v>6658</v>
      </c>
    </row>
    <row r="28" spans="1:23" ht="17">
      <c r="A28">
        <v>3</v>
      </c>
      <c r="B28" s="11" t="s">
        <v>1422</v>
      </c>
      <c r="C28" s="23" t="s">
        <v>33</v>
      </c>
      <c r="D28" s="13" t="s">
        <v>90</v>
      </c>
      <c r="E28" s="24">
        <v>243300</v>
      </c>
      <c r="F28" s="15">
        <f t="shared" si="0"/>
        <v>45.664414414414416</v>
      </c>
      <c r="G28" s="16">
        <v>5328</v>
      </c>
      <c r="H28" s="16">
        <v>5480</v>
      </c>
      <c r="I28" s="17" t="s">
        <v>1423</v>
      </c>
      <c r="J28" s="18" t="s">
        <v>476</v>
      </c>
      <c r="K28" s="19" t="s">
        <v>37</v>
      </c>
      <c r="L28" s="19" t="s">
        <v>110</v>
      </c>
      <c r="M28" s="19" t="s">
        <v>1424</v>
      </c>
      <c r="N28" s="52" t="s">
        <v>26</v>
      </c>
      <c r="O28" s="20" t="s">
        <v>27</v>
      </c>
      <c r="P28" s="21" t="s">
        <v>1425</v>
      </c>
      <c r="Q28" s="26" t="s">
        <v>1426</v>
      </c>
      <c r="R28" s="20" t="s">
        <v>1427</v>
      </c>
      <c r="S28" s="20"/>
      <c r="T28" s="20" t="str">
        <f t="shared" si="1"/>
        <v>Old</v>
      </c>
      <c r="V28" s="67">
        <f t="shared" si="2"/>
        <v>2021</v>
      </c>
      <c r="W28" t="s">
        <v>6658</v>
      </c>
    </row>
    <row r="29" spans="1:23" ht="32">
      <c r="A29">
        <v>3</v>
      </c>
      <c r="B29" s="29" t="s">
        <v>1459</v>
      </c>
      <c r="C29" s="12" t="s">
        <v>20</v>
      </c>
      <c r="D29" s="30" t="s">
        <v>450</v>
      </c>
      <c r="E29" s="31">
        <v>1340000</v>
      </c>
      <c r="F29" s="15">
        <f t="shared" si="0"/>
        <v>623.25581395348843</v>
      </c>
      <c r="G29" s="33">
        <v>2150</v>
      </c>
      <c r="H29" s="33">
        <v>2150</v>
      </c>
      <c r="I29" s="34" t="s">
        <v>6531</v>
      </c>
      <c r="J29" s="35">
        <v>2007</v>
      </c>
      <c r="K29" s="30" t="s">
        <v>172</v>
      </c>
      <c r="L29" s="30"/>
      <c r="M29" s="30" t="s">
        <v>1460</v>
      </c>
      <c r="N29" s="52" t="s">
        <v>26</v>
      </c>
      <c r="O29" s="20" t="s">
        <v>27</v>
      </c>
      <c r="P29" s="21" t="s">
        <v>6531</v>
      </c>
      <c r="Q29" s="26" t="s">
        <v>1461</v>
      </c>
      <c r="R29" s="26" t="s">
        <v>1462</v>
      </c>
      <c r="S29" s="20"/>
      <c r="T29" s="20" t="str">
        <f t="shared" si="1"/>
        <v>Normal</v>
      </c>
      <c r="V29" s="67">
        <f t="shared" si="2"/>
        <v>2020</v>
      </c>
      <c r="W29" t="s">
        <v>6659</v>
      </c>
    </row>
    <row r="30" spans="1:23" ht="34">
      <c r="A30">
        <v>3</v>
      </c>
      <c r="B30" s="11" t="s">
        <v>617</v>
      </c>
      <c r="C30" s="23" t="s">
        <v>33</v>
      </c>
      <c r="D30" s="13" t="s">
        <v>336</v>
      </c>
      <c r="E30" s="24">
        <v>1200000</v>
      </c>
      <c r="F30" s="15">
        <f t="shared" si="0"/>
        <v>309.03940252382176</v>
      </c>
      <c r="G30" s="16">
        <v>3883</v>
      </c>
      <c r="H30" s="16">
        <v>4079</v>
      </c>
      <c r="I30" s="17" t="s">
        <v>6371</v>
      </c>
      <c r="J30" s="18" t="s">
        <v>619</v>
      </c>
      <c r="K30" s="19" t="s">
        <v>37</v>
      </c>
      <c r="L30" s="19" t="s">
        <v>620</v>
      </c>
      <c r="M30" s="19" t="s">
        <v>621</v>
      </c>
      <c r="N30" s="52" t="s">
        <v>26</v>
      </c>
      <c r="O30" s="20" t="s">
        <v>27</v>
      </c>
      <c r="P30" s="21" t="s">
        <v>622</v>
      </c>
      <c r="Q30" s="26" t="s">
        <v>623</v>
      </c>
      <c r="R30" s="20" t="s">
        <v>624</v>
      </c>
      <c r="S30" s="20"/>
      <c r="T30" s="20" t="str">
        <f t="shared" si="1"/>
        <v>Old</v>
      </c>
      <c r="U30" t="s">
        <v>6318</v>
      </c>
      <c r="V30" s="67">
        <f t="shared" si="2"/>
        <v>2021</v>
      </c>
      <c r="W30" t="s">
        <v>6658</v>
      </c>
    </row>
    <row r="31" spans="1:23" ht="34">
      <c r="A31">
        <v>3</v>
      </c>
      <c r="B31" s="11" t="s">
        <v>1331</v>
      </c>
      <c r="C31" s="12" t="s">
        <v>20</v>
      </c>
      <c r="D31" s="13" t="s">
        <v>73</v>
      </c>
      <c r="E31" s="24">
        <v>1225000</v>
      </c>
      <c r="F31" s="15">
        <f t="shared" si="0"/>
        <v>360.29411764705884</v>
      </c>
      <c r="G31" s="16">
        <v>3400</v>
      </c>
      <c r="H31" s="16">
        <v>3400</v>
      </c>
      <c r="I31" s="17" t="s">
        <v>1332</v>
      </c>
      <c r="J31" s="18" t="s">
        <v>358</v>
      </c>
      <c r="K31" s="19" t="s">
        <v>172</v>
      </c>
      <c r="L31" s="19"/>
      <c r="M31" s="19" t="s">
        <v>1333</v>
      </c>
      <c r="N31" s="52" t="s">
        <v>26</v>
      </c>
      <c r="O31" s="20" t="s">
        <v>27</v>
      </c>
      <c r="P31" s="21" t="s">
        <v>1334</v>
      </c>
      <c r="Q31" s="26" t="s">
        <v>1335</v>
      </c>
      <c r="R31" s="20" t="s">
        <v>1336</v>
      </c>
      <c r="S31" s="20"/>
      <c r="T31" s="20" t="str">
        <f t="shared" si="1"/>
        <v>Normal</v>
      </c>
      <c r="U31" t="s">
        <v>6318</v>
      </c>
      <c r="V31" s="67">
        <f t="shared" si="2"/>
        <v>2025</v>
      </c>
      <c r="W31" t="s">
        <v>6658</v>
      </c>
    </row>
    <row r="32" spans="1:23" ht="17">
      <c r="A32">
        <v>2</v>
      </c>
      <c r="B32" s="29" t="s">
        <v>931</v>
      </c>
      <c r="C32" s="12" t="s">
        <v>20</v>
      </c>
      <c r="D32" s="30" t="s">
        <v>223</v>
      </c>
      <c r="E32" s="31">
        <v>665000</v>
      </c>
      <c r="F32" s="15">
        <f t="shared" si="0"/>
        <v>295.8185053380783</v>
      </c>
      <c r="G32" s="33">
        <v>2248</v>
      </c>
      <c r="H32" s="33">
        <v>2248</v>
      </c>
      <c r="I32" s="34" t="s">
        <v>932</v>
      </c>
      <c r="J32" s="35">
        <v>2005</v>
      </c>
      <c r="K32" s="30" t="s">
        <v>172</v>
      </c>
      <c r="L32" s="30"/>
      <c r="M32" s="30" t="s">
        <v>933</v>
      </c>
      <c r="N32" s="52" t="s">
        <v>26</v>
      </c>
      <c r="O32" s="20" t="s">
        <v>27</v>
      </c>
      <c r="P32" s="21" t="s">
        <v>934</v>
      </c>
      <c r="Q32" s="26" t="s">
        <v>935</v>
      </c>
      <c r="R32" s="20" t="s">
        <v>936</v>
      </c>
      <c r="S32" s="20"/>
      <c r="T32" s="20" t="str">
        <f t="shared" si="1"/>
        <v>Normal</v>
      </c>
      <c r="U32" t="s">
        <v>6318</v>
      </c>
      <c r="V32" s="67">
        <f t="shared" si="2"/>
        <v>2021</v>
      </c>
      <c r="W32" t="s">
        <v>6659</v>
      </c>
    </row>
    <row r="33" spans="1:23" ht="34">
      <c r="A33">
        <v>3</v>
      </c>
      <c r="B33" s="11" t="s">
        <v>1136</v>
      </c>
      <c r="C33" s="12" t="s">
        <v>184</v>
      </c>
      <c r="D33" s="13" t="s">
        <v>925</v>
      </c>
      <c r="E33" s="24">
        <v>545000</v>
      </c>
      <c r="F33" s="15">
        <f t="shared" si="0"/>
        <v>72.860962566844918</v>
      </c>
      <c r="G33" s="16">
        <v>7480</v>
      </c>
      <c r="H33" s="16">
        <v>7480</v>
      </c>
      <c r="I33" s="17" t="s">
        <v>6366</v>
      </c>
      <c r="J33" s="18" t="s">
        <v>1138</v>
      </c>
      <c r="K33" s="19" t="s">
        <v>48</v>
      </c>
      <c r="L33" s="19"/>
      <c r="M33" s="19" t="s">
        <v>1139</v>
      </c>
      <c r="N33" s="52" t="s">
        <v>26</v>
      </c>
      <c r="O33" s="20" t="s">
        <v>27</v>
      </c>
      <c r="P33" s="21" t="s">
        <v>1140</v>
      </c>
      <c r="Q33" s="26" t="s">
        <v>1141</v>
      </c>
      <c r="R33" s="20" t="s">
        <v>1142</v>
      </c>
      <c r="S33" s="20"/>
      <c r="T33" s="20" t="str">
        <f t="shared" si="1"/>
        <v>Normal</v>
      </c>
      <c r="V33" s="67">
        <f t="shared" si="2"/>
        <v>2021</v>
      </c>
      <c r="W33" t="s">
        <v>6657</v>
      </c>
    </row>
    <row r="34" spans="1:23" ht="17">
      <c r="A34">
        <v>3</v>
      </c>
      <c r="B34" s="11" t="s">
        <v>625</v>
      </c>
      <c r="C34" s="23" t="s">
        <v>33</v>
      </c>
      <c r="D34" s="13" t="s">
        <v>133</v>
      </c>
      <c r="E34" s="24">
        <v>1200000</v>
      </c>
      <c r="F34" s="15">
        <f t="shared" si="0"/>
        <v>353.98230088495575</v>
      </c>
      <c r="G34" s="16">
        <v>3390</v>
      </c>
      <c r="H34" s="16">
        <v>3656</v>
      </c>
      <c r="I34" s="17" t="s">
        <v>6427</v>
      </c>
      <c r="J34" s="18" t="s">
        <v>627</v>
      </c>
      <c r="K34" s="19" t="s">
        <v>48</v>
      </c>
      <c r="L34" s="19" t="s">
        <v>628</v>
      </c>
      <c r="M34" s="19" t="s">
        <v>629</v>
      </c>
      <c r="N34" s="52" t="s">
        <v>26</v>
      </c>
      <c r="O34" s="20" t="s">
        <v>27</v>
      </c>
      <c r="P34" s="21" t="s">
        <v>630</v>
      </c>
      <c r="Q34" s="26" t="s">
        <v>631</v>
      </c>
      <c r="R34" s="20" t="s">
        <v>632</v>
      </c>
      <c r="S34" s="20"/>
      <c r="T34" s="20" t="str">
        <f t="shared" si="1"/>
        <v>Old</v>
      </c>
      <c r="U34" t="s">
        <v>6318</v>
      </c>
      <c r="V34" s="67">
        <f t="shared" si="2"/>
        <v>2022</v>
      </c>
      <c r="W34" t="s">
        <v>6658</v>
      </c>
    </row>
    <row r="35" spans="1:23" ht="51">
      <c r="A35">
        <v>3</v>
      </c>
      <c r="B35" s="11" t="s">
        <v>818</v>
      </c>
      <c r="C35" s="23" t="s">
        <v>678</v>
      </c>
      <c r="D35" s="13" t="s">
        <v>177</v>
      </c>
      <c r="E35" s="24">
        <v>600000</v>
      </c>
      <c r="F35" s="15">
        <f t="shared" ref="F35:F66" si="3">E35/G35</f>
        <v>227.27272727272728</v>
      </c>
      <c r="G35" s="16">
        <v>2640</v>
      </c>
      <c r="H35" s="16">
        <v>3390</v>
      </c>
      <c r="I35" s="17" t="s">
        <v>819</v>
      </c>
      <c r="J35" s="18" t="s">
        <v>135</v>
      </c>
      <c r="K35" s="19" t="s">
        <v>680</v>
      </c>
      <c r="L35" s="19" t="s">
        <v>704</v>
      </c>
      <c r="M35" s="19" t="s">
        <v>820</v>
      </c>
      <c r="N35" s="52" t="s">
        <v>26</v>
      </c>
      <c r="O35" s="20" t="s">
        <v>27</v>
      </c>
      <c r="P35" s="21" t="s">
        <v>821</v>
      </c>
      <c r="Q35" s="26" t="s">
        <v>822</v>
      </c>
      <c r="R35" s="20" t="s">
        <v>823</v>
      </c>
      <c r="S35" s="20"/>
      <c r="T35" s="20" t="str">
        <f t="shared" ref="T35:T66" si="4">IF(OR(J35="",D35=""),"Unknown",IF(LEFT(D35,4)*1-J35*1&lt;=10,"New",IF(LEFT(D35,4)*1-J35*1&lt;=25,"Normal","Old")))</f>
        <v>Old</v>
      </c>
      <c r="U35" t="s">
        <v>6318</v>
      </c>
      <c r="V35" s="67">
        <f t="shared" si="2"/>
        <v>2021</v>
      </c>
      <c r="W35" t="s">
        <v>6659</v>
      </c>
    </row>
    <row r="36" spans="1:23" ht="34">
      <c r="A36">
        <v>3</v>
      </c>
      <c r="B36" s="29" t="s">
        <v>924</v>
      </c>
      <c r="C36" s="12" t="s">
        <v>20</v>
      </c>
      <c r="D36" s="30" t="s">
        <v>925</v>
      </c>
      <c r="E36" s="31">
        <v>610000</v>
      </c>
      <c r="F36" s="15">
        <f t="shared" si="3"/>
        <v>271.35231316725981</v>
      </c>
      <c r="G36" s="33">
        <v>2248</v>
      </c>
      <c r="H36" s="33">
        <v>2248</v>
      </c>
      <c r="I36" s="34" t="s">
        <v>926</v>
      </c>
      <c r="J36" s="35">
        <v>2005</v>
      </c>
      <c r="K36" s="30" t="s">
        <v>172</v>
      </c>
      <c r="L36" s="30"/>
      <c r="M36" s="30" t="s">
        <v>927</v>
      </c>
      <c r="N36" s="52" t="s">
        <v>26</v>
      </c>
      <c r="O36" s="20" t="s">
        <v>27</v>
      </c>
      <c r="P36" s="21" t="s">
        <v>928</v>
      </c>
      <c r="Q36" s="26" t="s">
        <v>929</v>
      </c>
      <c r="R36" s="20" t="s">
        <v>930</v>
      </c>
      <c r="S36" s="20"/>
      <c r="T36" s="20" t="str">
        <f t="shared" si="4"/>
        <v>Normal</v>
      </c>
      <c r="U36" t="s">
        <v>6318</v>
      </c>
      <c r="V36" s="67">
        <f t="shared" si="2"/>
        <v>2021</v>
      </c>
      <c r="W36" t="s">
        <v>6659</v>
      </c>
    </row>
    <row r="37" spans="1:23" ht="17">
      <c r="A37">
        <v>3</v>
      </c>
      <c r="B37" s="11" t="s">
        <v>1108</v>
      </c>
      <c r="C37" s="12" t="s">
        <v>184</v>
      </c>
      <c r="D37" s="13" t="s">
        <v>407</v>
      </c>
      <c r="E37" s="24">
        <v>475000</v>
      </c>
      <c r="F37" s="15">
        <f t="shared" si="3"/>
        <v>193.08943089430895</v>
      </c>
      <c r="G37" s="16">
        <v>2460</v>
      </c>
      <c r="H37" s="16">
        <v>2915</v>
      </c>
      <c r="I37" s="17" t="s">
        <v>1109</v>
      </c>
      <c r="J37" s="18" t="s">
        <v>542</v>
      </c>
      <c r="K37" s="19" t="s">
        <v>37</v>
      </c>
      <c r="L37" s="19"/>
      <c r="M37" s="19" t="s">
        <v>1110</v>
      </c>
      <c r="N37" s="52" t="s">
        <v>26</v>
      </c>
      <c r="O37" s="20" t="s">
        <v>27</v>
      </c>
      <c r="P37" s="21" t="s">
        <v>1111</v>
      </c>
      <c r="Q37" s="26" t="s">
        <v>1112</v>
      </c>
      <c r="R37" s="26" t="s">
        <v>1113</v>
      </c>
      <c r="S37" s="20"/>
      <c r="T37" s="20" t="str">
        <f t="shared" si="4"/>
        <v>Old</v>
      </c>
      <c r="U37" t="s">
        <v>6318</v>
      </c>
      <c r="V37" s="67">
        <f t="shared" si="2"/>
        <v>2022</v>
      </c>
      <c r="W37" t="s">
        <v>6659</v>
      </c>
    </row>
    <row r="38" spans="1:23" ht="34">
      <c r="A38">
        <v>3</v>
      </c>
      <c r="B38" s="29" t="s">
        <v>918</v>
      </c>
      <c r="C38" s="12" t="s">
        <v>20</v>
      </c>
      <c r="D38" s="30" t="s">
        <v>611</v>
      </c>
      <c r="E38" s="31">
        <v>2900000</v>
      </c>
      <c r="F38" s="15">
        <f t="shared" si="3"/>
        <v>385.22848034006375</v>
      </c>
      <c r="G38" s="33">
        <v>7528</v>
      </c>
      <c r="H38" s="33">
        <v>7528</v>
      </c>
      <c r="I38" s="34" t="s">
        <v>6340</v>
      </c>
      <c r="J38" s="35">
        <v>2005</v>
      </c>
      <c r="K38" s="30" t="s">
        <v>172</v>
      </c>
      <c r="L38" s="30"/>
      <c r="M38" s="30" t="s">
        <v>920</v>
      </c>
      <c r="N38" s="52" t="s">
        <v>26</v>
      </c>
      <c r="O38" s="20" t="s">
        <v>27</v>
      </c>
      <c r="P38" s="21" t="s">
        <v>921</v>
      </c>
      <c r="Q38" s="26" t="s">
        <v>922</v>
      </c>
      <c r="R38" s="20" t="s">
        <v>923</v>
      </c>
      <c r="S38" s="20"/>
      <c r="T38" s="20" t="str">
        <f t="shared" si="4"/>
        <v>Normal</v>
      </c>
      <c r="U38" t="s">
        <v>6318</v>
      </c>
      <c r="V38" s="67">
        <f t="shared" si="2"/>
        <v>2020</v>
      </c>
      <c r="W38" t="s">
        <v>6657</v>
      </c>
    </row>
    <row r="39" spans="1:23" ht="34">
      <c r="A39">
        <v>3</v>
      </c>
      <c r="B39" s="11" t="s">
        <v>528</v>
      </c>
      <c r="C39" s="23" t="s">
        <v>33</v>
      </c>
      <c r="D39" s="13" t="s">
        <v>170</v>
      </c>
      <c r="E39" s="24">
        <v>5300000</v>
      </c>
      <c r="F39" s="15">
        <f t="shared" si="3"/>
        <v>903.81991814461117</v>
      </c>
      <c r="G39" s="16">
        <v>5864</v>
      </c>
      <c r="H39" s="16">
        <v>5864</v>
      </c>
      <c r="I39" s="17" t="s">
        <v>6343</v>
      </c>
      <c r="J39" s="18" t="s">
        <v>209</v>
      </c>
      <c r="K39" s="19" t="s">
        <v>48</v>
      </c>
      <c r="L39" s="19" t="s">
        <v>510</v>
      </c>
      <c r="M39" s="19" t="s">
        <v>530</v>
      </c>
      <c r="N39" s="52" t="s">
        <v>26</v>
      </c>
      <c r="O39" s="20" t="s">
        <v>27</v>
      </c>
      <c r="P39" s="21" t="s">
        <v>531</v>
      </c>
      <c r="Q39" s="20" t="s">
        <v>532</v>
      </c>
      <c r="R39" s="20" t="s">
        <v>533</v>
      </c>
      <c r="S39" s="20"/>
      <c r="T39" s="20" t="str">
        <f t="shared" si="4"/>
        <v>New</v>
      </c>
      <c r="V39" s="67">
        <f t="shared" si="2"/>
        <v>2020</v>
      </c>
      <c r="W39" t="s">
        <v>6658</v>
      </c>
    </row>
    <row r="40" spans="1:23" ht="34">
      <c r="A40">
        <v>3</v>
      </c>
      <c r="B40" s="29" t="s">
        <v>912</v>
      </c>
      <c r="C40" s="12" t="s">
        <v>20</v>
      </c>
      <c r="D40" s="30" t="s">
        <v>215</v>
      </c>
      <c r="E40" s="31">
        <v>840000</v>
      </c>
      <c r="F40" s="15">
        <f t="shared" si="3"/>
        <v>252.32802643436469</v>
      </c>
      <c r="G40" s="33">
        <v>3329</v>
      </c>
      <c r="H40" s="33">
        <v>3329</v>
      </c>
      <c r="I40" s="34" t="s">
        <v>6368</v>
      </c>
      <c r="J40" s="35">
        <v>2005</v>
      </c>
      <c r="K40" s="30" t="s">
        <v>172</v>
      </c>
      <c r="L40" s="30"/>
      <c r="M40" s="30" t="s">
        <v>914</v>
      </c>
      <c r="N40" s="52" t="s">
        <v>26</v>
      </c>
      <c r="O40" s="20" t="s">
        <v>27</v>
      </c>
      <c r="P40" s="21" t="s">
        <v>915</v>
      </c>
      <c r="Q40" s="26" t="s">
        <v>916</v>
      </c>
      <c r="R40" s="20" t="s">
        <v>917</v>
      </c>
      <c r="S40" s="20"/>
      <c r="T40" s="20" t="str">
        <f t="shared" si="4"/>
        <v>Normal</v>
      </c>
      <c r="U40" t="s">
        <v>6318</v>
      </c>
      <c r="V40" s="67">
        <f t="shared" si="2"/>
        <v>2021</v>
      </c>
      <c r="W40" t="s">
        <v>6658</v>
      </c>
    </row>
    <row r="41" spans="1:23" ht="32">
      <c r="A41">
        <v>3</v>
      </c>
      <c r="B41" s="29" t="s">
        <v>876</v>
      </c>
      <c r="C41" s="12" t="s">
        <v>20</v>
      </c>
      <c r="D41" s="30" t="s">
        <v>877</v>
      </c>
      <c r="E41" s="31">
        <v>330000</v>
      </c>
      <c r="F41" s="15">
        <f t="shared" si="3"/>
        <v>165</v>
      </c>
      <c r="G41" s="33">
        <v>2000</v>
      </c>
      <c r="H41" s="33">
        <v>2000</v>
      </c>
      <c r="I41" s="34" t="s">
        <v>878</v>
      </c>
      <c r="J41" s="35">
        <v>1983</v>
      </c>
      <c r="K41" s="30" t="s">
        <v>172</v>
      </c>
      <c r="L41" s="30"/>
      <c r="M41" s="30" t="s">
        <v>879</v>
      </c>
      <c r="N41" s="52" t="s">
        <v>26</v>
      </c>
      <c r="O41" s="20" t="s">
        <v>27</v>
      </c>
      <c r="P41" s="21" t="s">
        <v>880</v>
      </c>
      <c r="Q41" s="26" t="s">
        <v>881</v>
      </c>
      <c r="R41" s="20" t="s">
        <v>882</v>
      </c>
      <c r="S41" s="20"/>
      <c r="T41" s="20" t="str">
        <f t="shared" si="4"/>
        <v>Old</v>
      </c>
      <c r="U41" t="s">
        <v>6318</v>
      </c>
      <c r="V41" s="67">
        <f t="shared" si="2"/>
        <v>2024</v>
      </c>
      <c r="W41" t="s">
        <v>6659</v>
      </c>
    </row>
    <row r="42" spans="1:23" ht="17">
      <c r="A42">
        <v>3</v>
      </c>
      <c r="B42" s="11" t="s">
        <v>1355</v>
      </c>
      <c r="C42" s="12" t="s">
        <v>20</v>
      </c>
      <c r="D42" s="13" t="s">
        <v>253</v>
      </c>
      <c r="E42" s="24">
        <v>3735000</v>
      </c>
      <c r="F42" s="15">
        <f t="shared" si="3"/>
        <v>772.0132286068623</v>
      </c>
      <c r="G42" s="16">
        <v>4838</v>
      </c>
      <c r="H42" s="16">
        <v>4838</v>
      </c>
      <c r="I42" s="17" t="s">
        <v>1207</v>
      </c>
      <c r="J42" s="18" t="s">
        <v>83</v>
      </c>
      <c r="K42" s="19" t="s">
        <v>24</v>
      </c>
      <c r="L42" s="19"/>
      <c r="M42" s="19" t="s">
        <v>1356</v>
      </c>
      <c r="N42" s="52" t="s">
        <v>26</v>
      </c>
      <c r="O42" s="20" t="s">
        <v>27</v>
      </c>
      <c r="P42" s="21" t="s">
        <v>1357</v>
      </c>
      <c r="Q42" s="26" t="s">
        <v>1358</v>
      </c>
      <c r="R42" s="26" t="s">
        <v>1359</v>
      </c>
      <c r="S42" s="20"/>
      <c r="T42" s="20" t="str">
        <f t="shared" si="4"/>
        <v>Normal</v>
      </c>
      <c r="V42" s="67">
        <f t="shared" si="2"/>
        <v>2022</v>
      </c>
      <c r="W42" t="s">
        <v>6658</v>
      </c>
    </row>
    <row r="43" spans="1:23" ht="17">
      <c r="A43">
        <v>3</v>
      </c>
      <c r="B43" s="11" t="s">
        <v>1510</v>
      </c>
      <c r="C43" s="12" t="s">
        <v>20</v>
      </c>
      <c r="D43" s="13" t="s">
        <v>177</v>
      </c>
      <c r="E43" s="24">
        <v>2305000</v>
      </c>
      <c r="F43" s="15">
        <f t="shared" si="3"/>
        <v>377.25040916530276</v>
      </c>
      <c r="G43" s="16">
        <v>6110</v>
      </c>
      <c r="H43" s="16">
        <v>6110</v>
      </c>
      <c r="I43" s="17" t="s">
        <v>1511</v>
      </c>
      <c r="J43" s="18" t="s">
        <v>747</v>
      </c>
      <c r="K43" s="19" t="s">
        <v>1465</v>
      </c>
      <c r="L43" s="19"/>
      <c r="M43" s="19" t="s">
        <v>1512</v>
      </c>
      <c r="N43" s="52" t="s">
        <v>26</v>
      </c>
      <c r="O43" s="20" t="s">
        <v>27</v>
      </c>
      <c r="P43" s="21" t="s">
        <v>1513</v>
      </c>
      <c r="Q43" s="26" t="s">
        <v>1514</v>
      </c>
      <c r="R43" s="20" t="s">
        <v>1515</v>
      </c>
      <c r="S43" s="20"/>
      <c r="T43" s="20" t="str">
        <f t="shared" si="4"/>
        <v>Normal</v>
      </c>
      <c r="U43" t="s">
        <v>6318</v>
      </c>
      <c r="V43" s="67">
        <f t="shared" si="2"/>
        <v>2021</v>
      </c>
      <c r="W43" t="s">
        <v>6657</v>
      </c>
    </row>
    <row r="44" spans="1:23" ht="17">
      <c r="A44">
        <v>3</v>
      </c>
      <c r="B44" s="11" t="s">
        <v>206</v>
      </c>
      <c r="C44" s="23" t="s">
        <v>33</v>
      </c>
      <c r="D44" s="13" t="s">
        <v>207</v>
      </c>
      <c r="E44" s="24">
        <v>344600</v>
      </c>
      <c r="F44" s="15">
        <f t="shared" si="3"/>
        <v>117.37057220708446</v>
      </c>
      <c r="G44" s="16">
        <v>2936</v>
      </c>
      <c r="H44" s="16">
        <v>3048</v>
      </c>
      <c r="I44" s="17" t="s">
        <v>6361</v>
      </c>
      <c r="J44" s="18" t="s">
        <v>209</v>
      </c>
      <c r="K44" s="19" t="s">
        <v>48</v>
      </c>
      <c r="L44" s="19" t="s">
        <v>49</v>
      </c>
      <c r="M44" s="19" t="s">
        <v>210</v>
      </c>
      <c r="N44" s="52" t="s">
        <v>26</v>
      </c>
      <c r="O44" s="20" t="s">
        <v>27</v>
      </c>
      <c r="P44" s="21" t="s">
        <v>211</v>
      </c>
      <c r="Q44" s="20" t="s">
        <v>212</v>
      </c>
      <c r="R44" s="20" t="s">
        <v>213</v>
      </c>
      <c r="S44" s="20"/>
      <c r="T44" s="20" t="str">
        <f t="shared" si="4"/>
        <v>New</v>
      </c>
      <c r="U44" t="s">
        <v>6318</v>
      </c>
      <c r="V44" s="67">
        <f t="shared" si="2"/>
        <v>2021</v>
      </c>
      <c r="W44" t="s">
        <v>6659</v>
      </c>
    </row>
    <row r="45" spans="1:23" ht="17">
      <c r="A45">
        <v>3</v>
      </c>
      <c r="B45" s="11" t="s">
        <v>1435</v>
      </c>
      <c r="C45" s="23" t="s">
        <v>33</v>
      </c>
      <c r="D45" s="13" t="s">
        <v>686</v>
      </c>
      <c r="E45" s="24">
        <v>625000</v>
      </c>
      <c r="F45" s="15">
        <f t="shared" si="3"/>
        <v>138.39681133746677</v>
      </c>
      <c r="G45" s="16">
        <v>4516</v>
      </c>
      <c r="H45" s="16">
        <v>4724</v>
      </c>
      <c r="I45" s="17" t="s">
        <v>1436</v>
      </c>
      <c r="J45" s="18" t="s">
        <v>209</v>
      </c>
      <c r="K45" s="19" t="s">
        <v>48</v>
      </c>
      <c r="L45" s="19" t="s">
        <v>510</v>
      </c>
      <c r="M45" s="19" t="s">
        <v>1437</v>
      </c>
      <c r="N45" s="52" t="s">
        <v>26</v>
      </c>
      <c r="O45" s="20" t="s">
        <v>27</v>
      </c>
      <c r="P45" s="21" t="s">
        <v>1438</v>
      </c>
      <c r="Q45" s="20"/>
      <c r="R45" s="20" t="s">
        <v>1439</v>
      </c>
      <c r="S45" s="20"/>
      <c r="T45" s="20" t="str">
        <f t="shared" si="4"/>
        <v>New</v>
      </c>
      <c r="U45" t="s">
        <v>6318</v>
      </c>
      <c r="V45" s="67">
        <f t="shared" si="2"/>
        <v>2020</v>
      </c>
      <c r="W45" t="s">
        <v>6658</v>
      </c>
    </row>
    <row r="46" spans="1:23" ht="17">
      <c r="A46">
        <v>3</v>
      </c>
      <c r="B46" s="11" t="s">
        <v>1349</v>
      </c>
      <c r="C46" s="12" t="s">
        <v>20</v>
      </c>
      <c r="D46" s="13" t="s">
        <v>21</v>
      </c>
      <c r="E46" s="24">
        <v>621000</v>
      </c>
      <c r="F46" s="15">
        <f t="shared" si="3"/>
        <v>197.14285714285714</v>
      </c>
      <c r="G46" s="16">
        <v>3150</v>
      </c>
      <c r="H46" s="16">
        <v>3150</v>
      </c>
      <c r="I46" s="17" t="s">
        <v>1350</v>
      </c>
      <c r="J46" s="18" t="s">
        <v>241</v>
      </c>
      <c r="K46" s="19" t="s">
        <v>1320</v>
      </c>
      <c r="L46" s="19"/>
      <c r="M46" s="19" t="s">
        <v>1351</v>
      </c>
      <c r="N46" s="52" t="s">
        <v>26</v>
      </c>
      <c r="O46" s="20" t="s">
        <v>27</v>
      </c>
      <c r="P46" s="21" t="s">
        <v>1352</v>
      </c>
      <c r="Q46" s="26" t="s">
        <v>1353</v>
      </c>
      <c r="R46" s="20" t="s">
        <v>1354</v>
      </c>
      <c r="S46" s="20"/>
      <c r="T46" s="20" t="str">
        <f t="shared" si="4"/>
        <v>Normal</v>
      </c>
      <c r="U46" t="s">
        <v>6318</v>
      </c>
      <c r="V46" s="67">
        <f t="shared" si="2"/>
        <v>2021</v>
      </c>
      <c r="W46" t="s">
        <v>6658</v>
      </c>
    </row>
    <row r="47" spans="1:23" ht="17">
      <c r="A47">
        <v>3</v>
      </c>
      <c r="B47" s="11" t="s">
        <v>1674</v>
      </c>
      <c r="C47" s="23" t="s">
        <v>33</v>
      </c>
      <c r="D47" s="13" t="s">
        <v>322</v>
      </c>
      <c r="E47" s="14">
        <v>1025000</v>
      </c>
      <c r="F47" s="15">
        <f t="shared" si="3"/>
        <v>229.97531972178595</v>
      </c>
      <c r="G47" s="16">
        <v>4457</v>
      </c>
      <c r="H47" s="16">
        <v>5942</v>
      </c>
      <c r="I47" s="17" t="s">
        <v>6462</v>
      </c>
      <c r="J47" s="18" t="s">
        <v>599</v>
      </c>
      <c r="K47" s="19" t="s">
        <v>37</v>
      </c>
      <c r="L47" s="19" t="s">
        <v>38</v>
      </c>
      <c r="M47" s="19" t="s">
        <v>1676</v>
      </c>
      <c r="N47" s="52" t="s">
        <v>26</v>
      </c>
      <c r="O47" s="20" t="s">
        <v>27</v>
      </c>
      <c r="P47" s="21" t="s">
        <v>1677</v>
      </c>
      <c r="Q47" s="22" t="s">
        <v>1678</v>
      </c>
      <c r="R47" s="20" t="s">
        <v>1679</v>
      </c>
      <c r="S47" s="20"/>
      <c r="T47" s="27" t="str">
        <f t="shared" si="4"/>
        <v>Old</v>
      </c>
      <c r="U47" t="s">
        <v>6318</v>
      </c>
      <c r="V47" s="67">
        <f t="shared" si="2"/>
        <v>2023</v>
      </c>
      <c r="W47" t="s">
        <v>6658</v>
      </c>
    </row>
    <row r="48" spans="1:23" ht="34">
      <c r="A48">
        <v>3</v>
      </c>
      <c r="B48" s="11" t="s">
        <v>1453</v>
      </c>
      <c r="C48" s="23" t="s">
        <v>678</v>
      </c>
      <c r="D48" s="13" t="s">
        <v>170</v>
      </c>
      <c r="E48" s="24">
        <v>400000</v>
      </c>
      <c r="F48" s="15">
        <f t="shared" si="3"/>
        <v>93.327111525898275</v>
      </c>
      <c r="G48" s="16">
        <v>4286</v>
      </c>
      <c r="H48" s="16">
        <v>4581</v>
      </c>
      <c r="I48" s="17" t="s">
        <v>1454</v>
      </c>
      <c r="J48" s="18" t="s">
        <v>151</v>
      </c>
      <c r="K48" s="19" t="s">
        <v>680</v>
      </c>
      <c r="L48" s="19" t="s">
        <v>704</v>
      </c>
      <c r="M48" s="19" t="s">
        <v>1455</v>
      </c>
      <c r="N48" s="52" t="s">
        <v>26</v>
      </c>
      <c r="O48" s="20" t="s">
        <v>27</v>
      </c>
      <c r="P48" s="21" t="s">
        <v>1456</v>
      </c>
      <c r="Q48" s="26" t="s">
        <v>1457</v>
      </c>
      <c r="R48" s="20" t="s">
        <v>1458</v>
      </c>
      <c r="S48" s="20"/>
      <c r="T48" s="20" t="str">
        <f t="shared" si="4"/>
        <v>Old</v>
      </c>
      <c r="V48" s="67">
        <f t="shared" si="2"/>
        <v>2020</v>
      </c>
      <c r="W48" t="s">
        <v>6658</v>
      </c>
    </row>
    <row r="49" spans="1:23" ht="34">
      <c r="A49">
        <v>3</v>
      </c>
      <c r="B49" s="11" t="s">
        <v>246</v>
      </c>
      <c r="C49" s="23" t="s">
        <v>33</v>
      </c>
      <c r="D49" s="13" t="s">
        <v>215</v>
      </c>
      <c r="E49" s="24">
        <v>1725000</v>
      </c>
      <c r="F49" s="15">
        <f t="shared" si="3"/>
        <v>347.78225806451616</v>
      </c>
      <c r="G49" s="16">
        <v>4960</v>
      </c>
      <c r="H49" s="16">
        <v>5608</v>
      </c>
      <c r="I49" s="17" t="s">
        <v>247</v>
      </c>
      <c r="J49" s="18" t="s">
        <v>201</v>
      </c>
      <c r="K49" s="19" t="s">
        <v>48</v>
      </c>
      <c r="L49" s="19" t="s">
        <v>49</v>
      </c>
      <c r="M49" s="19" t="s">
        <v>248</v>
      </c>
      <c r="N49" s="52" t="s">
        <v>26</v>
      </c>
      <c r="O49" s="20" t="s">
        <v>27</v>
      </c>
      <c r="P49" s="21" t="s">
        <v>249</v>
      </c>
      <c r="Q49" s="26" t="s">
        <v>250</v>
      </c>
      <c r="R49" s="20" t="s">
        <v>251</v>
      </c>
      <c r="S49" s="20"/>
      <c r="T49" s="20" t="str">
        <f t="shared" si="4"/>
        <v>New</v>
      </c>
      <c r="U49" t="s">
        <v>6318</v>
      </c>
      <c r="V49" s="67">
        <f t="shared" si="2"/>
        <v>2021</v>
      </c>
      <c r="W49" t="s">
        <v>6658</v>
      </c>
    </row>
    <row r="50" spans="1:23" ht="34">
      <c r="A50">
        <v>3</v>
      </c>
      <c r="B50" s="11" t="s">
        <v>1482</v>
      </c>
      <c r="C50" s="12" t="s">
        <v>184</v>
      </c>
      <c r="D50" s="13" t="s">
        <v>314</v>
      </c>
      <c r="E50" s="24">
        <v>350000</v>
      </c>
      <c r="F50" s="15">
        <f t="shared" si="3"/>
        <v>142.3342822285482</v>
      </c>
      <c r="G50" s="16">
        <v>2459</v>
      </c>
      <c r="H50" s="16">
        <v>2559</v>
      </c>
      <c r="I50" s="17" t="s">
        <v>1483</v>
      </c>
      <c r="J50" s="18" t="s">
        <v>1484</v>
      </c>
      <c r="K50" s="19" t="s">
        <v>48</v>
      </c>
      <c r="L50" s="19"/>
      <c r="M50" s="19" t="s">
        <v>1485</v>
      </c>
      <c r="N50" s="52" t="s">
        <v>26</v>
      </c>
      <c r="O50" s="20" t="s">
        <v>27</v>
      </c>
      <c r="P50" s="21" t="s">
        <v>1486</v>
      </c>
      <c r="Q50" s="26" t="s">
        <v>1487</v>
      </c>
      <c r="R50" s="20" t="s">
        <v>1488</v>
      </c>
      <c r="S50" s="20"/>
      <c r="T50" s="20" t="str">
        <f t="shared" si="4"/>
        <v>Old</v>
      </c>
      <c r="U50" t="s">
        <v>6318</v>
      </c>
      <c r="V50" s="67">
        <f t="shared" si="2"/>
        <v>2023</v>
      </c>
      <c r="W50" t="s">
        <v>6659</v>
      </c>
    </row>
    <row r="51" spans="1:23" ht="17">
      <c r="A51">
        <v>3</v>
      </c>
      <c r="B51" s="11" t="s">
        <v>701</v>
      </c>
      <c r="C51" s="23" t="s">
        <v>678</v>
      </c>
      <c r="D51" s="13" t="s">
        <v>702</v>
      </c>
      <c r="E51" s="24">
        <v>1300000</v>
      </c>
      <c r="F51" s="15">
        <f t="shared" si="3"/>
        <v>363.73810856183547</v>
      </c>
      <c r="G51" s="16">
        <v>3574</v>
      </c>
      <c r="H51" s="16">
        <v>3916</v>
      </c>
      <c r="I51" s="17" t="s">
        <v>703</v>
      </c>
      <c r="J51" s="18" t="s">
        <v>619</v>
      </c>
      <c r="K51" s="19" t="s">
        <v>680</v>
      </c>
      <c r="L51" s="19" t="s">
        <v>704</v>
      </c>
      <c r="M51" s="19" t="s">
        <v>705</v>
      </c>
      <c r="N51" s="52" t="s">
        <v>26</v>
      </c>
      <c r="O51" s="20" t="s">
        <v>27</v>
      </c>
      <c r="P51" s="21" t="s">
        <v>706</v>
      </c>
      <c r="Q51" s="26"/>
      <c r="R51" s="26" t="s">
        <v>707</v>
      </c>
      <c r="S51" s="20"/>
      <c r="T51" s="20" t="str">
        <f t="shared" si="4"/>
        <v>Old</v>
      </c>
      <c r="U51" t="s">
        <v>6318</v>
      </c>
      <c r="V51" s="67">
        <f t="shared" si="2"/>
        <v>2023</v>
      </c>
      <c r="W51" t="s">
        <v>6658</v>
      </c>
    </row>
    <row r="52" spans="1:23" ht="34">
      <c r="A52">
        <v>3</v>
      </c>
      <c r="B52" s="29" t="s">
        <v>1463</v>
      </c>
      <c r="C52" s="12" t="s">
        <v>20</v>
      </c>
      <c r="D52" s="30" t="s">
        <v>554</v>
      </c>
      <c r="E52" s="31">
        <v>1200000</v>
      </c>
      <c r="F52" s="15">
        <f t="shared" si="3"/>
        <v>216.68472372697724</v>
      </c>
      <c r="G52" s="33">
        <v>5538</v>
      </c>
      <c r="H52" s="33">
        <v>5538</v>
      </c>
      <c r="I52" s="34" t="s">
        <v>1464</v>
      </c>
      <c r="J52" s="35">
        <v>1996</v>
      </c>
      <c r="K52" s="30" t="s">
        <v>1465</v>
      </c>
      <c r="L52" s="30"/>
      <c r="M52" s="30" t="s">
        <v>1466</v>
      </c>
      <c r="N52" s="52" t="s">
        <v>26</v>
      </c>
      <c r="O52" s="20" t="s">
        <v>27</v>
      </c>
      <c r="P52" s="21" t="s">
        <v>1467</v>
      </c>
      <c r="Q52" s="26" t="s">
        <v>1468</v>
      </c>
      <c r="R52" s="20" t="s">
        <v>1469</v>
      </c>
      <c r="S52" s="20"/>
      <c r="T52" s="20" t="str">
        <f t="shared" si="4"/>
        <v>Old</v>
      </c>
      <c r="U52" t="s">
        <v>6318</v>
      </c>
      <c r="V52" s="67">
        <f t="shared" si="2"/>
        <v>2022</v>
      </c>
      <c r="W52" t="s">
        <v>6658</v>
      </c>
    </row>
    <row r="53" spans="1:23" ht="17">
      <c r="A53">
        <v>3</v>
      </c>
      <c r="B53" s="11" t="s">
        <v>1301</v>
      </c>
      <c r="C53" s="12" t="s">
        <v>20</v>
      </c>
      <c r="D53" s="13" t="s">
        <v>925</v>
      </c>
      <c r="E53" s="24">
        <v>725000</v>
      </c>
      <c r="F53" s="15">
        <f t="shared" si="3"/>
        <v>170.34774436090225</v>
      </c>
      <c r="G53" s="16">
        <v>4256</v>
      </c>
      <c r="H53" s="16">
        <v>4256</v>
      </c>
      <c r="I53" s="17" t="s">
        <v>1302</v>
      </c>
      <c r="J53" s="18" t="s">
        <v>187</v>
      </c>
      <c r="K53" s="19" t="s">
        <v>24</v>
      </c>
      <c r="L53" s="19"/>
      <c r="M53" s="19" t="s">
        <v>1303</v>
      </c>
      <c r="N53" s="52" t="s">
        <v>26</v>
      </c>
      <c r="O53" s="20" t="s">
        <v>27</v>
      </c>
      <c r="P53" s="21" t="s">
        <v>1304</v>
      </c>
      <c r="Q53" s="26" t="s">
        <v>1305</v>
      </c>
      <c r="R53" s="26" t="s">
        <v>1306</v>
      </c>
      <c r="S53" s="20"/>
      <c r="T53" s="20" t="str">
        <f t="shared" si="4"/>
        <v>Old</v>
      </c>
      <c r="U53" t="s">
        <v>6318</v>
      </c>
      <c r="V53" s="67">
        <f t="shared" si="2"/>
        <v>2021</v>
      </c>
      <c r="W53" t="s">
        <v>6658</v>
      </c>
    </row>
    <row r="54" spans="1:23" ht="34">
      <c r="A54">
        <v>3</v>
      </c>
      <c r="B54" s="29" t="s">
        <v>157</v>
      </c>
      <c r="C54" s="12" t="s">
        <v>20</v>
      </c>
      <c r="D54" s="30" t="s">
        <v>158</v>
      </c>
      <c r="E54" s="38">
        <v>940000</v>
      </c>
      <c r="F54" s="15">
        <f t="shared" si="3"/>
        <v>109.98010998010999</v>
      </c>
      <c r="G54" s="33">
        <v>8547</v>
      </c>
      <c r="H54" s="33">
        <v>8547</v>
      </c>
      <c r="I54" s="34" t="s">
        <v>159</v>
      </c>
      <c r="J54" s="35">
        <v>2005</v>
      </c>
      <c r="K54" s="30" t="s">
        <v>24</v>
      </c>
      <c r="L54" s="30"/>
      <c r="M54" s="30" t="s">
        <v>160</v>
      </c>
      <c r="N54" s="52" t="s">
        <v>26</v>
      </c>
      <c r="O54" s="20" t="s">
        <v>40</v>
      </c>
      <c r="P54" s="21" t="s">
        <v>6211</v>
      </c>
      <c r="Q54" s="22" t="s">
        <v>161</v>
      </c>
      <c r="R54" s="22" t="s">
        <v>162</v>
      </c>
      <c r="S54" s="20"/>
      <c r="T54" s="20" t="str">
        <f t="shared" si="4"/>
        <v>Normal</v>
      </c>
      <c r="U54" t="s">
        <v>6318</v>
      </c>
      <c r="V54" s="67">
        <f t="shared" si="2"/>
        <v>2024</v>
      </c>
      <c r="W54" t="s">
        <v>6657</v>
      </c>
    </row>
    <row r="55" spans="1:23" ht="17">
      <c r="A55">
        <v>3</v>
      </c>
      <c r="B55" s="11" t="s">
        <v>1428</v>
      </c>
      <c r="C55" s="23" t="s">
        <v>33</v>
      </c>
      <c r="D55" s="13" t="s">
        <v>428</v>
      </c>
      <c r="E55" s="24">
        <v>2900000</v>
      </c>
      <c r="F55" s="15">
        <f t="shared" si="3"/>
        <v>402.16336153099434</v>
      </c>
      <c r="G55" s="16">
        <v>7211</v>
      </c>
      <c r="H55" s="16">
        <v>7645</v>
      </c>
      <c r="I55" s="17" t="s">
        <v>1429</v>
      </c>
      <c r="J55" s="18" t="s">
        <v>1430</v>
      </c>
      <c r="K55" s="19" t="s">
        <v>37</v>
      </c>
      <c r="L55" s="19" t="s">
        <v>510</v>
      </c>
      <c r="M55" s="19" t="s">
        <v>1431</v>
      </c>
      <c r="N55" s="52" t="s">
        <v>26</v>
      </c>
      <c r="O55" s="20" t="s">
        <v>27</v>
      </c>
      <c r="P55" s="21" t="s">
        <v>1432</v>
      </c>
      <c r="Q55" s="26" t="s">
        <v>1433</v>
      </c>
      <c r="R55" s="20" t="s">
        <v>1434</v>
      </c>
      <c r="S55" s="20"/>
      <c r="T55" s="20" t="str">
        <f t="shared" si="4"/>
        <v>Old</v>
      </c>
      <c r="U55" t="s">
        <v>6318</v>
      </c>
      <c r="V55" s="67">
        <f t="shared" si="2"/>
        <v>2021</v>
      </c>
      <c r="W55" t="s">
        <v>6657</v>
      </c>
    </row>
    <row r="56" spans="1:23" ht="34">
      <c r="A56">
        <v>3</v>
      </c>
      <c r="B56" s="11" t="s">
        <v>466</v>
      </c>
      <c r="C56" s="23" t="s">
        <v>33</v>
      </c>
      <c r="D56" s="13" t="s">
        <v>336</v>
      </c>
      <c r="E56" s="24">
        <v>1575000</v>
      </c>
      <c r="F56" s="15">
        <f t="shared" si="3"/>
        <v>325.14450867052022</v>
      </c>
      <c r="G56" s="16">
        <v>4844</v>
      </c>
      <c r="H56" s="16">
        <v>4916</v>
      </c>
      <c r="I56" s="17" t="s">
        <v>6372</v>
      </c>
      <c r="J56" s="18" t="s">
        <v>468</v>
      </c>
      <c r="K56" s="19" t="s">
        <v>48</v>
      </c>
      <c r="L56" s="19" t="s">
        <v>127</v>
      </c>
      <c r="M56" s="19" t="s">
        <v>469</v>
      </c>
      <c r="N56" s="52" t="s">
        <v>26</v>
      </c>
      <c r="O56" s="20" t="s">
        <v>27</v>
      </c>
      <c r="P56" s="21" t="s">
        <v>470</v>
      </c>
      <c r="Q56" s="26" t="s">
        <v>471</v>
      </c>
      <c r="R56" s="26" t="s">
        <v>472</v>
      </c>
      <c r="S56" s="20"/>
      <c r="T56" s="20" t="str">
        <f t="shared" si="4"/>
        <v>Old</v>
      </c>
      <c r="U56" t="s">
        <v>6318</v>
      </c>
      <c r="V56" s="67">
        <f t="shared" si="2"/>
        <v>2021</v>
      </c>
      <c r="W56" t="s">
        <v>6658</v>
      </c>
    </row>
    <row r="57" spans="1:23" ht="17">
      <c r="A57">
        <v>3</v>
      </c>
      <c r="B57" s="11" t="s">
        <v>1186</v>
      </c>
      <c r="C57" s="12" t="s">
        <v>184</v>
      </c>
      <c r="D57" s="13" t="s">
        <v>293</v>
      </c>
      <c r="E57" s="24">
        <v>900000</v>
      </c>
      <c r="F57" s="15">
        <f t="shared" si="3"/>
        <v>214.28571428571428</v>
      </c>
      <c r="G57" s="16">
        <v>4200</v>
      </c>
      <c r="H57" s="16">
        <v>4435</v>
      </c>
      <c r="I57" s="17" t="s">
        <v>1187</v>
      </c>
      <c r="J57" s="18" t="s">
        <v>47</v>
      </c>
      <c r="K57" s="19" t="s">
        <v>48</v>
      </c>
      <c r="L57" s="19"/>
      <c r="M57" s="19" t="s">
        <v>1188</v>
      </c>
      <c r="N57" s="52" t="s">
        <v>26</v>
      </c>
      <c r="O57" s="20" t="s">
        <v>27</v>
      </c>
      <c r="P57" s="21"/>
      <c r="Q57" s="26"/>
      <c r="R57" s="20" t="s">
        <v>1189</v>
      </c>
      <c r="S57" s="20"/>
      <c r="T57" s="20" t="str">
        <f t="shared" si="4"/>
        <v>New</v>
      </c>
      <c r="U57" t="s">
        <v>6318</v>
      </c>
      <c r="V57" s="67">
        <f t="shared" si="2"/>
        <v>2023</v>
      </c>
      <c r="W57" t="s">
        <v>6658</v>
      </c>
    </row>
    <row r="58" spans="1:23" ht="17">
      <c r="A58">
        <v>3</v>
      </c>
      <c r="B58" s="11" t="s">
        <v>63</v>
      </c>
      <c r="C58" s="23" t="s">
        <v>33</v>
      </c>
      <c r="D58" s="13" t="s">
        <v>64</v>
      </c>
      <c r="E58" s="24">
        <v>592000</v>
      </c>
      <c r="F58" s="15">
        <f t="shared" si="3"/>
        <v>169.14285714285714</v>
      </c>
      <c r="G58" s="16">
        <v>3500</v>
      </c>
      <c r="H58" s="16">
        <v>3850</v>
      </c>
      <c r="I58" s="17" t="s">
        <v>65</v>
      </c>
      <c r="J58" s="18" t="s">
        <v>66</v>
      </c>
      <c r="K58" s="19" t="s">
        <v>37</v>
      </c>
      <c r="L58" s="19" t="s">
        <v>67</v>
      </c>
      <c r="M58" s="19" t="s">
        <v>68</v>
      </c>
      <c r="N58" s="52" t="s">
        <v>26</v>
      </c>
      <c r="O58" s="20" t="s">
        <v>27</v>
      </c>
      <c r="P58" s="21" t="s">
        <v>69</v>
      </c>
      <c r="Q58" s="26" t="s">
        <v>70</v>
      </c>
      <c r="R58" s="26" t="s">
        <v>71</v>
      </c>
      <c r="S58" s="20"/>
      <c r="T58" s="20" t="str">
        <f t="shared" si="4"/>
        <v>Normal</v>
      </c>
      <c r="U58" t="s">
        <v>6318</v>
      </c>
      <c r="V58" s="67">
        <f t="shared" si="2"/>
        <v>2021</v>
      </c>
      <c r="W58" t="s">
        <v>6658</v>
      </c>
    </row>
    <row r="59" spans="1:23" ht="17">
      <c r="A59">
        <v>3</v>
      </c>
      <c r="B59" s="11" t="s">
        <v>148</v>
      </c>
      <c r="C59" s="23" t="s">
        <v>33</v>
      </c>
      <c r="D59" s="13" t="s">
        <v>149</v>
      </c>
      <c r="E59" s="24">
        <v>3325000</v>
      </c>
      <c r="F59" s="15">
        <f t="shared" si="3"/>
        <v>433.95980161837639</v>
      </c>
      <c r="G59" s="16">
        <v>7662</v>
      </c>
      <c r="H59" s="16">
        <v>8163</v>
      </c>
      <c r="I59" s="17" t="s">
        <v>150</v>
      </c>
      <c r="J59" s="18" t="s">
        <v>151</v>
      </c>
      <c r="K59" s="19" t="s">
        <v>37</v>
      </c>
      <c r="L59" s="19" t="s">
        <v>152</v>
      </c>
      <c r="M59" s="19" t="s">
        <v>153</v>
      </c>
      <c r="N59" s="52" t="s">
        <v>26</v>
      </c>
      <c r="O59" s="20" t="s">
        <v>40</v>
      </c>
      <c r="P59" s="21" t="s">
        <v>154</v>
      </c>
      <c r="Q59" s="26" t="s">
        <v>155</v>
      </c>
      <c r="R59" s="20" t="s">
        <v>156</v>
      </c>
      <c r="S59" s="20"/>
      <c r="T59" s="20" t="str">
        <f t="shared" si="4"/>
        <v>Old</v>
      </c>
      <c r="U59" t="s">
        <v>6318</v>
      </c>
      <c r="V59" s="67">
        <f t="shared" si="2"/>
        <v>2020</v>
      </c>
      <c r="W59" t="s">
        <v>6657</v>
      </c>
    </row>
    <row r="60" spans="1:23" ht="34">
      <c r="A60">
        <v>3</v>
      </c>
      <c r="B60" s="11" t="s">
        <v>714</v>
      </c>
      <c r="C60" s="23" t="s">
        <v>678</v>
      </c>
      <c r="D60" s="13" t="s">
        <v>81</v>
      </c>
      <c r="E60" s="24">
        <v>1800000</v>
      </c>
      <c r="F60" s="15">
        <f t="shared" si="3"/>
        <v>300</v>
      </c>
      <c r="G60" s="16">
        <v>6000</v>
      </c>
      <c r="H60" s="16">
        <v>7257</v>
      </c>
      <c r="I60" s="17" t="s">
        <v>715</v>
      </c>
      <c r="J60" s="18" t="s">
        <v>716</v>
      </c>
      <c r="K60" s="19" t="s">
        <v>680</v>
      </c>
      <c r="L60" s="19" t="s">
        <v>711</v>
      </c>
      <c r="M60" s="19" t="s">
        <v>717</v>
      </c>
      <c r="N60" s="52" t="s">
        <v>26</v>
      </c>
      <c r="O60" s="20" t="s">
        <v>27</v>
      </c>
      <c r="P60" s="21" t="s">
        <v>718</v>
      </c>
      <c r="Q60" s="26" t="s">
        <v>719</v>
      </c>
      <c r="R60" s="20" t="s">
        <v>720</v>
      </c>
      <c r="S60" s="20"/>
      <c r="T60" s="20" t="str">
        <f t="shared" si="4"/>
        <v>Old</v>
      </c>
      <c r="U60" t="s">
        <v>6318</v>
      </c>
      <c r="V60" s="67">
        <f t="shared" si="2"/>
        <v>2025</v>
      </c>
      <c r="W60" t="s">
        <v>6657</v>
      </c>
    </row>
    <row r="61" spans="1:23" ht="48">
      <c r="A61">
        <v>3</v>
      </c>
      <c r="B61" s="29" t="s">
        <v>883</v>
      </c>
      <c r="C61" s="12" t="s">
        <v>20</v>
      </c>
      <c r="D61" s="30" t="s">
        <v>158</v>
      </c>
      <c r="E61" s="31">
        <v>1991400</v>
      </c>
      <c r="F61" s="15">
        <f t="shared" si="3"/>
        <v>466.58856607310213</v>
      </c>
      <c r="G61" s="33">
        <v>4268</v>
      </c>
      <c r="H61" s="33">
        <v>3969</v>
      </c>
      <c r="I61" s="34" t="s">
        <v>884</v>
      </c>
      <c r="J61" s="35">
        <v>2004</v>
      </c>
      <c r="K61" s="30" t="s">
        <v>24</v>
      </c>
      <c r="L61" s="30"/>
      <c r="M61" s="30" t="s">
        <v>885</v>
      </c>
      <c r="N61" s="52" t="s">
        <v>26</v>
      </c>
      <c r="O61" s="20" t="s">
        <v>27</v>
      </c>
      <c r="P61" s="21" t="s">
        <v>886</v>
      </c>
      <c r="Q61" s="26" t="s">
        <v>887</v>
      </c>
      <c r="R61" s="20" t="s">
        <v>888</v>
      </c>
      <c r="S61" s="20"/>
      <c r="T61" s="20" t="str">
        <f t="shared" si="4"/>
        <v>Normal</v>
      </c>
      <c r="U61" t="s">
        <v>6318</v>
      </c>
      <c r="V61" s="67">
        <f t="shared" si="2"/>
        <v>2024</v>
      </c>
      <c r="W61" t="s">
        <v>6658</v>
      </c>
    </row>
    <row r="62" spans="1:23" ht="34">
      <c r="A62">
        <v>3</v>
      </c>
      <c r="B62" s="11" t="s">
        <v>284</v>
      </c>
      <c r="C62" s="23" t="s">
        <v>33</v>
      </c>
      <c r="D62" s="13" t="s">
        <v>285</v>
      </c>
      <c r="E62" s="24">
        <v>3500000</v>
      </c>
      <c r="F62" s="15">
        <f t="shared" si="3"/>
        <v>591.01654846335703</v>
      </c>
      <c r="G62" s="16">
        <v>5922</v>
      </c>
      <c r="H62" s="16">
        <v>6039</v>
      </c>
      <c r="I62" s="17" t="s">
        <v>6520</v>
      </c>
      <c r="J62" s="18" t="s">
        <v>287</v>
      </c>
      <c r="K62" s="19" t="s">
        <v>48</v>
      </c>
      <c r="L62" s="19" t="s">
        <v>110</v>
      </c>
      <c r="M62" s="19" t="s">
        <v>288</v>
      </c>
      <c r="N62" s="52" t="s">
        <v>6212</v>
      </c>
      <c r="O62" s="20" t="s">
        <v>27</v>
      </c>
      <c r="P62" s="21" t="s">
        <v>289</v>
      </c>
      <c r="Q62" s="26" t="s">
        <v>290</v>
      </c>
      <c r="R62" s="20" t="s">
        <v>291</v>
      </c>
      <c r="S62" s="20"/>
      <c r="T62" s="20" t="str">
        <f t="shared" si="4"/>
        <v>New</v>
      </c>
      <c r="V62" s="67">
        <f t="shared" si="2"/>
        <v>2024</v>
      </c>
      <c r="W62" t="s">
        <v>6658</v>
      </c>
    </row>
    <row r="63" spans="1:23" ht="34">
      <c r="A63">
        <v>3</v>
      </c>
      <c r="B63" s="11" t="s">
        <v>1090</v>
      </c>
      <c r="C63" s="12" t="s">
        <v>184</v>
      </c>
      <c r="D63" s="13" t="s">
        <v>925</v>
      </c>
      <c r="E63" s="24">
        <v>417500</v>
      </c>
      <c r="F63" s="15">
        <f t="shared" si="3"/>
        <v>224.94612068965517</v>
      </c>
      <c r="G63" s="16">
        <v>1856</v>
      </c>
      <c r="H63" s="16">
        <v>2200</v>
      </c>
      <c r="I63" s="17" t="s">
        <v>1091</v>
      </c>
      <c r="J63" s="18" t="s">
        <v>75</v>
      </c>
      <c r="K63" s="19" t="s">
        <v>37</v>
      </c>
      <c r="L63" s="19"/>
      <c r="M63" s="19" t="s">
        <v>1092</v>
      </c>
      <c r="N63" s="52" t="s">
        <v>26</v>
      </c>
      <c r="O63" s="20" t="s">
        <v>27</v>
      </c>
      <c r="P63" s="21" t="s">
        <v>1093</v>
      </c>
      <c r="Q63" s="26" t="s">
        <v>1094</v>
      </c>
      <c r="R63" s="26" t="s">
        <v>1095</v>
      </c>
      <c r="S63" s="20"/>
      <c r="T63" s="20" t="str">
        <f t="shared" si="4"/>
        <v>Old</v>
      </c>
      <c r="U63" t="s">
        <v>6318</v>
      </c>
      <c r="V63" s="67">
        <f t="shared" si="2"/>
        <v>2021</v>
      </c>
      <c r="W63" t="s">
        <v>6659</v>
      </c>
    </row>
    <row r="64" spans="1:23" ht="34">
      <c r="A64">
        <v>3</v>
      </c>
      <c r="B64" s="11" t="s">
        <v>1497</v>
      </c>
      <c r="C64" s="12" t="s">
        <v>20</v>
      </c>
      <c r="D64" s="13" t="s">
        <v>73</v>
      </c>
      <c r="E64" s="24">
        <v>500000</v>
      </c>
      <c r="F64" s="15">
        <f t="shared" si="3"/>
        <v>271.29679869777539</v>
      </c>
      <c r="G64" s="16">
        <v>1843</v>
      </c>
      <c r="H64" s="16">
        <v>2991</v>
      </c>
      <c r="I64" s="17" t="s">
        <v>1498</v>
      </c>
      <c r="J64" s="18" t="s">
        <v>1499</v>
      </c>
      <c r="K64" s="19" t="s">
        <v>1465</v>
      </c>
      <c r="L64" s="19"/>
      <c r="M64" s="19" t="s">
        <v>1500</v>
      </c>
      <c r="N64" s="52" t="s">
        <v>26</v>
      </c>
      <c r="O64" s="20" t="s">
        <v>27</v>
      </c>
      <c r="P64" s="21" t="s">
        <v>1501</v>
      </c>
      <c r="Q64" s="20" t="s">
        <v>1502</v>
      </c>
      <c r="R64" s="20" t="s">
        <v>1503</v>
      </c>
      <c r="S64" s="20"/>
      <c r="T64" s="20" t="str">
        <f t="shared" si="4"/>
        <v>Old</v>
      </c>
      <c r="U64" t="s">
        <v>6318</v>
      </c>
      <c r="V64" s="67">
        <f t="shared" si="2"/>
        <v>2025</v>
      </c>
      <c r="W64" t="s">
        <v>6659</v>
      </c>
    </row>
    <row r="65" spans="1:23" ht="34">
      <c r="A65">
        <v>3</v>
      </c>
      <c r="B65" s="11" t="s">
        <v>508</v>
      </c>
      <c r="C65" s="23" t="s">
        <v>33</v>
      </c>
      <c r="D65" s="13" t="s">
        <v>141</v>
      </c>
      <c r="E65" s="24">
        <v>1400000</v>
      </c>
      <c r="F65" s="15">
        <f t="shared" si="3"/>
        <v>408.87850467289718</v>
      </c>
      <c r="G65" s="16">
        <v>3424</v>
      </c>
      <c r="H65" s="16">
        <v>3468</v>
      </c>
      <c r="I65" s="17" t="s">
        <v>6428</v>
      </c>
      <c r="J65" s="18" t="s">
        <v>309</v>
      </c>
      <c r="K65" s="19" t="s">
        <v>37</v>
      </c>
      <c r="L65" s="19" t="s">
        <v>510</v>
      </c>
      <c r="M65" s="19" t="s">
        <v>511</v>
      </c>
      <c r="N65" s="52" t="s">
        <v>26</v>
      </c>
      <c r="O65" s="20" t="s">
        <v>27</v>
      </c>
      <c r="P65" s="21" t="s">
        <v>512</v>
      </c>
      <c r="Q65" s="26" t="s">
        <v>513</v>
      </c>
      <c r="R65" s="26" t="s">
        <v>514</v>
      </c>
      <c r="S65" s="20"/>
      <c r="T65" s="20" t="str">
        <f t="shared" si="4"/>
        <v>Old</v>
      </c>
      <c r="U65" t="s">
        <v>6318</v>
      </c>
      <c r="V65" s="67">
        <f t="shared" si="2"/>
        <v>2022</v>
      </c>
      <c r="W65" t="s">
        <v>6658</v>
      </c>
    </row>
    <row r="66" spans="1:23" ht="34">
      <c r="A66">
        <v>3</v>
      </c>
      <c r="B66" s="11" t="s">
        <v>650</v>
      </c>
      <c r="C66" s="23" t="s">
        <v>33</v>
      </c>
      <c r="D66" s="13" t="s">
        <v>330</v>
      </c>
      <c r="E66" s="24">
        <v>1410000</v>
      </c>
      <c r="F66" s="15">
        <f t="shared" si="3"/>
        <v>206.29114850036575</v>
      </c>
      <c r="G66" s="16">
        <v>6835</v>
      </c>
      <c r="H66" s="16">
        <v>7058</v>
      </c>
      <c r="I66" s="17" t="s">
        <v>6337</v>
      </c>
      <c r="J66" s="18" t="s">
        <v>652</v>
      </c>
      <c r="K66" s="19" t="s">
        <v>48</v>
      </c>
      <c r="L66" s="19" t="s">
        <v>620</v>
      </c>
      <c r="M66" s="19" t="s">
        <v>653</v>
      </c>
      <c r="N66" s="52" t="s">
        <v>26</v>
      </c>
      <c r="O66" s="20" t="s">
        <v>27</v>
      </c>
      <c r="P66" s="21" t="s">
        <v>654</v>
      </c>
      <c r="Q66" s="26" t="s">
        <v>655</v>
      </c>
      <c r="R66" s="20" t="s">
        <v>656</v>
      </c>
      <c r="S66" s="20"/>
      <c r="T66" s="20" t="str">
        <f t="shared" si="4"/>
        <v>Old</v>
      </c>
      <c r="U66" t="s">
        <v>6318</v>
      </c>
      <c r="V66" s="67">
        <f t="shared" si="2"/>
        <v>2020</v>
      </c>
      <c r="W66" t="s">
        <v>6657</v>
      </c>
    </row>
    <row r="67" spans="1:23" ht="34">
      <c r="A67">
        <v>3</v>
      </c>
      <c r="B67" s="11" t="s">
        <v>123</v>
      </c>
      <c r="C67" s="23" t="s">
        <v>33</v>
      </c>
      <c r="D67" s="13" t="s">
        <v>124</v>
      </c>
      <c r="E67" s="24">
        <v>800000</v>
      </c>
      <c r="F67" s="15">
        <f t="shared" ref="F67:F98" si="5">E67/G67</f>
        <v>322.58064516129031</v>
      </c>
      <c r="G67" s="16">
        <v>2480</v>
      </c>
      <c r="H67" s="16">
        <v>2673</v>
      </c>
      <c r="I67" s="17" t="s">
        <v>125</v>
      </c>
      <c r="J67" s="18" t="s">
        <v>126</v>
      </c>
      <c r="K67" s="19" t="s">
        <v>48</v>
      </c>
      <c r="L67" s="19" t="s">
        <v>127</v>
      </c>
      <c r="M67" s="19" t="s">
        <v>128</v>
      </c>
      <c r="N67" s="52" t="s">
        <v>26</v>
      </c>
      <c r="O67" s="20" t="s">
        <v>27</v>
      </c>
      <c r="P67" s="21" t="s">
        <v>129</v>
      </c>
      <c r="Q67" s="26" t="s">
        <v>130</v>
      </c>
      <c r="R67" s="26" t="s">
        <v>131</v>
      </c>
      <c r="S67" s="20"/>
      <c r="T67" s="20" t="str">
        <f t="shared" ref="T67:T98" si="6">IF(OR(J67="",D67=""),"Unknown",IF(LEFT(D67,4)*1-J67*1&lt;=10,"New",IF(LEFT(D67,4)*1-J67*1&lt;=25,"Normal","Old")))</f>
        <v>Old</v>
      </c>
      <c r="U67" t="s">
        <v>6318</v>
      </c>
      <c r="V67" s="67">
        <f t="shared" si="2"/>
        <v>2022</v>
      </c>
      <c r="W67" t="s">
        <v>6659</v>
      </c>
    </row>
    <row r="68" spans="1:23" ht="34">
      <c r="A68">
        <v>3</v>
      </c>
      <c r="B68" s="11" t="s">
        <v>435</v>
      </c>
      <c r="C68" s="23" t="s">
        <v>33</v>
      </c>
      <c r="D68" s="13" t="s">
        <v>436</v>
      </c>
      <c r="E68" s="24">
        <v>3000000</v>
      </c>
      <c r="F68" s="15">
        <f t="shared" si="5"/>
        <v>713.43638525564802</v>
      </c>
      <c r="G68" s="16">
        <v>4205</v>
      </c>
      <c r="H68" s="16">
        <v>5986</v>
      </c>
      <c r="I68" s="17" t="s">
        <v>437</v>
      </c>
      <c r="J68" s="18" t="s">
        <v>358</v>
      </c>
      <c r="K68" s="19" t="s">
        <v>48</v>
      </c>
      <c r="L68" s="19" t="s">
        <v>438</v>
      </c>
      <c r="M68" s="19" t="s">
        <v>439</v>
      </c>
      <c r="N68" s="52" t="s">
        <v>26</v>
      </c>
      <c r="O68" s="20" t="s">
        <v>27</v>
      </c>
      <c r="P68" s="21" t="s">
        <v>440</v>
      </c>
      <c r="Q68" s="26" t="s">
        <v>441</v>
      </c>
      <c r="R68" s="20" t="s">
        <v>442</v>
      </c>
      <c r="S68" s="20"/>
      <c r="T68" s="20" t="str">
        <f t="shared" si="6"/>
        <v>Normal</v>
      </c>
      <c r="V68" s="67">
        <f t="shared" ref="V68:V131" si="7">LEFT(D68,4)*1</f>
        <v>2023</v>
      </c>
      <c r="W68" t="s">
        <v>6658</v>
      </c>
    </row>
    <row r="69" spans="1:23" ht="17">
      <c r="A69">
        <v>3</v>
      </c>
      <c r="B69" s="11" t="s">
        <v>1190</v>
      </c>
      <c r="C69" s="12" t="s">
        <v>184</v>
      </c>
      <c r="D69" s="13" t="s">
        <v>792</v>
      </c>
      <c r="E69" s="24">
        <v>3300000</v>
      </c>
      <c r="F69" s="15">
        <f t="shared" si="5"/>
        <v>422.53521126760563</v>
      </c>
      <c r="G69" s="16">
        <v>7810</v>
      </c>
      <c r="H69" s="16">
        <v>8314</v>
      </c>
      <c r="I69" s="17" t="s">
        <v>1191</v>
      </c>
      <c r="J69" s="18" t="s">
        <v>358</v>
      </c>
      <c r="K69" s="19" t="s">
        <v>48</v>
      </c>
      <c r="L69" s="19"/>
      <c r="M69" s="19" t="s">
        <v>1192</v>
      </c>
      <c r="N69" s="52" t="s">
        <v>26</v>
      </c>
      <c r="O69" s="20" t="s">
        <v>27</v>
      </c>
      <c r="P69" s="21"/>
      <c r="Q69" s="26"/>
      <c r="R69" s="20" t="s">
        <v>1193</v>
      </c>
      <c r="S69" s="20"/>
      <c r="T69" s="20" t="str">
        <f t="shared" si="6"/>
        <v>Normal</v>
      </c>
      <c r="U69" t="s">
        <v>6318</v>
      </c>
      <c r="V69" s="67">
        <f t="shared" si="7"/>
        <v>2024</v>
      </c>
      <c r="W69" t="s">
        <v>6657</v>
      </c>
    </row>
    <row r="70" spans="1:23" ht="32">
      <c r="A70">
        <v>3</v>
      </c>
      <c r="B70" s="29" t="s">
        <v>889</v>
      </c>
      <c r="C70" s="12" t="s">
        <v>20</v>
      </c>
      <c r="D70" s="30" t="s">
        <v>336</v>
      </c>
      <c r="E70" s="31">
        <v>250100</v>
      </c>
      <c r="F70" s="15">
        <f t="shared" si="5"/>
        <v>116.32558139534883</v>
      </c>
      <c r="G70" s="33">
        <v>2150</v>
      </c>
      <c r="H70" s="33">
        <v>2150</v>
      </c>
      <c r="I70" s="34" t="s">
        <v>6360</v>
      </c>
      <c r="J70" s="35">
        <v>2007</v>
      </c>
      <c r="K70" s="30" t="s">
        <v>172</v>
      </c>
      <c r="L70" s="30"/>
      <c r="M70" s="30" t="s">
        <v>891</v>
      </c>
      <c r="N70" s="52" t="s">
        <v>26</v>
      </c>
      <c r="O70" s="20" t="s">
        <v>27</v>
      </c>
      <c r="P70" s="21" t="s">
        <v>892</v>
      </c>
      <c r="Q70" s="26" t="s">
        <v>893</v>
      </c>
      <c r="R70" s="20" t="s">
        <v>894</v>
      </c>
      <c r="S70" s="20"/>
      <c r="T70" s="20" t="str">
        <f t="shared" si="6"/>
        <v>Normal</v>
      </c>
      <c r="U70" t="s">
        <v>6318</v>
      </c>
      <c r="V70" s="67">
        <f t="shared" si="7"/>
        <v>2021</v>
      </c>
      <c r="W70" t="s">
        <v>6659</v>
      </c>
    </row>
    <row r="71" spans="1:23" ht="34">
      <c r="A71">
        <v>3</v>
      </c>
      <c r="B71" s="11" t="s">
        <v>1318</v>
      </c>
      <c r="C71" s="12" t="s">
        <v>20</v>
      </c>
      <c r="D71" s="13" t="s">
        <v>779</v>
      </c>
      <c r="E71" s="14">
        <v>2000000</v>
      </c>
      <c r="F71" s="15">
        <f t="shared" si="5"/>
        <v>244.85798237022527</v>
      </c>
      <c r="G71" s="16">
        <v>8168</v>
      </c>
      <c r="H71" s="16">
        <v>8168</v>
      </c>
      <c r="I71" s="17" t="s">
        <v>1319</v>
      </c>
      <c r="J71" s="18" t="s">
        <v>747</v>
      </c>
      <c r="K71" s="19" t="s">
        <v>1320</v>
      </c>
      <c r="L71" s="19"/>
      <c r="M71" s="19" t="s">
        <v>1321</v>
      </c>
      <c r="N71" s="52" t="s">
        <v>26</v>
      </c>
      <c r="O71" s="20" t="s">
        <v>27</v>
      </c>
      <c r="P71" s="21" t="s">
        <v>1322</v>
      </c>
      <c r="Q71" s="22" t="s">
        <v>1323</v>
      </c>
      <c r="R71" s="22" t="s">
        <v>1324</v>
      </c>
      <c r="S71" s="20"/>
      <c r="T71" s="20" t="str">
        <f t="shared" si="6"/>
        <v>Old</v>
      </c>
      <c r="U71" t="s">
        <v>6318</v>
      </c>
      <c r="V71" s="67">
        <f t="shared" si="7"/>
        <v>2025</v>
      </c>
      <c r="W71" t="s">
        <v>6657</v>
      </c>
    </row>
    <row r="72" spans="1:23" ht="34">
      <c r="A72">
        <v>3</v>
      </c>
      <c r="B72" s="11" t="s">
        <v>685</v>
      </c>
      <c r="C72" s="23" t="s">
        <v>678</v>
      </c>
      <c r="D72" s="13" t="s">
        <v>686</v>
      </c>
      <c r="E72" s="24">
        <v>1250000</v>
      </c>
      <c r="F72" s="15">
        <f t="shared" si="5"/>
        <v>207.95208783896192</v>
      </c>
      <c r="G72" s="16">
        <v>6011</v>
      </c>
      <c r="H72" s="16">
        <v>6707</v>
      </c>
      <c r="I72" s="17" t="s">
        <v>6338</v>
      </c>
      <c r="J72" s="18" t="s">
        <v>688</v>
      </c>
      <c r="K72" s="19" t="s">
        <v>680</v>
      </c>
      <c r="L72" s="19" t="s">
        <v>689</v>
      </c>
      <c r="M72" s="19" t="s">
        <v>690</v>
      </c>
      <c r="N72" s="52" t="s">
        <v>26</v>
      </c>
      <c r="O72" s="20" t="s">
        <v>27</v>
      </c>
      <c r="P72" s="21" t="s">
        <v>691</v>
      </c>
      <c r="Q72" s="26" t="s">
        <v>692</v>
      </c>
      <c r="R72" s="20" t="s">
        <v>693</v>
      </c>
      <c r="S72" s="20"/>
      <c r="T72" s="20" t="str">
        <f t="shared" si="6"/>
        <v>New</v>
      </c>
      <c r="U72" t="s">
        <v>6318</v>
      </c>
      <c r="V72" s="67">
        <f t="shared" si="7"/>
        <v>2020</v>
      </c>
      <c r="W72" t="s">
        <v>6657</v>
      </c>
    </row>
    <row r="73" spans="1:23" ht="34">
      <c r="A73">
        <v>3</v>
      </c>
      <c r="B73" s="29" t="s">
        <v>1037</v>
      </c>
      <c r="C73" s="12" t="s">
        <v>20</v>
      </c>
      <c r="D73" s="30" t="s">
        <v>591</v>
      </c>
      <c r="E73" s="31">
        <v>350000</v>
      </c>
      <c r="F73" s="15">
        <f t="shared" si="5"/>
        <v>171.82130584192439</v>
      </c>
      <c r="G73" s="33">
        <v>2037</v>
      </c>
      <c r="H73" s="33">
        <v>2037</v>
      </c>
      <c r="I73" s="34" t="s">
        <v>6419</v>
      </c>
      <c r="J73" s="35">
        <v>1989</v>
      </c>
      <c r="K73" s="30" t="s">
        <v>172</v>
      </c>
      <c r="L73" s="30"/>
      <c r="M73" s="30" t="s">
        <v>1039</v>
      </c>
      <c r="N73" s="52" t="s">
        <v>26</v>
      </c>
      <c r="O73" s="20" t="s">
        <v>27</v>
      </c>
      <c r="P73" s="21" t="s">
        <v>1040</v>
      </c>
      <c r="Q73" s="26" t="s">
        <v>1041</v>
      </c>
      <c r="R73" s="20" t="s">
        <v>1042</v>
      </c>
      <c r="S73" s="20"/>
      <c r="T73" s="20" t="str">
        <f t="shared" si="6"/>
        <v>Old</v>
      </c>
      <c r="U73" t="s">
        <v>6318</v>
      </c>
      <c r="V73" s="67">
        <f t="shared" si="7"/>
        <v>2022</v>
      </c>
      <c r="W73" t="s">
        <v>6659</v>
      </c>
    </row>
    <row r="74" spans="1:23" ht="51">
      <c r="A74">
        <v>3</v>
      </c>
      <c r="B74" s="11" t="s">
        <v>1343</v>
      </c>
      <c r="C74" s="12" t="s">
        <v>20</v>
      </c>
      <c r="D74" s="13" t="s">
        <v>658</v>
      </c>
      <c r="E74" s="24">
        <v>514200</v>
      </c>
      <c r="F74" s="15">
        <f t="shared" si="5"/>
        <v>205.68</v>
      </c>
      <c r="G74" s="16">
        <v>2500</v>
      </c>
      <c r="H74" s="16">
        <v>2500</v>
      </c>
      <c r="I74" s="17" t="s">
        <v>1344</v>
      </c>
      <c r="J74" s="18" t="s">
        <v>646</v>
      </c>
      <c r="K74" s="19" t="s">
        <v>24</v>
      </c>
      <c r="L74" s="19"/>
      <c r="M74" s="19" t="s">
        <v>1345</v>
      </c>
      <c r="N74" s="52" t="s">
        <v>26</v>
      </c>
      <c r="O74" s="20" t="s">
        <v>27</v>
      </c>
      <c r="P74" s="21" t="s">
        <v>1346</v>
      </c>
      <c r="Q74" s="26" t="s">
        <v>1347</v>
      </c>
      <c r="R74" s="20" t="s">
        <v>1348</v>
      </c>
      <c r="S74" s="20"/>
      <c r="T74" s="20" t="str">
        <f t="shared" si="6"/>
        <v>Old</v>
      </c>
      <c r="U74" t="s">
        <v>6318</v>
      </c>
      <c r="V74" s="67">
        <f t="shared" si="7"/>
        <v>2025</v>
      </c>
      <c r="W74" t="s">
        <v>6659</v>
      </c>
    </row>
    <row r="75" spans="1:23" ht="17">
      <c r="A75">
        <v>3</v>
      </c>
      <c r="B75" s="11" t="s">
        <v>321</v>
      </c>
      <c r="C75" s="23" t="s">
        <v>33</v>
      </c>
      <c r="D75" s="13" t="s">
        <v>322</v>
      </c>
      <c r="E75" s="24">
        <v>1140000</v>
      </c>
      <c r="F75" s="15">
        <f t="shared" si="5"/>
        <v>276.90065581734274</v>
      </c>
      <c r="G75" s="16">
        <v>4117</v>
      </c>
      <c r="H75" s="16">
        <v>5455</v>
      </c>
      <c r="I75" s="17" t="s">
        <v>6464</v>
      </c>
      <c r="J75" s="18" t="s">
        <v>83</v>
      </c>
      <c r="K75" s="19" t="s">
        <v>48</v>
      </c>
      <c r="L75" s="19" t="s">
        <v>324</v>
      </c>
      <c r="M75" s="19" t="s">
        <v>325</v>
      </c>
      <c r="N75" s="52" t="s">
        <v>26</v>
      </c>
      <c r="O75" s="20" t="s">
        <v>27</v>
      </c>
      <c r="P75" s="21" t="s">
        <v>326</v>
      </c>
      <c r="Q75" s="26" t="s">
        <v>327</v>
      </c>
      <c r="R75" s="20" t="s">
        <v>328</v>
      </c>
      <c r="S75" s="20"/>
      <c r="T75" s="20" t="str">
        <f t="shared" si="6"/>
        <v>Normal</v>
      </c>
      <c r="U75" t="s">
        <v>6318</v>
      </c>
      <c r="V75" s="67">
        <f t="shared" si="7"/>
        <v>2023</v>
      </c>
      <c r="W75" t="s">
        <v>6658</v>
      </c>
    </row>
    <row r="76" spans="1:23" ht="32">
      <c r="A76">
        <v>3</v>
      </c>
      <c r="B76" s="29" t="s">
        <v>176</v>
      </c>
      <c r="C76" s="12" t="s">
        <v>20</v>
      </c>
      <c r="D76" s="30" t="s">
        <v>177</v>
      </c>
      <c r="E76" s="31">
        <v>600000</v>
      </c>
      <c r="F76" s="15">
        <f t="shared" si="5"/>
        <v>173.81228273464657</v>
      </c>
      <c r="G76" s="33">
        <v>3452</v>
      </c>
      <c r="H76" s="33">
        <v>3452</v>
      </c>
      <c r="I76" s="34" t="s">
        <v>6367</v>
      </c>
      <c r="J76" s="35">
        <v>1980</v>
      </c>
      <c r="K76" s="30" t="s">
        <v>24</v>
      </c>
      <c r="L76" s="30"/>
      <c r="M76" s="30" t="s">
        <v>179</v>
      </c>
      <c r="N76" s="52" t="s">
        <v>26</v>
      </c>
      <c r="O76" s="20" t="s">
        <v>40</v>
      </c>
      <c r="P76" s="21" t="s">
        <v>180</v>
      </c>
      <c r="Q76" s="26" t="s">
        <v>181</v>
      </c>
      <c r="R76" s="20" t="s">
        <v>182</v>
      </c>
      <c r="S76" s="20"/>
      <c r="T76" s="20" t="str">
        <f t="shared" si="6"/>
        <v>Old</v>
      </c>
      <c r="U76" t="s">
        <v>6318</v>
      </c>
      <c r="V76" s="67">
        <f t="shared" si="7"/>
        <v>2021</v>
      </c>
      <c r="W76" t="s">
        <v>6658</v>
      </c>
    </row>
    <row r="77" spans="1:23" ht="34">
      <c r="A77">
        <v>3</v>
      </c>
      <c r="B77" s="11" t="s">
        <v>501</v>
      </c>
      <c r="C77" s="23" t="s">
        <v>33</v>
      </c>
      <c r="D77" s="13" t="s">
        <v>223</v>
      </c>
      <c r="E77" s="24">
        <v>366400</v>
      </c>
      <c r="F77" s="15">
        <f t="shared" si="5"/>
        <v>127.39916550764951</v>
      </c>
      <c r="G77" s="16">
        <v>2876</v>
      </c>
      <c r="H77" s="16">
        <v>2936</v>
      </c>
      <c r="I77" s="17" t="s">
        <v>6362</v>
      </c>
      <c r="J77" s="18" t="s">
        <v>287</v>
      </c>
      <c r="K77" s="19" t="s">
        <v>48</v>
      </c>
      <c r="L77" s="19" t="s">
        <v>503</v>
      </c>
      <c r="M77" s="19" t="s">
        <v>504</v>
      </c>
      <c r="N77" s="52" t="s">
        <v>26</v>
      </c>
      <c r="O77" s="20" t="s">
        <v>27</v>
      </c>
      <c r="P77" s="21" t="s">
        <v>505</v>
      </c>
      <c r="Q77" s="26" t="s">
        <v>506</v>
      </c>
      <c r="R77" s="20" t="s">
        <v>507</v>
      </c>
      <c r="S77" s="20"/>
      <c r="T77" s="20" t="str">
        <f t="shared" si="6"/>
        <v>New</v>
      </c>
      <c r="U77" t="s">
        <v>6318</v>
      </c>
      <c r="V77" s="67">
        <f t="shared" si="7"/>
        <v>2021</v>
      </c>
      <c r="W77" t="s">
        <v>6659</v>
      </c>
    </row>
    <row r="78" spans="1:23" ht="32">
      <c r="A78">
        <v>3</v>
      </c>
      <c r="B78" s="29" t="s">
        <v>1470</v>
      </c>
      <c r="C78" s="12" t="s">
        <v>20</v>
      </c>
      <c r="D78" s="30" t="s">
        <v>877</v>
      </c>
      <c r="E78" s="31">
        <v>800000</v>
      </c>
      <c r="F78" s="15">
        <f t="shared" si="5"/>
        <v>150.48908954100827</v>
      </c>
      <c r="G78" s="33">
        <v>5316</v>
      </c>
      <c r="H78" s="33">
        <v>6024</v>
      </c>
      <c r="I78" s="34" t="s">
        <v>1471</v>
      </c>
      <c r="J78" s="35">
        <v>1988</v>
      </c>
      <c r="K78" s="30" t="s">
        <v>1465</v>
      </c>
      <c r="L78" s="30"/>
      <c r="M78" s="30" t="s">
        <v>1472</v>
      </c>
      <c r="N78" s="52" t="s">
        <v>26</v>
      </c>
      <c r="O78" s="20" t="s">
        <v>27</v>
      </c>
      <c r="P78" s="21" t="s">
        <v>1473</v>
      </c>
      <c r="Q78" s="26" t="s">
        <v>1474</v>
      </c>
      <c r="R78" s="20" t="s">
        <v>1475</v>
      </c>
      <c r="S78" s="20"/>
      <c r="T78" s="20" t="str">
        <f t="shared" si="6"/>
        <v>Old</v>
      </c>
      <c r="U78" t="s">
        <v>6318</v>
      </c>
      <c r="V78" s="67">
        <f t="shared" si="7"/>
        <v>2024</v>
      </c>
      <c r="W78" t="s">
        <v>6658</v>
      </c>
    </row>
    <row r="79" spans="1:23" ht="34">
      <c r="A79">
        <v>3</v>
      </c>
      <c r="B79" s="11" t="s">
        <v>89</v>
      </c>
      <c r="C79" s="23" t="s">
        <v>33</v>
      </c>
      <c r="D79" s="13" t="s">
        <v>90</v>
      </c>
      <c r="E79" s="24">
        <v>1224900</v>
      </c>
      <c r="F79" s="15">
        <f t="shared" si="5"/>
        <v>236.14806246385194</v>
      </c>
      <c r="G79" s="16">
        <v>5187</v>
      </c>
      <c r="H79" s="16">
        <v>5571</v>
      </c>
      <c r="I79" s="17" t="s">
        <v>91</v>
      </c>
      <c r="J79" s="18" t="s">
        <v>92</v>
      </c>
      <c r="K79" s="19" t="s">
        <v>48</v>
      </c>
      <c r="L79" s="19" t="s">
        <v>93</v>
      </c>
      <c r="M79" s="19" t="s">
        <v>94</v>
      </c>
      <c r="N79" s="52" t="s">
        <v>26</v>
      </c>
      <c r="O79" s="20" t="s">
        <v>40</v>
      </c>
      <c r="P79" s="21" t="s">
        <v>95</v>
      </c>
      <c r="Q79" s="26" t="s">
        <v>96</v>
      </c>
      <c r="R79" s="20" t="s">
        <v>97</v>
      </c>
      <c r="S79" s="20"/>
      <c r="T79" s="20" t="str">
        <f t="shared" si="6"/>
        <v>Normal</v>
      </c>
      <c r="U79" t="s">
        <v>6318</v>
      </c>
      <c r="V79" s="67">
        <f t="shared" si="7"/>
        <v>2021</v>
      </c>
      <c r="W79" t="s">
        <v>6658</v>
      </c>
    </row>
    <row r="80" spans="1:23" ht="34">
      <c r="A80">
        <v>3</v>
      </c>
      <c r="B80" s="11" t="s">
        <v>1236</v>
      </c>
      <c r="C80" s="12" t="s">
        <v>20</v>
      </c>
      <c r="D80" s="13" t="s">
        <v>124</v>
      </c>
      <c r="E80" s="24">
        <v>510000</v>
      </c>
      <c r="F80" s="15">
        <f t="shared" si="5"/>
        <v>202.06022187004754</v>
      </c>
      <c r="G80" s="16">
        <v>2524</v>
      </c>
      <c r="H80" s="16">
        <v>2524</v>
      </c>
      <c r="I80" s="17" t="s">
        <v>6423</v>
      </c>
      <c r="J80" s="18" t="s">
        <v>301</v>
      </c>
      <c r="K80" s="19" t="s">
        <v>24</v>
      </c>
      <c r="L80" s="19"/>
      <c r="M80" s="19" t="s">
        <v>1238</v>
      </c>
      <c r="N80" s="52" t="s">
        <v>26</v>
      </c>
      <c r="O80" s="20" t="s">
        <v>27</v>
      </c>
      <c r="P80" s="21" t="s">
        <v>1239</v>
      </c>
      <c r="Q80" s="26" t="s">
        <v>1240</v>
      </c>
      <c r="R80" s="20" t="s">
        <v>1241</v>
      </c>
      <c r="S80" s="20"/>
      <c r="T80" s="20" t="str">
        <f t="shared" si="6"/>
        <v>Old</v>
      </c>
      <c r="U80" t="s">
        <v>6318</v>
      </c>
      <c r="V80" s="67">
        <f t="shared" si="7"/>
        <v>2022</v>
      </c>
      <c r="W80" t="s">
        <v>6659</v>
      </c>
    </row>
    <row r="81" spans="1:23" ht="17">
      <c r="A81">
        <v>3</v>
      </c>
      <c r="B81" s="11" t="s">
        <v>1447</v>
      </c>
      <c r="C81" s="23" t="s">
        <v>678</v>
      </c>
      <c r="D81" s="13" t="s">
        <v>285</v>
      </c>
      <c r="E81" s="14">
        <v>2414000</v>
      </c>
      <c r="F81" s="15">
        <f t="shared" si="5"/>
        <v>134.11111111111111</v>
      </c>
      <c r="G81" s="16">
        <v>18000</v>
      </c>
      <c r="H81" s="16">
        <v>18720</v>
      </c>
      <c r="I81" s="17" t="s">
        <v>1448</v>
      </c>
      <c r="J81" s="18" t="s">
        <v>57</v>
      </c>
      <c r="K81" s="19" t="s">
        <v>680</v>
      </c>
      <c r="L81" s="19" t="s">
        <v>711</v>
      </c>
      <c r="M81" s="19" t="s">
        <v>1449</v>
      </c>
      <c r="N81" s="52" t="s">
        <v>26</v>
      </c>
      <c r="O81" s="20" t="s">
        <v>27</v>
      </c>
      <c r="P81" s="21" t="s">
        <v>1450</v>
      </c>
      <c r="Q81" s="22" t="s">
        <v>1451</v>
      </c>
      <c r="R81" s="22" t="s">
        <v>1452</v>
      </c>
      <c r="S81" s="20"/>
      <c r="T81" s="20" t="str">
        <f t="shared" si="6"/>
        <v>Old</v>
      </c>
      <c r="U81" t="s">
        <v>6318</v>
      </c>
      <c r="V81" s="67">
        <f t="shared" si="7"/>
        <v>2024</v>
      </c>
      <c r="W81" t="s">
        <v>6655</v>
      </c>
    </row>
    <row r="82" spans="1:23" ht="68">
      <c r="A82">
        <v>3</v>
      </c>
      <c r="B82" s="11" t="s">
        <v>553</v>
      </c>
      <c r="C82" s="23" t="s">
        <v>33</v>
      </c>
      <c r="D82" s="13" t="s">
        <v>554</v>
      </c>
      <c r="E82" s="24">
        <v>4900000</v>
      </c>
      <c r="F82" s="15">
        <f t="shared" si="5"/>
        <v>850.69444444444446</v>
      </c>
      <c r="G82" s="16">
        <v>5760</v>
      </c>
      <c r="H82" s="16">
        <v>7120</v>
      </c>
      <c r="I82" s="17" t="s">
        <v>524</v>
      </c>
      <c r="J82" s="18" t="s">
        <v>476</v>
      </c>
      <c r="K82" s="19" t="s">
        <v>48</v>
      </c>
      <c r="L82" s="19" t="s">
        <v>143</v>
      </c>
      <c r="M82" s="19" t="s">
        <v>555</v>
      </c>
      <c r="N82" s="52" t="s">
        <v>26</v>
      </c>
      <c r="O82" s="20" t="s">
        <v>27</v>
      </c>
      <c r="P82" s="21" t="s">
        <v>556</v>
      </c>
      <c r="Q82" s="26" t="s">
        <v>557</v>
      </c>
      <c r="R82" s="20" t="s">
        <v>558</v>
      </c>
      <c r="S82" s="20"/>
      <c r="T82" s="20" t="str">
        <f t="shared" si="6"/>
        <v>Old</v>
      </c>
      <c r="V82" s="67">
        <f t="shared" si="7"/>
        <v>2022</v>
      </c>
      <c r="W82" t="s">
        <v>6658</v>
      </c>
    </row>
    <row r="83" spans="1:23" ht="51">
      <c r="A83">
        <v>3</v>
      </c>
      <c r="B83" s="11" t="s">
        <v>383</v>
      </c>
      <c r="C83" s="23" t="s">
        <v>33</v>
      </c>
      <c r="D83" s="13" t="s">
        <v>133</v>
      </c>
      <c r="E83" s="14">
        <v>4030000</v>
      </c>
      <c r="F83" s="15">
        <f t="shared" si="5"/>
        <v>494.59990181639665</v>
      </c>
      <c r="G83" s="16">
        <v>8148</v>
      </c>
      <c r="H83" s="16">
        <v>8250</v>
      </c>
      <c r="I83" s="17" t="s">
        <v>6430</v>
      </c>
      <c r="J83" s="18" t="s">
        <v>385</v>
      </c>
      <c r="K83" s="19" t="s">
        <v>48</v>
      </c>
      <c r="L83" s="19" t="s">
        <v>324</v>
      </c>
      <c r="M83" s="19" t="s">
        <v>386</v>
      </c>
      <c r="N83" s="52" t="s">
        <v>26</v>
      </c>
      <c r="O83" s="20" t="s">
        <v>27</v>
      </c>
      <c r="P83" s="21" t="s">
        <v>387</v>
      </c>
      <c r="Q83" s="22" t="s">
        <v>388</v>
      </c>
      <c r="R83" s="22" t="s">
        <v>389</v>
      </c>
      <c r="S83" s="20"/>
      <c r="T83" s="20" t="str">
        <f t="shared" si="6"/>
        <v>New</v>
      </c>
      <c r="U83" t="s">
        <v>6318</v>
      </c>
      <c r="V83" s="67">
        <f t="shared" si="7"/>
        <v>2022</v>
      </c>
      <c r="W83" t="s">
        <v>6657</v>
      </c>
    </row>
    <row r="84" spans="1:23" ht="34">
      <c r="A84">
        <v>3</v>
      </c>
      <c r="B84" s="11" t="s">
        <v>578</v>
      </c>
      <c r="C84" s="23" t="s">
        <v>33</v>
      </c>
      <c r="D84" s="13" t="s">
        <v>579</v>
      </c>
      <c r="E84" s="24">
        <v>846000</v>
      </c>
      <c r="F84" s="15">
        <f t="shared" si="5"/>
        <v>328.0341217526173</v>
      </c>
      <c r="G84" s="16">
        <v>2579</v>
      </c>
      <c r="H84" s="16">
        <v>2609</v>
      </c>
      <c r="I84" s="17" t="s">
        <v>6460</v>
      </c>
      <c r="J84" s="18" t="s">
        <v>135</v>
      </c>
      <c r="K84" s="19" t="s">
        <v>48</v>
      </c>
      <c r="L84" s="19" t="s">
        <v>573</v>
      </c>
      <c r="M84" s="19" t="s">
        <v>581</v>
      </c>
      <c r="N84" s="52" t="s">
        <v>26</v>
      </c>
      <c r="O84" s="20" t="s">
        <v>27</v>
      </c>
      <c r="P84" s="21" t="s">
        <v>582</v>
      </c>
      <c r="Q84" s="26" t="s">
        <v>583</v>
      </c>
      <c r="R84" s="20" t="s">
        <v>584</v>
      </c>
      <c r="S84" s="20"/>
      <c r="T84" s="20" t="str">
        <f t="shared" si="6"/>
        <v>Old</v>
      </c>
      <c r="U84" t="s">
        <v>6318</v>
      </c>
      <c r="V84" s="67">
        <f t="shared" si="7"/>
        <v>2023</v>
      </c>
      <c r="W84" t="s">
        <v>6659</v>
      </c>
    </row>
    <row r="85" spans="1:23" ht="68">
      <c r="A85">
        <v>3</v>
      </c>
      <c r="B85" s="11" t="s">
        <v>547</v>
      </c>
      <c r="C85" s="23" t="s">
        <v>33</v>
      </c>
      <c r="D85" s="13" t="s">
        <v>185</v>
      </c>
      <c r="E85" s="24">
        <v>1987500</v>
      </c>
      <c r="F85" s="15">
        <f t="shared" si="5"/>
        <v>311.08154640788854</v>
      </c>
      <c r="G85" s="16">
        <v>6389</v>
      </c>
      <c r="H85" s="16">
        <v>6421</v>
      </c>
      <c r="I85" s="17" t="s">
        <v>524</v>
      </c>
      <c r="J85" s="18" t="s">
        <v>548</v>
      </c>
      <c r="K85" s="19" t="s">
        <v>48</v>
      </c>
      <c r="L85" s="19" t="s">
        <v>143</v>
      </c>
      <c r="M85" s="19" t="s">
        <v>549</v>
      </c>
      <c r="N85" s="52" t="s">
        <v>26</v>
      </c>
      <c r="O85" s="20" t="s">
        <v>27</v>
      </c>
      <c r="P85" s="21" t="s">
        <v>550</v>
      </c>
      <c r="Q85" s="26" t="s">
        <v>551</v>
      </c>
      <c r="R85" s="26" t="s">
        <v>552</v>
      </c>
      <c r="S85" s="20"/>
      <c r="T85" s="20" t="str">
        <f t="shared" si="6"/>
        <v>Old</v>
      </c>
      <c r="U85" t="s">
        <v>6318</v>
      </c>
      <c r="V85" s="67">
        <f t="shared" si="7"/>
        <v>2020</v>
      </c>
      <c r="W85" t="s">
        <v>6657</v>
      </c>
    </row>
    <row r="86" spans="1:23" ht="34">
      <c r="A86">
        <v>3</v>
      </c>
      <c r="B86" s="11" t="s">
        <v>694</v>
      </c>
      <c r="C86" s="23" t="s">
        <v>678</v>
      </c>
      <c r="D86" s="13" t="s">
        <v>90</v>
      </c>
      <c r="E86" s="24">
        <v>925000</v>
      </c>
      <c r="F86" s="15">
        <f t="shared" si="5"/>
        <v>155.46218487394958</v>
      </c>
      <c r="G86" s="16">
        <v>5950</v>
      </c>
      <c r="H86" s="16">
        <v>6440</v>
      </c>
      <c r="I86" s="17" t="s">
        <v>6369</v>
      </c>
      <c r="J86" s="18" t="s">
        <v>233</v>
      </c>
      <c r="K86" s="19" t="s">
        <v>680</v>
      </c>
      <c r="L86" s="19" t="s">
        <v>696</v>
      </c>
      <c r="M86" s="19" t="s">
        <v>697</v>
      </c>
      <c r="N86" s="52" t="s">
        <v>26</v>
      </c>
      <c r="O86" s="20" t="s">
        <v>27</v>
      </c>
      <c r="P86" s="21" t="s">
        <v>698</v>
      </c>
      <c r="Q86" s="26" t="s">
        <v>699</v>
      </c>
      <c r="R86" s="20" t="s">
        <v>700</v>
      </c>
      <c r="S86" s="20"/>
      <c r="T86" s="20" t="str">
        <f t="shared" si="6"/>
        <v>New</v>
      </c>
      <c r="U86" t="s">
        <v>6318</v>
      </c>
      <c r="V86" s="67">
        <f t="shared" si="7"/>
        <v>2021</v>
      </c>
      <c r="W86" t="s">
        <v>6658</v>
      </c>
    </row>
    <row r="87" spans="1:23" ht="34">
      <c r="A87">
        <v>3</v>
      </c>
      <c r="B87" s="11" t="s">
        <v>1149</v>
      </c>
      <c r="C87" s="12" t="s">
        <v>184</v>
      </c>
      <c r="D87" s="13" t="s">
        <v>407</v>
      </c>
      <c r="E87" s="24">
        <v>399000</v>
      </c>
      <c r="F87" s="15">
        <f t="shared" si="5"/>
        <v>199.5</v>
      </c>
      <c r="G87" s="16">
        <v>2000</v>
      </c>
      <c r="H87" s="16">
        <v>2355</v>
      </c>
      <c r="I87" s="17" t="s">
        <v>6421</v>
      </c>
      <c r="J87" s="18" t="s">
        <v>100</v>
      </c>
      <c r="K87" s="19" t="s">
        <v>48</v>
      </c>
      <c r="L87" s="19"/>
      <c r="M87" s="19" t="s">
        <v>1151</v>
      </c>
      <c r="N87" s="52" t="s">
        <v>26</v>
      </c>
      <c r="O87" s="20" t="s">
        <v>27</v>
      </c>
      <c r="P87" s="21" t="s">
        <v>1152</v>
      </c>
      <c r="Q87" s="26" t="s">
        <v>1153</v>
      </c>
      <c r="R87" s="20" t="s">
        <v>1154</v>
      </c>
      <c r="S87" s="20"/>
      <c r="T87" s="20" t="str">
        <f t="shared" si="6"/>
        <v>Normal</v>
      </c>
      <c r="U87" t="s">
        <v>6318</v>
      </c>
      <c r="V87" s="67">
        <f t="shared" si="7"/>
        <v>2022</v>
      </c>
      <c r="W87" t="s">
        <v>6659</v>
      </c>
    </row>
    <row r="88" spans="1:23" ht="34">
      <c r="A88">
        <v>3</v>
      </c>
      <c r="B88" s="11" t="s">
        <v>1055</v>
      </c>
      <c r="C88" s="12" t="s">
        <v>184</v>
      </c>
      <c r="D88" s="13" t="s">
        <v>450</v>
      </c>
      <c r="E88" s="24">
        <v>810000</v>
      </c>
      <c r="F88" s="15">
        <f t="shared" si="5"/>
        <v>322.96650717703352</v>
      </c>
      <c r="G88" s="16">
        <v>2508</v>
      </c>
      <c r="H88" s="16">
        <v>2603</v>
      </c>
      <c r="I88" s="17" t="s">
        <v>1056</v>
      </c>
      <c r="J88" s="18" t="s">
        <v>1057</v>
      </c>
      <c r="K88" s="19" t="s">
        <v>48</v>
      </c>
      <c r="L88" s="19"/>
      <c r="M88" s="19" t="s">
        <v>1058</v>
      </c>
      <c r="N88" s="52" t="s">
        <v>26</v>
      </c>
      <c r="O88" s="20" t="s">
        <v>27</v>
      </c>
      <c r="P88" s="21" t="s">
        <v>1059</v>
      </c>
      <c r="Q88" s="26" t="s">
        <v>1060</v>
      </c>
      <c r="R88" s="26" t="s">
        <v>1061</v>
      </c>
      <c r="S88" s="20"/>
      <c r="T88" s="20" t="str">
        <f t="shared" si="6"/>
        <v>Old</v>
      </c>
      <c r="U88" t="s">
        <v>6318</v>
      </c>
      <c r="V88" s="67">
        <f t="shared" si="7"/>
        <v>2020</v>
      </c>
      <c r="W88" t="s">
        <v>6659</v>
      </c>
    </row>
    <row r="89" spans="1:23" ht="51">
      <c r="A89">
        <v>3</v>
      </c>
      <c r="B89" s="11" t="s">
        <v>570</v>
      </c>
      <c r="C89" s="23" t="s">
        <v>33</v>
      </c>
      <c r="D89" s="13" t="s">
        <v>571</v>
      </c>
      <c r="E89" s="24">
        <v>1100000</v>
      </c>
      <c r="F89" s="15">
        <f t="shared" si="5"/>
        <v>373.51443123938878</v>
      </c>
      <c r="G89" s="16">
        <v>2945</v>
      </c>
      <c r="H89" s="16">
        <v>3484</v>
      </c>
      <c r="I89" s="17" t="s">
        <v>6463</v>
      </c>
      <c r="J89" s="18" t="s">
        <v>468</v>
      </c>
      <c r="K89" s="19" t="s">
        <v>48</v>
      </c>
      <c r="L89" s="19" t="s">
        <v>573</v>
      </c>
      <c r="M89" s="19" t="s">
        <v>574</v>
      </c>
      <c r="N89" s="52" t="s">
        <v>26</v>
      </c>
      <c r="O89" s="20" t="s">
        <v>27</v>
      </c>
      <c r="P89" s="21" t="s">
        <v>575</v>
      </c>
      <c r="Q89" s="26" t="s">
        <v>576</v>
      </c>
      <c r="R89" s="26" t="s">
        <v>577</v>
      </c>
      <c r="S89" s="20"/>
      <c r="T89" s="20" t="str">
        <f t="shared" si="6"/>
        <v>Old</v>
      </c>
      <c r="U89" t="s">
        <v>6318</v>
      </c>
      <c r="V89" s="67">
        <f t="shared" si="7"/>
        <v>2023</v>
      </c>
      <c r="W89" t="s">
        <v>6659</v>
      </c>
    </row>
    <row r="90" spans="1:23" ht="17">
      <c r="A90">
        <v>3</v>
      </c>
      <c r="B90" s="11" t="s">
        <v>1096</v>
      </c>
      <c r="C90" s="12" t="s">
        <v>184</v>
      </c>
      <c r="D90" s="13" t="s">
        <v>474</v>
      </c>
      <c r="E90" s="24">
        <v>650000</v>
      </c>
      <c r="F90" s="15">
        <f t="shared" si="5"/>
        <v>135.41666666666666</v>
      </c>
      <c r="G90" s="16">
        <v>4800</v>
      </c>
      <c r="H90" s="16">
        <v>4832</v>
      </c>
      <c r="I90" s="17" t="s">
        <v>1097</v>
      </c>
      <c r="J90" s="18" t="s">
        <v>66</v>
      </c>
      <c r="K90" s="19" t="s">
        <v>101</v>
      </c>
      <c r="L90" s="19"/>
      <c r="M90" s="19" t="s">
        <v>1098</v>
      </c>
      <c r="N90" s="52" t="s">
        <v>26</v>
      </c>
      <c r="O90" s="20" t="s">
        <v>27</v>
      </c>
      <c r="P90" s="21" t="s">
        <v>1099</v>
      </c>
      <c r="Q90" s="26" t="s">
        <v>1100</v>
      </c>
      <c r="R90" s="20" t="s">
        <v>1101</v>
      </c>
      <c r="S90" s="20"/>
      <c r="T90" s="20" t="str">
        <f t="shared" si="6"/>
        <v>Old</v>
      </c>
      <c r="U90" t="s">
        <v>6318</v>
      </c>
      <c r="V90" s="67">
        <f t="shared" si="7"/>
        <v>2022</v>
      </c>
      <c r="W90" t="s">
        <v>6658</v>
      </c>
    </row>
    <row r="91" spans="1:23" ht="34">
      <c r="A91">
        <v>3</v>
      </c>
      <c r="B91" s="11" t="s">
        <v>183</v>
      </c>
      <c r="C91" s="12" t="s">
        <v>184</v>
      </c>
      <c r="D91" s="13" t="s">
        <v>185</v>
      </c>
      <c r="E91" s="24">
        <v>670000</v>
      </c>
      <c r="F91" s="15">
        <f t="shared" si="5"/>
        <v>135.40824575586095</v>
      </c>
      <c r="G91" s="16">
        <v>4948</v>
      </c>
      <c r="H91" s="16">
        <v>5250</v>
      </c>
      <c r="I91" s="17" t="s">
        <v>186</v>
      </c>
      <c r="J91" s="18" t="s">
        <v>187</v>
      </c>
      <c r="K91" s="19" t="s">
        <v>48</v>
      </c>
      <c r="L91" s="19"/>
      <c r="M91" s="19" t="s">
        <v>188</v>
      </c>
      <c r="N91" s="52" t="s">
        <v>26</v>
      </c>
      <c r="O91" s="20" t="s">
        <v>40</v>
      </c>
      <c r="P91" s="21" t="s">
        <v>189</v>
      </c>
      <c r="Q91" s="26" t="s">
        <v>190</v>
      </c>
      <c r="R91" s="20" t="s">
        <v>191</v>
      </c>
      <c r="S91" s="20"/>
      <c r="T91" s="20" t="str">
        <f t="shared" si="6"/>
        <v>Old</v>
      </c>
      <c r="U91" t="s">
        <v>6318</v>
      </c>
      <c r="V91" s="67">
        <f t="shared" si="7"/>
        <v>2020</v>
      </c>
      <c r="W91" t="s">
        <v>6658</v>
      </c>
    </row>
    <row r="92" spans="1:23" ht="51">
      <c r="A92">
        <v>3</v>
      </c>
      <c r="B92" s="11" t="s">
        <v>1287</v>
      </c>
      <c r="C92" s="12" t="s">
        <v>20</v>
      </c>
      <c r="D92" s="13" t="s">
        <v>428</v>
      </c>
      <c r="E92" s="24">
        <v>486500</v>
      </c>
      <c r="F92" s="15">
        <f t="shared" si="5"/>
        <v>112.61574074074075</v>
      </c>
      <c r="G92" s="16">
        <v>4320</v>
      </c>
      <c r="H92" s="16">
        <v>4320</v>
      </c>
      <c r="I92" s="17" t="s">
        <v>1288</v>
      </c>
      <c r="J92" s="18" t="s">
        <v>126</v>
      </c>
      <c r="K92" s="19" t="s">
        <v>24</v>
      </c>
      <c r="L92" s="19"/>
      <c r="M92" s="19" t="s">
        <v>1289</v>
      </c>
      <c r="N92" s="52" t="s">
        <v>26</v>
      </c>
      <c r="O92" s="20" t="s">
        <v>27</v>
      </c>
      <c r="P92" s="21" t="s">
        <v>1290</v>
      </c>
      <c r="Q92" s="26" t="s">
        <v>1291</v>
      </c>
      <c r="R92" s="26" t="s">
        <v>1292</v>
      </c>
      <c r="S92" s="20"/>
      <c r="T92" s="20" t="str">
        <f t="shared" si="6"/>
        <v>Old</v>
      </c>
      <c r="U92" t="s">
        <v>6318</v>
      </c>
      <c r="V92" s="67">
        <f t="shared" si="7"/>
        <v>2021</v>
      </c>
      <c r="W92" t="s">
        <v>6658</v>
      </c>
    </row>
    <row r="93" spans="1:23" ht="34">
      <c r="A93">
        <v>3</v>
      </c>
      <c r="B93" s="11" t="s">
        <v>1161</v>
      </c>
      <c r="C93" s="12" t="s">
        <v>184</v>
      </c>
      <c r="D93" s="13" t="s">
        <v>307</v>
      </c>
      <c r="E93" s="24">
        <v>210000</v>
      </c>
      <c r="F93" s="15">
        <f t="shared" si="5"/>
        <v>108.63942058975685</v>
      </c>
      <c r="G93" s="16">
        <v>1933</v>
      </c>
      <c r="H93" s="16">
        <v>2665</v>
      </c>
      <c r="I93" s="17" t="s">
        <v>1162</v>
      </c>
      <c r="J93" s="18" t="s">
        <v>1163</v>
      </c>
      <c r="K93" s="19" t="s">
        <v>37</v>
      </c>
      <c r="L93" s="19"/>
      <c r="M93" s="19" t="s">
        <v>1164</v>
      </c>
      <c r="N93" s="52" t="s">
        <v>26</v>
      </c>
      <c r="O93" s="20" t="s">
        <v>27</v>
      </c>
      <c r="P93" s="21" t="s">
        <v>1165</v>
      </c>
      <c r="Q93" s="26" t="s">
        <v>1166</v>
      </c>
      <c r="R93" s="20" t="s">
        <v>1167</v>
      </c>
      <c r="S93" s="20"/>
      <c r="T93" s="20" t="str">
        <f t="shared" si="6"/>
        <v>Old</v>
      </c>
      <c r="U93" t="s">
        <v>6318</v>
      </c>
      <c r="V93" s="67">
        <f t="shared" si="7"/>
        <v>2020</v>
      </c>
      <c r="W93" t="s">
        <v>6659</v>
      </c>
    </row>
    <row r="94" spans="1:23" ht="34">
      <c r="A94">
        <v>3</v>
      </c>
      <c r="B94" s="11" t="s">
        <v>1504</v>
      </c>
      <c r="C94" s="12" t="s">
        <v>20</v>
      </c>
      <c r="D94" s="13" t="s">
        <v>1418</v>
      </c>
      <c r="E94" s="14">
        <v>780000</v>
      </c>
      <c r="F94" s="15">
        <f t="shared" si="5"/>
        <v>87.84773060029282</v>
      </c>
      <c r="G94" s="16">
        <v>8879</v>
      </c>
      <c r="H94" s="16">
        <v>8879</v>
      </c>
      <c r="I94" s="17" t="s">
        <v>1505</v>
      </c>
      <c r="J94" s="18" t="s">
        <v>287</v>
      </c>
      <c r="K94" s="19" t="s">
        <v>1465</v>
      </c>
      <c r="L94" s="19"/>
      <c r="M94" s="19" t="s">
        <v>1506</v>
      </c>
      <c r="N94" s="52" t="s">
        <v>26</v>
      </c>
      <c r="O94" s="20" t="s">
        <v>27</v>
      </c>
      <c r="P94" s="21" t="s">
        <v>1507</v>
      </c>
      <c r="Q94" s="22" t="s">
        <v>1508</v>
      </c>
      <c r="R94" s="22" t="s">
        <v>1509</v>
      </c>
      <c r="S94" s="20"/>
      <c r="T94" s="20" t="str">
        <f t="shared" si="6"/>
        <v>New</v>
      </c>
      <c r="V94" s="67">
        <f t="shared" si="7"/>
        <v>2020</v>
      </c>
      <c r="W94" t="s">
        <v>6657</v>
      </c>
    </row>
    <row r="95" spans="1:23" ht="34">
      <c r="A95">
        <v>3</v>
      </c>
      <c r="B95" s="11" t="s">
        <v>515</v>
      </c>
      <c r="C95" s="23" t="s">
        <v>33</v>
      </c>
      <c r="D95" s="13" t="s">
        <v>516</v>
      </c>
      <c r="E95" s="24">
        <v>850000</v>
      </c>
      <c r="F95" s="15">
        <f t="shared" si="5"/>
        <v>332.68101761252444</v>
      </c>
      <c r="G95" s="16">
        <v>2555</v>
      </c>
      <c r="H95" s="16">
        <v>2555</v>
      </c>
      <c r="I95" s="17" t="s">
        <v>517</v>
      </c>
      <c r="J95" s="18" t="s">
        <v>518</v>
      </c>
      <c r="K95" s="19" t="s">
        <v>48</v>
      </c>
      <c r="L95" s="19" t="s">
        <v>38</v>
      </c>
      <c r="M95" s="19" t="s">
        <v>519</v>
      </c>
      <c r="N95" s="52" t="s">
        <v>26</v>
      </c>
      <c r="O95" s="20" t="s">
        <v>27</v>
      </c>
      <c r="P95" s="21" t="s">
        <v>520</v>
      </c>
      <c r="Q95" s="26" t="s">
        <v>521</v>
      </c>
      <c r="R95" s="26" t="s">
        <v>522</v>
      </c>
      <c r="S95" s="20"/>
      <c r="T95" s="20" t="str">
        <f t="shared" si="6"/>
        <v>Old</v>
      </c>
      <c r="U95" t="s">
        <v>6318</v>
      </c>
      <c r="V95" s="67">
        <f t="shared" si="7"/>
        <v>2023</v>
      </c>
      <c r="W95" t="s">
        <v>6659</v>
      </c>
    </row>
    <row r="96" spans="1:23" ht="34">
      <c r="A96">
        <v>3</v>
      </c>
      <c r="B96" s="11" t="s">
        <v>1180</v>
      </c>
      <c r="C96" s="12" t="s">
        <v>184</v>
      </c>
      <c r="D96" s="13" t="s">
        <v>658</v>
      </c>
      <c r="E96" s="24">
        <v>2050000</v>
      </c>
      <c r="F96" s="15">
        <f t="shared" si="5"/>
        <v>341.66666666666669</v>
      </c>
      <c r="G96" s="16">
        <v>6000</v>
      </c>
      <c r="H96" s="16">
        <v>7100</v>
      </c>
      <c r="I96" s="17" t="s">
        <v>1181</v>
      </c>
      <c r="J96" s="18" t="s">
        <v>358</v>
      </c>
      <c r="K96" s="19" t="s">
        <v>48</v>
      </c>
      <c r="L96" s="19"/>
      <c r="M96" s="19" t="s">
        <v>1182</v>
      </c>
      <c r="N96" s="52" t="s">
        <v>26</v>
      </c>
      <c r="O96" s="20" t="s">
        <v>27</v>
      </c>
      <c r="P96" s="21" t="s">
        <v>1183</v>
      </c>
      <c r="Q96" s="26" t="s">
        <v>1184</v>
      </c>
      <c r="R96" s="26" t="s">
        <v>1185</v>
      </c>
      <c r="S96" s="20"/>
      <c r="T96" s="20" t="str">
        <f t="shared" si="6"/>
        <v>Normal</v>
      </c>
      <c r="U96" t="s">
        <v>6318</v>
      </c>
      <c r="V96" s="67">
        <f t="shared" si="7"/>
        <v>2025</v>
      </c>
      <c r="W96" t="s">
        <v>6657</v>
      </c>
    </row>
    <row r="97" spans="1:23" ht="34">
      <c r="A97">
        <v>3</v>
      </c>
      <c r="B97" s="11" t="s">
        <v>495</v>
      </c>
      <c r="C97" s="23" t="s">
        <v>33</v>
      </c>
      <c r="D97" s="13" t="s">
        <v>436</v>
      </c>
      <c r="E97" s="24">
        <v>800000</v>
      </c>
      <c r="F97" s="15">
        <f t="shared" si="5"/>
        <v>328.54209445585218</v>
      </c>
      <c r="G97" s="16">
        <v>2435</v>
      </c>
      <c r="H97" s="16">
        <v>2435</v>
      </c>
      <c r="I97" s="17" t="s">
        <v>6459</v>
      </c>
      <c r="J97" s="18" t="s">
        <v>151</v>
      </c>
      <c r="K97" s="19" t="s">
        <v>37</v>
      </c>
      <c r="L97" s="19" t="s">
        <v>366</v>
      </c>
      <c r="M97" s="19" t="s">
        <v>497</v>
      </c>
      <c r="N97" s="52" t="s">
        <v>26</v>
      </c>
      <c r="O97" s="20" t="s">
        <v>27</v>
      </c>
      <c r="P97" s="21" t="s">
        <v>498</v>
      </c>
      <c r="Q97" s="26" t="s">
        <v>499</v>
      </c>
      <c r="R97" s="20" t="s">
        <v>500</v>
      </c>
      <c r="S97" s="20"/>
      <c r="T97" s="20" t="str">
        <f t="shared" si="6"/>
        <v>Old</v>
      </c>
      <c r="U97" t="s">
        <v>6318</v>
      </c>
      <c r="V97" s="67">
        <f t="shared" si="7"/>
        <v>2023</v>
      </c>
      <c r="W97" t="s">
        <v>6659</v>
      </c>
    </row>
    <row r="98" spans="1:23" ht="34">
      <c r="A98">
        <v>3</v>
      </c>
      <c r="B98" s="11" t="s">
        <v>2383</v>
      </c>
      <c r="C98" s="23" t="s">
        <v>33</v>
      </c>
      <c r="D98" s="13" t="s">
        <v>745</v>
      </c>
      <c r="E98" s="24">
        <v>830900</v>
      </c>
      <c r="F98" s="15">
        <f t="shared" si="5"/>
        <v>136.21311475409837</v>
      </c>
      <c r="G98" s="16">
        <v>6100</v>
      </c>
      <c r="H98" s="16">
        <v>6330</v>
      </c>
      <c r="I98" s="17" t="s">
        <v>2384</v>
      </c>
      <c r="J98" s="18" t="s">
        <v>47</v>
      </c>
      <c r="K98" s="19" t="s">
        <v>37</v>
      </c>
      <c r="L98" s="19" t="s">
        <v>1866</v>
      </c>
      <c r="M98" s="19" t="s">
        <v>2385</v>
      </c>
      <c r="N98" s="52" t="s">
        <v>26</v>
      </c>
      <c r="O98" s="20" t="s">
        <v>27</v>
      </c>
      <c r="P98" s="21" t="s">
        <v>2386</v>
      </c>
      <c r="Q98" s="20" t="s">
        <v>2387</v>
      </c>
      <c r="R98" s="20" t="s">
        <v>2388</v>
      </c>
      <c r="S98" s="20"/>
      <c r="T98" s="27" t="str">
        <f t="shared" si="6"/>
        <v>New</v>
      </c>
      <c r="V98" s="67">
        <f t="shared" si="7"/>
        <v>2025</v>
      </c>
      <c r="W98" t="s">
        <v>6657</v>
      </c>
    </row>
    <row r="99" spans="1:23" ht="34">
      <c r="A99">
        <v>3</v>
      </c>
      <c r="B99" s="11" t="s">
        <v>72</v>
      </c>
      <c r="C99" s="23" t="s">
        <v>33</v>
      </c>
      <c r="D99" s="13" t="s">
        <v>73</v>
      </c>
      <c r="E99" s="24">
        <v>2000000</v>
      </c>
      <c r="F99" s="15">
        <f t="shared" ref="F99:F130" si="8">E99/G99</f>
        <v>351.61744022503518</v>
      </c>
      <c r="G99" s="16">
        <v>5688</v>
      </c>
      <c r="H99" s="16">
        <v>5723</v>
      </c>
      <c r="I99" s="17" t="s">
        <v>74</v>
      </c>
      <c r="J99" s="18" t="s">
        <v>75</v>
      </c>
      <c r="K99" s="19" t="s">
        <v>37</v>
      </c>
      <c r="L99" s="19" t="s">
        <v>67</v>
      </c>
      <c r="M99" s="19" t="s">
        <v>76</v>
      </c>
      <c r="N99" s="52" t="s">
        <v>26</v>
      </c>
      <c r="O99" s="20" t="s">
        <v>40</v>
      </c>
      <c r="P99" s="21" t="s">
        <v>77</v>
      </c>
      <c r="Q99" s="26" t="s">
        <v>78</v>
      </c>
      <c r="R99" s="20" t="s">
        <v>79</v>
      </c>
      <c r="S99" s="20"/>
      <c r="T99" s="20" t="str">
        <f t="shared" ref="T99:T130" si="9">IF(OR(J99="",D99=""),"Unknown",IF(LEFT(D99,4)*1-J99*1&lt;=10,"New",IF(LEFT(D99,4)*1-J99*1&lt;=25,"Normal","Old")))</f>
        <v>Old</v>
      </c>
      <c r="U99" t="s">
        <v>6318</v>
      </c>
      <c r="V99" s="67">
        <f t="shared" si="7"/>
        <v>2025</v>
      </c>
      <c r="W99" t="s">
        <v>6658</v>
      </c>
    </row>
    <row r="100" spans="1:23" ht="17">
      <c r="A100">
        <v>3</v>
      </c>
      <c r="B100" s="29" t="s">
        <v>1049</v>
      </c>
      <c r="C100" s="12" t="s">
        <v>20</v>
      </c>
      <c r="D100" s="30" t="s">
        <v>792</v>
      </c>
      <c r="E100" s="31">
        <v>725000</v>
      </c>
      <c r="F100" s="15">
        <f t="shared" si="8"/>
        <v>241.66666666666666</v>
      </c>
      <c r="G100" s="33">
        <v>3000</v>
      </c>
      <c r="H100" s="33">
        <v>3000</v>
      </c>
      <c r="I100" s="34" t="s">
        <v>1050</v>
      </c>
      <c r="J100" s="35">
        <v>1999</v>
      </c>
      <c r="K100" s="30" t="s">
        <v>24</v>
      </c>
      <c r="L100" s="30"/>
      <c r="M100" s="30" t="s">
        <v>1051</v>
      </c>
      <c r="N100" s="52" t="s">
        <v>26</v>
      </c>
      <c r="O100" s="20" t="s">
        <v>27</v>
      </c>
      <c r="P100" s="21" t="s">
        <v>1052</v>
      </c>
      <c r="Q100" s="26" t="s">
        <v>1053</v>
      </c>
      <c r="R100" s="26" t="s">
        <v>1054</v>
      </c>
      <c r="S100" s="20"/>
      <c r="T100" s="20" t="str">
        <f t="shared" si="9"/>
        <v>Normal</v>
      </c>
      <c r="U100" t="s">
        <v>6318</v>
      </c>
      <c r="V100" s="67">
        <f t="shared" si="7"/>
        <v>2024</v>
      </c>
      <c r="W100" t="s">
        <v>6658</v>
      </c>
    </row>
    <row r="101" spans="1:23" ht="17">
      <c r="A101">
        <v>3</v>
      </c>
      <c r="B101" s="29" t="s">
        <v>1019</v>
      </c>
      <c r="C101" s="12" t="s">
        <v>20</v>
      </c>
      <c r="D101" s="30" t="s">
        <v>124</v>
      </c>
      <c r="E101" s="31">
        <v>625000</v>
      </c>
      <c r="F101" s="15">
        <f t="shared" si="8"/>
        <v>231.56724712856612</v>
      </c>
      <c r="G101" s="33">
        <v>2699</v>
      </c>
      <c r="H101" s="33">
        <v>2699</v>
      </c>
      <c r="I101" s="34" t="s">
        <v>1020</v>
      </c>
      <c r="J101" s="35">
        <v>1989</v>
      </c>
      <c r="K101" s="30" t="s">
        <v>172</v>
      </c>
      <c r="L101" s="30"/>
      <c r="M101" s="30" t="s">
        <v>1021</v>
      </c>
      <c r="N101" s="52" t="s">
        <v>26</v>
      </c>
      <c r="O101" s="20" t="s">
        <v>27</v>
      </c>
      <c r="P101" s="21" t="s">
        <v>1022</v>
      </c>
      <c r="Q101" s="26" t="s">
        <v>1023</v>
      </c>
      <c r="R101" s="20" t="s">
        <v>1024</v>
      </c>
      <c r="S101" s="20"/>
      <c r="T101" s="20" t="str">
        <f t="shared" si="9"/>
        <v>Old</v>
      </c>
      <c r="U101" t="s">
        <v>6318</v>
      </c>
      <c r="V101" s="67">
        <f t="shared" si="7"/>
        <v>2022</v>
      </c>
      <c r="W101" t="s">
        <v>6659</v>
      </c>
    </row>
    <row r="102" spans="1:23" ht="34">
      <c r="A102">
        <v>3</v>
      </c>
      <c r="B102" s="29" t="s">
        <v>1025</v>
      </c>
      <c r="C102" s="12" t="s">
        <v>20</v>
      </c>
      <c r="D102" s="30" t="s">
        <v>307</v>
      </c>
      <c r="E102" s="31">
        <v>535200</v>
      </c>
      <c r="F102" s="15">
        <f t="shared" si="8"/>
        <v>227.06830717013153</v>
      </c>
      <c r="G102" s="33">
        <v>2357</v>
      </c>
      <c r="H102" s="33">
        <v>2357</v>
      </c>
      <c r="I102" s="34" t="s">
        <v>1026</v>
      </c>
      <c r="J102" s="35">
        <v>1989</v>
      </c>
      <c r="K102" s="30" t="s">
        <v>172</v>
      </c>
      <c r="L102" s="30"/>
      <c r="M102" s="30" t="s">
        <v>1027</v>
      </c>
      <c r="N102" s="52" t="s">
        <v>26</v>
      </c>
      <c r="O102" s="20" t="s">
        <v>27</v>
      </c>
      <c r="P102" s="21" t="s">
        <v>1028</v>
      </c>
      <c r="Q102" s="26" t="s">
        <v>1029</v>
      </c>
      <c r="R102" s="20" t="s">
        <v>1030</v>
      </c>
      <c r="S102" s="20"/>
      <c r="T102" s="20" t="str">
        <f t="shared" si="9"/>
        <v>Old</v>
      </c>
      <c r="U102" t="s">
        <v>6318</v>
      </c>
      <c r="V102" s="67">
        <f t="shared" si="7"/>
        <v>2020</v>
      </c>
      <c r="W102" t="s">
        <v>6659</v>
      </c>
    </row>
    <row r="103" spans="1:23" ht="34">
      <c r="A103">
        <v>3</v>
      </c>
      <c r="B103" s="29" t="s">
        <v>1031</v>
      </c>
      <c r="C103" s="12" t="s">
        <v>20</v>
      </c>
      <c r="D103" s="30" t="s">
        <v>276</v>
      </c>
      <c r="E103" s="31">
        <v>780000</v>
      </c>
      <c r="F103" s="15">
        <f t="shared" si="8"/>
        <v>296.01518026565464</v>
      </c>
      <c r="G103" s="33">
        <v>2635</v>
      </c>
      <c r="H103" s="33">
        <v>2635</v>
      </c>
      <c r="I103" s="34" t="s">
        <v>1032</v>
      </c>
      <c r="J103" s="35">
        <v>1989</v>
      </c>
      <c r="K103" s="30" t="s">
        <v>172</v>
      </c>
      <c r="L103" s="30"/>
      <c r="M103" s="30" t="s">
        <v>1033</v>
      </c>
      <c r="N103" s="52" t="s">
        <v>26</v>
      </c>
      <c r="O103" s="20" t="s">
        <v>27</v>
      </c>
      <c r="P103" s="21" t="s">
        <v>1034</v>
      </c>
      <c r="Q103" s="26" t="s">
        <v>1035</v>
      </c>
      <c r="R103" s="26" t="s">
        <v>1036</v>
      </c>
      <c r="S103" s="20"/>
      <c r="T103" s="20" t="str">
        <f t="shared" si="9"/>
        <v>Old</v>
      </c>
      <c r="U103" t="s">
        <v>6318</v>
      </c>
      <c r="V103" s="67">
        <f t="shared" si="7"/>
        <v>2024</v>
      </c>
      <c r="W103" t="s">
        <v>6659</v>
      </c>
    </row>
    <row r="104" spans="1:23" ht="34">
      <c r="A104">
        <v>3</v>
      </c>
      <c r="B104" s="11" t="s">
        <v>299</v>
      </c>
      <c r="C104" s="23" t="s">
        <v>33</v>
      </c>
      <c r="D104" s="13" t="s">
        <v>285</v>
      </c>
      <c r="E104" s="24">
        <v>585000</v>
      </c>
      <c r="F104" s="15">
        <f t="shared" si="8"/>
        <v>127.45098039215686</v>
      </c>
      <c r="G104" s="16">
        <v>4590</v>
      </c>
      <c r="H104" s="16">
        <v>5490</v>
      </c>
      <c r="I104" s="17" t="s">
        <v>300</v>
      </c>
      <c r="J104" s="18" t="s">
        <v>301</v>
      </c>
      <c r="K104" s="19" t="s">
        <v>37</v>
      </c>
      <c r="L104" s="19" t="s">
        <v>67</v>
      </c>
      <c r="M104" s="19" t="s">
        <v>302</v>
      </c>
      <c r="N104" s="52" t="s">
        <v>26</v>
      </c>
      <c r="O104" s="20" t="s">
        <v>27</v>
      </c>
      <c r="P104" s="21" t="s">
        <v>303</v>
      </c>
      <c r="Q104" s="26" t="s">
        <v>304</v>
      </c>
      <c r="R104" s="26" t="s">
        <v>305</v>
      </c>
      <c r="S104" s="20"/>
      <c r="T104" s="20" t="str">
        <f t="shared" si="9"/>
        <v>Old</v>
      </c>
      <c r="U104" t="s">
        <v>6318</v>
      </c>
      <c r="V104" s="67">
        <f t="shared" si="7"/>
        <v>2024</v>
      </c>
      <c r="W104" t="s">
        <v>6658</v>
      </c>
    </row>
    <row r="105" spans="1:23" ht="34">
      <c r="A105">
        <v>3</v>
      </c>
      <c r="B105" s="11" t="s">
        <v>1074</v>
      </c>
      <c r="C105" s="12" t="s">
        <v>184</v>
      </c>
      <c r="D105" s="13" t="s">
        <v>223</v>
      </c>
      <c r="E105" s="24">
        <v>620000</v>
      </c>
      <c r="F105" s="15">
        <f t="shared" si="8"/>
        <v>238.55328972681801</v>
      </c>
      <c r="G105" s="16">
        <v>2599</v>
      </c>
      <c r="H105" s="16">
        <v>2599</v>
      </c>
      <c r="I105" s="17" t="s">
        <v>1075</v>
      </c>
      <c r="J105" s="18" t="s">
        <v>422</v>
      </c>
      <c r="K105" s="19" t="s">
        <v>48</v>
      </c>
      <c r="L105" s="19"/>
      <c r="M105" s="19" t="s">
        <v>1076</v>
      </c>
      <c r="N105" s="52" t="s">
        <v>26</v>
      </c>
      <c r="O105" s="20" t="s">
        <v>27</v>
      </c>
      <c r="P105" s="21" t="s">
        <v>1077</v>
      </c>
      <c r="Q105" s="26" t="s">
        <v>1078</v>
      </c>
      <c r="R105" s="20" t="s">
        <v>1079</v>
      </c>
      <c r="S105" s="20"/>
      <c r="T105" s="20" t="str">
        <f t="shared" si="9"/>
        <v>Old</v>
      </c>
      <c r="U105" t="s">
        <v>6318</v>
      </c>
      <c r="V105" s="67">
        <f t="shared" si="7"/>
        <v>2021</v>
      </c>
      <c r="W105" t="s">
        <v>6659</v>
      </c>
    </row>
    <row r="106" spans="1:23" ht="34">
      <c r="A106">
        <v>3</v>
      </c>
      <c r="B106" s="11" t="s">
        <v>1411</v>
      </c>
      <c r="C106" s="12" t="s">
        <v>20</v>
      </c>
      <c r="D106" s="13" t="s">
        <v>124</v>
      </c>
      <c r="E106" s="24">
        <v>2269900</v>
      </c>
      <c r="F106" s="15">
        <f t="shared" si="8"/>
        <v>355.56077694235591</v>
      </c>
      <c r="G106" s="16">
        <v>6384</v>
      </c>
      <c r="H106" s="16">
        <v>6384</v>
      </c>
      <c r="I106" s="17" t="s">
        <v>1412</v>
      </c>
      <c r="J106" s="18" t="s">
        <v>100</v>
      </c>
      <c r="K106" s="19" t="s">
        <v>24</v>
      </c>
      <c r="L106" s="19"/>
      <c r="M106" s="19" t="s">
        <v>1413</v>
      </c>
      <c r="N106" s="52" t="s">
        <v>26</v>
      </c>
      <c r="O106" s="20" t="s">
        <v>27</v>
      </c>
      <c r="P106" s="21" t="s">
        <v>1414</v>
      </c>
      <c r="Q106" s="26" t="s">
        <v>1415</v>
      </c>
      <c r="R106" s="20" t="s">
        <v>1416</v>
      </c>
      <c r="S106" s="20"/>
      <c r="T106" s="20" t="str">
        <f t="shared" si="9"/>
        <v>Normal</v>
      </c>
      <c r="U106" t="s">
        <v>6318</v>
      </c>
      <c r="V106" s="67">
        <f t="shared" si="7"/>
        <v>2022</v>
      </c>
      <c r="W106" t="s">
        <v>6657</v>
      </c>
    </row>
    <row r="107" spans="1:23" ht="34">
      <c r="A107">
        <v>3</v>
      </c>
      <c r="B107" s="11" t="s">
        <v>1080</v>
      </c>
      <c r="C107" s="12" t="s">
        <v>184</v>
      </c>
      <c r="D107" s="13" t="s">
        <v>34</v>
      </c>
      <c r="E107" s="24">
        <v>525000</v>
      </c>
      <c r="F107" s="15">
        <f t="shared" si="8"/>
        <v>243.05555555555554</v>
      </c>
      <c r="G107" s="16">
        <v>2160</v>
      </c>
      <c r="H107" s="16">
        <v>2300</v>
      </c>
      <c r="I107" s="17" t="s">
        <v>1075</v>
      </c>
      <c r="J107" s="18" t="s">
        <v>548</v>
      </c>
      <c r="K107" s="19" t="s">
        <v>37</v>
      </c>
      <c r="L107" s="19"/>
      <c r="M107" s="19" t="s">
        <v>1081</v>
      </c>
      <c r="N107" s="52" t="s">
        <v>26</v>
      </c>
      <c r="O107" s="20" t="s">
        <v>27</v>
      </c>
      <c r="P107" s="21" t="s">
        <v>1082</v>
      </c>
      <c r="Q107" s="20" t="s">
        <v>1078</v>
      </c>
      <c r="R107" s="20" t="s">
        <v>1083</v>
      </c>
      <c r="S107" s="20"/>
      <c r="T107" s="20" t="str">
        <f t="shared" si="9"/>
        <v>Old</v>
      </c>
      <c r="U107" t="s">
        <v>6318</v>
      </c>
      <c r="V107" s="67">
        <f t="shared" si="7"/>
        <v>2023</v>
      </c>
      <c r="W107" t="s">
        <v>6659</v>
      </c>
    </row>
    <row r="108" spans="1:23" ht="34">
      <c r="A108">
        <v>3</v>
      </c>
      <c r="B108" s="11" t="s">
        <v>1337</v>
      </c>
      <c r="C108" s="12" t="s">
        <v>20</v>
      </c>
      <c r="D108" s="13" t="s">
        <v>356</v>
      </c>
      <c r="E108" s="24">
        <v>850000</v>
      </c>
      <c r="F108" s="15">
        <f t="shared" si="8"/>
        <v>358.19637589549092</v>
      </c>
      <c r="G108" s="16">
        <v>2373</v>
      </c>
      <c r="H108" s="16">
        <v>2373</v>
      </c>
      <c r="I108" s="17" t="s">
        <v>1338</v>
      </c>
      <c r="J108" s="18" t="s">
        <v>75</v>
      </c>
      <c r="K108" s="19" t="s">
        <v>24</v>
      </c>
      <c r="L108" s="19"/>
      <c r="M108" s="19" t="s">
        <v>1339</v>
      </c>
      <c r="N108" s="52" t="s">
        <v>26</v>
      </c>
      <c r="O108" s="20" t="s">
        <v>27</v>
      </c>
      <c r="P108" s="21" t="s">
        <v>1340</v>
      </c>
      <c r="Q108" s="26" t="s">
        <v>1341</v>
      </c>
      <c r="R108" s="20" t="s">
        <v>1342</v>
      </c>
      <c r="S108" s="20"/>
      <c r="T108" s="20" t="str">
        <f t="shared" si="9"/>
        <v>Old</v>
      </c>
      <c r="U108" t="s">
        <v>6318</v>
      </c>
      <c r="V108" s="67">
        <f t="shared" si="7"/>
        <v>2024</v>
      </c>
      <c r="W108" t="s">
        <v>6659</v>
      </c>
    </row>
    <row r="109" spans="1:23" ht="17">
      <c r="A109">
        <v>3</v>
      </c>
      <c r="B109" s="11" t="s">
        <v>670</v>
      </c>
      <c r="C109" s="23" t="s">
        <v>33</v>
      </c>
      <c r="D109" s="13" t="s">
        <v>223</v>
      </c>
      <c r="E109" s="24">
        <v>428300</v>
      </c>
      <c r="F109" s="15">
        <f t="shared" si="8"/>
        <v>96.096028718869192</v>
      </c>
      <c r="G109" s="16">
        <v>4457</v>
      </c>
      <c r="H109" s="16">
        <v>6461</v>
      </c>
      <c r="I109" s="17" t="s">
        <v>6363</v>
      </c>
      <c r="J109" s="18" t="s">
        <v>672</v>
      </c>
      <c r="K109" s="19" t="s">
        <v>48</v>
      </c>
      <c r="L109" s="19" t="s">
        <v>38</v>
      </c>
      <c r="M109" s="19" t="s">
        <v>673</v>
      </c>
      <c r="N109" s="52" t="s">
        <v>26</v>
      </c>
      <c r="O109" s="20" t="s">
        <v>27</v>
      </c>
      <c r="P109" s="21" t="s">
        <v>674</v>
      </c>
      <c r="Q109" s="26" t="s">
        <v>675</v>
      </c>
      <c r="R109" s="20" t="s">
        <v>676</v>
      </c>
      <c r="S109" s="20"/>
      <c r="T109" s="20" t="str">
        <f t="shared" si="9"/>
        <v>Old</v>
      </c>
      <c r="V109" s="67">
        <f t="shared" si="7"/>
        <v>2021</v>
      </c>
      <c r="W109" t="s">
        <v>6658</v>
      </c>
    </row>
    <row r="110" spans="1:23" ht="17">
      <c r="A110">
        <v>3</v>
      </c>
      <c r="B110" s="11" t="s">
        <v>275</v>
      </c>
      <c r="C110" s="23" t="s">
        <v>33</v>
      </c>
      <c r="D110" s="13" t="s">
        <v>276</v>
      </c>
      <c r="E110" s="24">
        <v>448100</v>
      </c>
      <c r="F110" s="15">
        <f t="shared" si="8"/>
        <v>130.79392877991828</v>
      </c>
      <c r="G110" s="16">
        <v>3426</v>
      </c>
      <c r="H110" s="16">
        <v>3590</v>
      </c>
      <c r="I110" s="17" t="s">
        <v>277</v>
      </c>
      <c r="J110" s="18" t="s">
        <v>278</v>
      </c>
      <c r="K110" s="19" t="s">
        <v>48</v>
      </c>
      <c r="L110" s="19" t="s">
        <v>279</v>
      </c>
      <c r="M110" s="19" t="s">
        <v>280</v>
      </c>
      <c r="N110" s="52" t="s">
        <v>26</v>
      </c>
      <c r="O110" s="20" t="s">
        <v>27</v>
      </c>
      <c r="P110" s="21" t="s">
        <v>281</v>
      </c>
      <c r="Q110" s="26" t="s">
        <v>282</v>
      </c>
      <c r="R110" s="20" t="s">
        <v>283</v>
      </c>
      <c r="S110" s="20"/>
      <c r="T110" s="20" t="str">
        <f t="shared" si="9"/>
        <v>Old</v>
      </c>
      <c r="U110" t="s">
        <v>6318</v>
      </c>
      <c r="V110" s="67">
        <f t="shared" si="7"/>
        <v>2024</v>
      </c>
      <c r="W110" t="s">
        <v>6658</v>
      </c>
    </row>
    <row r="111" spans="1:23" ht="17">
      <c r="A111">
        <v>3</v>
      </c>
      <c r="B111" s="11" t="s">
        <v>1242</v>
      </c>
      <c r="C111" s="12" t="s">
        <v>20</v>
      </c>
      <c r="D111" s="13" t="s">
        <v>686</v>
      </c>
      <c r="E111" s="24">
        <v>400000</v>
      </c>
      <c r="F111" s="15">
        <f t="shared" si="8"/>
        <v>166.66666666666666</v>
      </c>
      <c r="G111" s="16">
        <v>2400</v>
      </c>
      <c r="H111" s="16">
        <v>2400</v>
      </c>
      <c r="I111" s="17" t="s">
        <v>6336</v>
      </c>
      <c r="J111" s="18" t="s">
        <v>767</v>
      </c>
      <c r="K111" s="19" t="s">
        <v>24</v>
      </c>
      <c r="L111" s="19"/>
      <c r="M111" s="19" t="s">
        <v>1244</v>
      </c>
      <c r="N111" s="52" t="s">
        <v>26</v>
      </c>
      <c r="O111" s="20" t="s">
        <v>27</v>
      </c>
      <c r="P111" s="21" t="s">
        <v>1245</v>
      </c>
      <c r="Q111" s="26" t="s">
        <v>1246</v>
      </c>
      <c r="R111" s="20" t="s">
        <v>1247</v>
      </c>
      <c r="S111" s="20"/>
      <c r="T111" s="20" t="str">
        <f t="shared" si="9"/>
        <v>Normal</v>
      </c>
      <c r="U111" t="s">
        <v>6318</v>
      </c>
      <c r="V111" s="67">
        <f t="shared" si="7"/>
        <v>2020</v>
      </c>
      <c r="W111" t="s">
        <v>6659</v>
      </c>
    </row>
    <row r="112" spans="1:23" ht="34">
      <c r="A112">
        <v>3</v>
      </c>
      <c r="B112" s="11" t="s">
        <v>1312</v>
      </c>
      <c r="C112" s="12" t="s">
        <v>20</v>
      </c>
      <c r="D112" s="13" t="s">
        <v>896</v>
      </c>
      <c r="E112" s="24">
        <v>786000</v>
      </c>
      <c r="F112" s="15">
        <f t="shared" si="8"/>
        <v>123.39089481946625</v>
      </c>
      <c r="G112" s="16">
        <v>6370</v>
      </c>
      <c r="H112" s="16">
        <v>6370</v>
      </c>
      <c r="I112" s="17" t="s">
        <v>6458</v>
      </c>
      <c r="J112" s="18" t="s">
        <v>358</v>
      </c>
      <c r="K112" s="19" t="s">
        <v>24</v>
      </c>
      <c r="L112" s="19"/>
      <c r="M112" s="19" t="s">
        <v>1314</v>
      </c>
      <c r="N112" s="52" t="s">
        <v>26</v>
      </c>
      <c r="O112" s="20" t="s">
        <v>27</v>
      </c>
      <c r="P112" s="21" t="s">
        <v>1315</v>
      </c>
      <c r="Q112" s="26" t="s">
        <v>1316</v>
      </c>
      <c r="R112" s="20" t="s">
        <v>1317</v>
      </c>
      <c r="S112" s="20"/>
      <c r="T112" s="20" t="str">
        <f t="shared" si="9"/>
        <v>Normal</v>
      </c>
      <c r="U112" t="s">
        <v>6318</v>
      </c>
      <c r="V112" s="67">
        <f t="shared" si="7"/>
        <v>2023</v>
      </c>
      <c r="W112" t="s">
        <v>6657</v>
      </c>
    </row>
    <row r="113" spans="1:23" ht="17">
      <c r="A113">
        <v>3</v>
      </c>
      <c r="B113" s="29" t="s">
        <v>906</v>
      </c>
      <c r="C113" s="12" t="s">
        <v>20</v>
      </c>
      <c r="D113" s="30" t="s">
        <v>207</v>
      </c>
      <c r="E113" s="31">
        <v>2853400</v>
      </c>
      <c r="F113" s="15">
        <f t="shared" si="8"/>
        <v>686.73886883273167</v>
      </c>
      <c r="G113" s="33">
        <v>4155</v>
      </c>
      <c r="H113" s="33">
        <v>4155</v>
      </c>
      <c r="I113" s="34" t="s">
        <v>6375</v>
      </c>
      <c r="J113" s="35">
        <v>2020</v>
      </c>
      <c r="K113" s="30" t="s">
        <v>24</v>
      </c>
      <c r="L113" s="30"/>
      <c r="M113" s="30" t="s">
        <v>908</v>
      </c>
      <c r="N113" s="52" t="s">
        <v>26</v>
      </c>
      <c r="O113" s="20" t="s">
        <v>27</v>
      </c>
      <c r="P113" s="21" t="s">
        <v>909</v>
      </c>
      <c r="Q113" s="26" t="s">
        <v>910</v>
      </c>
      <c r="R113" s="20" t="s">
        <v>911</v>
      </c>
      <c r="S113" s="20"/>
      <c r="T113" s="20" t="str">
        <f t="shared" si="9"/>
        <v>New</v>
      </c>
      <c r="V113" s="67">
        <f t="shared" si="7"/>
        <v>2021</v>
      </c>
      <c r="W113" t="s">
        <v>6658</v>
      </c>
    </row>
    <row r="114" spans="1:23" ht="34">
      <c r="A114">
        <v>3</v>
      </c>
      <c r="B114" s="11" t="s">
        <v>481</v>
      </c>
      <c r="C114" s="23" t="s">
        <v>33</v>
      </c>
      <c r="D114" s="13" t="s">
        <v>260</v>
      </c>
      <c r="E114" s="14">
        <v>3200000</v>
      </c>
      <c r="F114" s="15">
        <f t="shared" si="8"/>
        <v>147.50622291877937</v>
      </c>
      <c r="G114" s="16">
        <v>21694</v>
      </c>
      <c r="H114" s="16">
        <v>22786</v>
      </c>
      <c r="I114" s="17" t="s">
        <v>482</v>
      </c>
      <c r="J114" s="18" t="s">
        <v>483</v>
      </c>
      <c r="K114" s="19" t="s">
        <v>48</v>
      </c>
      <c r="L114" s="19" t="s">
        <v>484</v>
      </c>
      <c r="M114" s="19" t="s">
        <v>485</v>
      </c>
      <c r="N114" s="52" t="s">
        <v>26</v>
      </c>
      <c r="O114" s="20" t="s">
        <v>27</v>
      </c>
      <c r="P114" s="21" t="s">
        <v>486</v>
      </c>
      <c r="Q114" s="22" t="s">
        <v>487</v>
      </c>
      <c r="R114" s="22" t="s">
        <v>488</v>
      </c>
      <c r="S114" s="20"/>
      <c r="T114" s="20" t="str">
        <f t="shared" si="9"/>
        <v>Old</v>
      </c>
      <c r="V114" s="67">
        <f t="shared" si="7"/>
        <v>2025</v>
      </c>
      <c r="W114" t="s">
        <v>6656</v>
      </c>
    </row>
    <row r="115" spans="1:23" ht="34">
      <c r="A115">
        <v>3</v>
      </c>
      <c r="B115" s="11" t="s">
        <v>1215</v>
      </c>
      <c r="C115" s="12" t="s">
        <v>20</v>
      </c>
      <c r="D115" s="13" t="s">
        <v>579</v>
      </c>
      <c r="E115" s="24">
        <v>293000</v>
      </c>
      <c r="F115" s="15">
        <f t="shared" si="8"/>
        <v>127.66884531590414</v>
      </c>
      <c r="G115" s="16">
        <v>2295</v>
      </c>
      <c r="H115" s="16">
        <v>2295</v>
      </c>
      <c r="I115" s="17" t="s">
        <v>6457</v>
      </c>
      <c r="J115" s="18" t="s">
        <v>135</v>
      </c>
      <c r="K115" s="19" t="s">
        <v>172</v>
      </c>
      <c r="L115" s="19"/>
      <c r="M115" s="19" t="s">
        <v>1216</v>
      </c>
      <c r="N115" s="52" t="s">
        <v>26</v>
      </c>
      <c r="O115" s="20" t="s">
        <v>27</v>
      </c>
      <c r="P115" s="21" t="s">
        <v>1217</v>
      </c>
      <c r="Q115" s="20" t="s">
        <v>1213</v>
      </c>
      <c r="R115" s="20" t="s">
        <v>1218</v>
      </c>
      <c r="S115" s="20"/>
      <c r="T115" s="20" t="str">
        <f t="shared" si="9"/>
        <v>Old</v>
      </c>
      <c r="U115" t="s">
        <v>6318</v>
      </c>
      <c r="V115" s="67">
        <f t="shared" si="7"/>
        <v>2023</v>
      </c>
      <c r="W115" t="s">
        <v>6659</v>
      </c>
    </row>
    <row r="116" spans="1:23" ht="17">
      <c r="A116">
        <v>2</v>
      </c>
      <c r="B116" s="11" t="s">
        <v>1210</v>
      </c>
      <c r="C116" s="12" t="s">
        <v>20</v>
      </c>
      <c r="D116" s="13" t="s">
        <v>877</v>
      </c>
      <c r="E116" s="24">
        <v>420000</v>
      </c>
      <c r="F116" s="15">
        <f t="shared" si="8"/>
        <v>152.39477503628447</v>
      </c>
      <c r="G116" s="16">
        <v>2756</v>
      </c>
      <c r="H116" s="16">
        <v>2756</v>
      </c>
      <c r="I116" s="17" t="s">
        <v>989</v>
      </c>
      <c r="J116" s="18" t="s">
        <v>135</v>
      </c>
      <c r="K116" s="19" t="s">
        <v>172</v>
      </c>
      <c r="L116" s="19"/>
      <c r="M116" s="19" t="s">
        <v>1211</v>
      </c>
      <c r="N116" s="52" t="s">
        <v>26</v>
      </c>
      <c r="O116" s="20" t="s">
        <v>27</v>
      </c>
      <c r="P116" s="21" t="s">
        <v>1212</v>
      </c>
      <c r="Q116" s="26" t="s">
        <v>1213</v>
      </c>
      <c r="R116" s="20" t="s">
        <v>1214</v>
      </c>
      <c r="S116" s="20"/>
      <c r="T116" s="20" t="str">
        <f t="shared" si="9"/>
        <v>Old</v>
      </c>
      <c r="U116" t="s">
        <v>6318</v>
      </c>
      <c r="V116" s="67">
        <f t="shared" si="7"/>
        <v>2024</v>
      </c>
      <c r="W116" t="s">
        <v>6659</v>
      </c>
    </row>
    <row r="117" spans="1:23" ht="17">
      <c r="A117">
        <v>3</v>
      </c>
      <c r="B117" s="11" t="s">
        <v>54</v>
      </c>
      <c r="C117" s="23" t="s">
        <v>33</v>
      </c>
      <c r="D117" s="13" t="s">
        <v>55</v>
      </c>
      <c r="E117" s="24">
        <v>3200000</v>
      </c>
      <c r="F117" s="15">
        <f t="shared" si="8"/>
        <v>893.85474860335194</v>
      </c>
      <c r="G117" s="16">
        <v>3580</v>
      </c>
      <c r="H117" s="16">
        <v>4021</v>
      </c>
      <c r="I117" s="17" t="s">
        <v>56</v>
      </c>
      <c r="J117" s="18" t="s">
        <v>57</v>
      </c>
      <c r="K117" s="19" t="s">
        <v>48</v>
      </c>
      <c r="L117" s="19" t="s">
        <v>58</v>
      </c>
      <c r="M117" s="19" t="s">
        <v>59</v>
      </c>
      <c r="N117" s="52" t="s">
        <v>26</v>
      </c>
      <c r="O117" s="20" t="s">
        <v>40</v>
      </c>
      <c r="P117" s="21" t="s">
        <v>60</v>
      </c>
      <c r="Q117" s="26" t="s">
        <v>61</v>
      </c>
      <c r="R117" s="26" t="s">
        <v>62</v>
      </c>
      <c r="S117" s="20"/>
      <c r="T117" s="20" t="str">
        <f t="shared" si="9"/>
        <v>Old</v>
      </c>
      <c r="V117" s="67">
        <f t="shared" si="7"/>
        <v>2025</v>
      </c>
      <c r="W117" t="s">
        <v>6658</v>
      </c>
    </row>
    <row r="118" spans="1:23" ht="34">
      <c r="A118">
        <v>3</v>
      </c>
      <c r="B118" s="11" t="s">
        <v>252</v>
      </c>
      <c r="C118" s="23" t="s">
        <v>33</v>
      </c>
      <c r="D118" s="13" t="s">
        <v>253</v>
      </c>
      <c r="E118" s="24">
        <v>900000</v>
      </c>
      <c r="F118" s="15">
        <f t="shared" si="8"/>
        <v>253.52112676056339</v>
      </c>
      <c r="G118" s="16">
        <v>3550</v>
      </c>
      <c r="H118" s="16">
        <v>3733</v>
      </c>
      <c r="I118" s="17" t="s">
        <v>254</v>
      </c>
      <c r="J118" s="18" t="s">
        <v>47</v>
      </c>
      <c r="K118" s="19" t="s">
        <v>48</v>
      </c>
      <c r="L118" s="19" t="s">
        <v>194</v>
      </c>
      <c r="M118" s="19" t="s">
        <v>255</v>
      </c>
      <c r="N118" s="52" t="s">
        <v>26</v>
      </c>
      <c r="O118" s="20" t="s">
        <v>27</v>
      </c>
      <c r="P118" s="21" t="s">
        <v>256</v>
      </c>
      <c r="Q118" s="26" t="s">
        <v>257</v>
      </c>
      <c r="R118" s="20" t="s">
        <v>258</v>
      </c>
      <c r="S118" s="20"/>
      <c r="T118" s="20" t="str">
        <f t="shared" si="9"/>
        <v>New</v>
      </c>
      <c r="U118" t="s">
        <v>6318</v>
      </c>
      <c r="V118" s="67">
        <f t="shared" si="7"/>
        <v>2022</v>
      </c>
      <c r="W118" t="s">
        <v>6658</v>
      </c>
    </row>
    <row r="119" spans="1:23" ht="34">
      <c r="A119">
        <v>3</v>
      </c>
      <c r="B119" s="11" t="s">
        <v>1265</v>
      </c>
      <c r="C119" s="12" t="s">
        <v>20</v>
      </c>
      <c r="D119" s="13" t="s">
        <v>428</v>
      </c>
      <c r="E119" s="24">
        <v>537000</v>
      </c>
      <c r="F119" s="15">
        <f t="shared" si="8"/>
        <v>224.87437185929647</v>
      </c>
      <c r="G119" s="16">
        <v>2388</v>
      </c>
      <c r="H119" s="16">
        <v>2388</v>
      </c>
      <c r="I119" s="17" t="s">
        <v>6365</v>
      </c>
      <c r="J119" s="18" t="s">
        <v>1116</v>
      </c>
      <c r="K119" s="19" t="s">
        <v>24</v>
      </c>
      <c r="L119" s="19"/>
      <c r="M119" s="19" t="s">
        <v>1267</v>
      </c>
      <c r="N119" s="52" t="s">
        <v>26</v>
      </c>
      <c r="O119" s="20" t="s">
        <v>27</v>
      </c>
      <c r="P119" s="21" t="s">
        <v>1268</v>
      </c>
      <c r="Q119" s="26" t="s">
        <v>1269</v>
      </c>
      <c r="R119" s="20" t="s">
        <v>1270</v>
      </c>
      <c r="S119" s="20"/>
      <c r="T119" s="20" t="str">
        <f t="shared" si="9"/>
        <v>Old</v>
      </c>
      <c r="U119" t="s">
        <v>6318</v>
      </c>
      <c r="V119" s="67">
        <f t="shared" si="7"/>
        <v>2021</v>
      </c>
      <c r="W119" t="s">
        <v>6659</v>
      </c>
    </row>
    <row r="120" spans="1:23" ht="17">
      <c r="A120">
        <v>3</v>
      </c>
      <c r="B120" s="11" t="s">
        <v>772</v>
      </c>
      <c r="C120" s="23" t="s">
        <v>678</v>
      </c>
      <c r="D120" s="13" t="s">
        <v>170</v>
      </c>
      <c r="E120" s="24">
        <v>1186500</v>
      </c>
      <c r="F120" s="15">
        <f t="shared" si="8"/>
        <v>263.37402885682576</v>
      </c>
      <c r="G120" s="16">
        <v>4505</v>
      </c>
      <c r="H120" s="16">
        <v>4857</v>
      </c>
      <c r="I120" s="17" t="s">
        <v>773</v>
      </c>
      <c r="J120" s="18" t="s">
        <v>536</v>
      </c>
      <c r="K120" s="19" t="s">
        <v>680</v>
      </c>
      <c r="L120" s="19" t="s">
        <v>724</v>
      </c>
      <c r="M120" s="19" t="s">
        <v>774</v>
      </c>
      <c r="N120" s="52" t="s">
        <v>26</v>
      </c>
      <c r="O120" s="20" t="s">
        <v>27</v>
      </c>
      <c r="P120" s="21" t="s">
        <v>775</v>
      </c>
      <c r="Q120" s="26" t="s">
        <v>776</v>
      </c>
      <c r="R120" s="20" t="s">
        <v>777</v>
      </c>
      <c r="S120" s="20"/>
      <c r="T120" s="20" t="str">
        <f t="shared" si="9"/>
        <v>Old</v>
      </c>
      <c r="U120" t="s">
        <v>6318</v>
      </c>
      <c r="V120" s="67">
        <f t="shared" si="7"/>
        <v>2020</v>
      </c>
      <c r="W120" t="s">
        <v>6658</v>
      </c>
    </row>
    <row r="121" spans="1:23" ht="34">
      <c r="A121">
        <v>3</v>
      </c>
      <c r="B121" s="11" t="s">
        <v>1489</v>
      </c>
      <c r="C121" s="12" t="s">
        <v>184</v>
      </c>
      <c r="D121" s="13" t="s">
        <v>1490</v>
      </c>
      <c r="E121" s="24">
        <v>275000</v>
      </c>
      <c r="F121" s="15">
        <f t="shared" si="8"/>
        <v>123.87387387387388</v>
      </c>
      <c r="G121" s="16">
        <v>2220</v>
      </c>
      <c r="H121" s="16">
        <v>2835</v>
      </c>
      <c r="I121" s="17" t="s">
        <v>1491</v>
      </c>
      <c r="J121" s="18" t="s">
        <v>1492</v>
      </c>
      <c r="K121" s="19" t="s">
        <v>48</v>
      </c>
      <c r="L121" s="19"/>
      <c r="M121" s="19" t="s">
        <v>1493</v>
      </c>
      <c r="N121" s="52" t="s">
        <v>26</v>
      </c>
      <c r="O121" s="20" t="s">
        <v>27</v>
      </c>
      <c r="P121" s="21" t="s">
        <v>1494</v>
      </c>
      <c r="Q121" s="26" t="s">
        <v>1495</v>
      </c>
      <c r="R121" s="20" t="s">
        <v>1496</v>
      </c>
      <c r="S121" s="20"/>
      <c r="T121" s="20" t="str">
        <f t="shared" si="9"/>
        <v>Old</v>
      </c>
      <c r="U121" t="s">
        <v>6318</v>
      </c>
      <c r="V121" s="67">
        <f t="shared" si="7"/>
        <v>2021</v>
      </c>
      <c r="W121" t="s">
        <v>6659</v>
      </c>
    </row>
    <row r="122" spans="1:23" ht="34">
      <c r="A122">
        <v>3</v>
      </c>
      <c r="B122" s="11" t="s">
        <v>610</v>
      </c>
      <c r="C122" s="23" t="s">
        <v>33</v>
      </c>
      <c r="D122" s="13" t="s">
        <v>611</v>
      </c>
      <c r="E122" s="24">
        <v>1270100</v>
      </c>
      <c r="F122" s="15">
        <f t="shared" si="8"/>
        <v>257.41791649777059</v>
      </c>
      <c r="G122" s="16">
        <v>4934</v>
      </c>
      <c r="H122" s="16">
        <v>5107</v>
      </c>
      <c r="I122" s="17" t="s">
        <v>6339</v>
      </c>
      <c r="J122" s="18" t="s">
        <v>57</v>
      </c>
      <c r="K122" s="19" t="s">
        <v>48</v>
      </c>
      <c r="L122" s="19" t="s">
        <v>143</v>
      </c>
      <c r="M122" s="19" t="s">
        <v>613</v>
      </c>
      <c r="N122" s="52" t="s">
        <v>26</v>
      </c>
      <c r="O122" s="20" t="s">
        <v>27</v>
      </c>
      <c r="P122" s="21" t="s">
        <v>614</v>
      </c>
      <c r="Q122" s="26" t="s">
        <v>615</v>
      </c>
      <c r="R122" s="20" t="s">
        <v>616</v>
      </c>
      <c r="S122" s="20"/>
      <c r="T122" s="20" t="str">
        <f t="shared" si="9"/>
        <v>Old</v>
      </c>
      <c r="U122" t="s">
        <v>6318</v>
      </c>
      <c r="V122" s="67">
        <f t="shared" si="7"/>
        <v>2020</v>
      </c>
      <c r="W122" t="s">
        <v>6658</v>
      </c>
    </row>
    <row r="123" spans="1:23" ht="34">
      <c r="A123">
        <v>3</v>
      </c>
      <c r="B123" s="11" t="s">
        <v>390</v>
      </c>
      <c r="C123" s="23" t="s">
        <v>33</v>
      </c>
      <c r="D123" s="13" t="s">
        <v>322</v>
      </c>
      <c r="E123" s="24">
        <v>965900</v>
      </c>
      <c r="F123" s="15">
        <f t="shared" si="8"/>
        <v>148.41733251382914</v>
      </c>
      <c r="G123" s="16">
        <v>6508</v>
      </c>
      <c r="H123" s="16">
        <v>6724</v>
      </c>
      <c r="I123" s="17" t="s">
        <v>6461</v>
      </c>
      <c r="J123" s="18" t="s">
        <v>100</v>
      </c>
      <c r="K123" s="19" t="s">
        <v>101</v>
      </c>
      <c r="L123" s="19" t="s">
        <v>392</v>
      </c>
      <c r="M123" s="19" t="s">
        <v>393</v>
      </c>
      <c r="N123" s="52" t="s">
        <v>26</v>
      </c>
      <c r="O123" s="20" t="s">
        <v>27</v>
      </c>
      <c r="P123" s="21" t="s">
        <v>394</v>
      </c>
      <c r="Q123" s="26" t="s">
        <v>395</v>
      </c>
      <c r="R123" s="20" t="s">
        <v>396</v>
      </c>
      <c r="S123" s="20"/>
      <c r="T123" s="20" t="str">
        <f t="shared" si="9"/>
        <v>Normal</v>
      </c>
      <c r="U123" t="s">
        <v>6318</v>
      </c>
      <c r="V123" s="67">
        <f t="shared" si="7"/>
        <v>2023</v>
      </c>
      <c r="W123" t="s">
        <v>6657</v>
      </c>
    </row>
    <row r="124" spans="1:23" ht="51">
      <c r="A124">
        <v>3</v>
      </c>
      <c r="B124" s="11" t="s">
        <v>1293</v>
      </c>
      <c r="C124" s="12" t="s">
        <v>20</v>
      </c>
      <c r="D124" s="13" t="s">
        <v>124</v>
      </c>
      <c r="E124" s="24">
        <v>560000</v>
      </c>
      <c r="F124" s="15">
        <f t="shared" si="8"/>
        <v>240.13722126929673</v>
      </c>
      <c r="G124" s="16">
        <v>2332</v>
      </c>
      <c r="H124" s="16">
        <v>2332</v>
      </c>
      <c r="I124" s="17" t="s">
        <v>6424</v>
      </c>
      <c r="J124" s="18" t="s">
        <v>23</v>
      </c>
      <c r="K124" s="19" t="s">
        <v>172</v>
      </c>
      <c r="L124" s="19"/>
      <c r="M124" s="19" t="s">
        <v>1294</v>
      </c>
      <c r="N124" s="52" t="s">
        <v>26</v>
      </c>
      <c r="O124" s="20" t="s">
        <v>27</v>
      </c>
      <c r="P124" s="21" t="s">
        <v>1295</v>
      </c>
      <c r="Q124" s="20" t="s">
        <v>1296</v>
      </c>
      <c r="R124" s="20" t="s">
        <v>1297</v>
      </c>
      <c r="S124" s="20"/>
      <c r="T124" s="20" t="str">
        <f t="shared" si="9"/>
        <v>Normal</v>
      </c>
      <c r="U124" t="s">
        <v>6318</v>
      </c>
      <c r="V124" s="67">
        <f t="shared" si="7"/>
        <v>2022</v>
      </c>
      <c r="W124" t="s">
        <v>6659</v>
      </c>
    </row>
    <row r="125" spans="1:23" ht="34">
      <c r="A125">
        <v>3</v>
      </c>
      <c r="B125" s="11" t="s">
        <v>1298</v>
      </c>
      <c r="C125" s="12" t="s">
        <v>20</v>
      </c>
      <c r="D125" s="13" t="s">
        <v>982</v>
      </c>
      <c r="E125" s="24">
        <v>1040000</v>
      </c>
      <c r="F125" s="15">
        <f t="shared" si="8"/>
        <v>238.91569032850907</v>
      </c>
      <c r="G125" s="16">
        <v>4353</v>
      </c>
      <c r="H125" s="16">
        <v>4353</v>
      </c>
      <c r="I125" s="17" t="s">
        <v>659</v>
      </c>
      <c r="J125" s="18" t="s">
        <v>760</v>
      </c>
      <c r="K125" s="19" t="s">
        <v>172</v>
      </c>
      <c r="L125" s="19"/>
      <c r="M125" s="19" t="s">
        <v>1299</v>
      </c>
      <c r="N125" s="52" t="s">
        <v>26</v>
      </c>
      <c r="O125" s="20" t="s">
        <v>27</v>
      </c>
      <c r="P125" s="21" t="s">
        <v>1295</v>
      </c>
      <c r="Q125" s="26" t="s">
        <v>1296</v>
      </c>
      <c r="R125" s="20" t="s">
        <v>1300</v>
      </c>
      <c r="S125" s="20"/>
      <c r="T125" s="20" t="str">
        <f t="shared" si="9"/>
        <v>Old</v>
      </c>
      <c r="U125" t="s">
        <v>6318</v>
      </c>
      <c r="V125" s="67">
        <f t="shared" si="7"/>
        <v>2024</v>
      </c>
      <c r="W125" t="s">
        <v>6658</v>
      </c>
    </row>
    <row r="126" spans="1:23" ht="34">
      <c r="A126">
        <v>3</v>
      </c>
      <c r="B126" s="11" t="s">
        <v>836</v>
      </c>
      <c r="C126" s="23" t="s">
        <v>678</v>
      </c>
      <c r="D126" s="13" t="s">
        <v>686</v>
      </c>
      <c r="E126" s="24">
        <v>2450000</v>
      </c>
      <c r="F126" s="15">
        <f t="shared" si="8"/>
        <v>714.70245040840143</v>
      </c>
      <c r="G126" s="16">
        <v>3428</v>
      </c>
      <c r="H126" s="16">
        <v>3649</v>
      </c>
      <c r="I126" s="17" t="s">
        <v>837</v>
      </c>
      <c r="J126" s="18" t="s">
        <v>760</v>
      </c>
      <c r="K126" s="19" t="s">
        <v>680</v>
      </c>
      <c r="L126" s="19" t="s">
        <v>696</v>
      </c>
      <c r="M126" s="19" t="s">
        <v>838</v>
      </c>
      <c r="N126" s="52" t="s">
        <v>26</v>
      </c>
      <c r="O126" s="20" t="s">
        <v>27</v>
      </c>
      <c r="P126" s="21" t="s">
        <v>839</v>
      </c>
      <c r="Q126" s="26" t="s">
        <v>840</v>
      </c>
      <c r="R126" s="20" t="s">
        <v>841</v>
      </c>
      <c r="S126" s="20"/>
      <c r="T126" s="20" t="str">
        <f t="shared" si="9"/>
        <v>Old</v>
      </c>
      <c r="V126" s="67">
        <f t="shared" si="7"/>
        <v>2020</v>
      </c>
      <c r="W126" t="s">
        <v>6658</v>
      </c>
    </row>
    <row r="127" spans="1:23" ht="34">
      <c r="A127">
        <v>3</v>
      </c>
      <c r="B127" s="11" t="s">
        <v>1131</v>
      </c>
      <c r="C127" s="12" t="s">
        <v>184</v>
      </c>
      <c r="D127" s="13" t="s">
        <v>293</v>
      </c>
      <c r="E127" s="24">
        <v>750000</v>
      </c>
      <c r="F127" s="15">
        <f t="shared" si="8"/>
        <v>157.72870662460568</v>
      </c>
      <c r="G127" s="16">
        <v>4755</v>
      </c>
      <c r="H127" s="16">
        <v>4952</v>
      </c>
      <c r="I127" s="17" t="s">
        <v>1132</v>
      </c>
      <c r="J127" s="18" t="s">
        <v>379</v>
      </c>
      <c r="K127" s="19" t="s">
        <v>48</v>
      </c>
      <c r="L127" s="19"/>
      <c r="M127" s="19" t="s">
        <v>1133</v>
      </c>
      <c r="N127" s="52" t="s">
        <v>26</v>
      </c>
      <c r="O127" s="20" t="s">
        <v>27</v>
      </c>
      <c r="P127" s="21" t="s">
        <v>26</v>
      </c>
      <c r="Q127" s="26" t="s">
        <v>1134</v>
      </c>
      <c r="R127" s="26" t="s">
        <v>1135</v>
      </c>
      <c r="S127" s="20"/>
      <c r="T127" s="20" t="str">
        <f t="shared" si="9"/>
        <v>Normal</v>
      </c>
      <c r="U127" t="s">
        <v>6318</v>
      </c>
      <c r="V127" s="67">
        <f t="shared" si="7"/>
        <v>2023</v>
      </c>
      <c r="W127" t="s">
        <v>6658</v>
      </c>
    </row>
    <row r="128" spans="1:23" ht="34">
      <c r="A128">
        <v>3</v>
      </c>
      <c r="B128" s="11" t="s">
        <v>604</v>
      </c>
      <c r="C128" s="23" t="s">
        <v>33</v>
      </c>
      <c r="D128" s="13" t="s">
        <v>73</v>
      </c>
      <c r="E128" s="24">
        <v>1550000</v>
      </c>
      <c r="F128" s="15">
        <f t="shared" si="8"/>
        <v>317.75317753177529</v>
      </c>
      <c r="G128" s="16">
        <v>4878</v>
      </c>
      <c r="H128" s="16">
        <v>10005</v>
      </c>
      <c r="I128" s="17" t="s">
        <v>605</v>
      </c>
      <c r="J128" s="18" t="s">
        <v>309</v>
      </c>
      <c r="K128" s="19" t="s">
        <v>37</v>
      </c>
      <c r="L128" s="19" t="s">
        <v>143</v>
      </c>
      <c r="M128" s="19" t="s">
        <v>606</v>
      </c>
      <c r="N128" s="52" t="s">
        <v>26</v>
      </c>
      <c r="O128" s="20" t="s">
        <v>27</v>
      </c>
      <c r="P128" s="21" t="s">
        <v>607</v>
      </c>
      <c r="Q128" s="26" t="s">
        <v>608</v>
      </c>
      <c r="R128" s="20" t="s">
        <v>609</v>
      </c>
      <c r="S128" s="20"/>
      <c r="T128" s="20" t="str">
        <f t="shared" si="9"/>
        <v>Old</v>
      </c>
      <c r="U128" t="s">
        <v>6318</v>
      </c>
      <c r="V128" s="67">
        <f t="shared" si="7"/>
        <v>2025</v>
      </c>
      <c r="W128" t="s">
        <v>6658</v>
      </c>
    </row>
    <row r="129" spans="1:23" ht="34">
      <c r="A129">
        <v>3</v>
      </c>
      <c r="B129" s="11" t="s">
        <v>778</v>
      </c>
      <c r="C129" s="23" t="s">
        <v>678</v>
      </c>
      <c r="D129" s="13" t="s">
        <v>779</v>
      </c>
      <c r="E129" s="24">
        <v>1300000</v>
      </c>
      <c r="F129" s="15">
        <f t="shared" si="8"/>
        <v>324.02791625124627</v>
      </c>
      <c r="G129" s="16">
        <v>4012</v>
      </c>
      <c r="H129" s="16">
        <v>4292</v>
      </c>
      <c r="I129" s="17" t="s">
        <v>780</v>
      </c>
      <c r="J129" s="18" t="s">
        <v>760</v>
      </c>
      <c r="K129" s="19" t="s">
        <v>680</v>
      </c>
      <c r="L129" s="19" t="s">
        <v>724</v>
      </c>
      <c r="M129" s="19" t="s">
        <v>781</v>
      </c>
      <c r="N129" s="52" t="s">
        <v>26</v>
      </c>
      <c r="O129" s="20" t="s">
        <v>27</v>
      </c>
      <c r="P129" s="21" t="s">
        <v>782</v>
      </c>
      <c r="Q129" s="26" t="s">
        <v>783</v>
      </c>
      <c r="R129" s="20" t="s">
        <v>784</v>
      </c>
      <c r="S129" s="20"/>
      <c r="T129" s="20" t="str">
        <f t="shared" si="9"/>
        <v>Old</v>
      </c>
      <c r="U129" t="s">
        <v>6318</v>
      </c>
      <c r="V129" s="67">
        <f t="shared" si="7"/>
        <v>2025</v>
      </c>
      <c r="W129" t="s">
        <v>6658</v>
      </c>
    </row>
    <row r="130" spans="1:23" ht="34">
      <c r="A130">
        <v>3</v>
      </c>
      <c r="B130" s="11" t="s">
        <v>785</v>
      </c>
      <c r="C130" s="23" t="s">
        <v>678</v>
      </c>
      <c r="D130" s="13" t="s">
        <v>64</v>
      </c>
      <c r="E130" s="24">
        <v>1570000</v>
      </c>
      <c r="F130" s="15">
        <f t="shared" si="8"/>
        <v>332.69760542487813</v>
      </c>
      <c r="G130" s="16">
        <v>4719</v>
      </c>
      <c r="H130" s="16">
        <v>4975</v>
      </c>
      <c r="I130" s="17" t="s">
        <v>786</v>
      </c>
      <c r="J130" s="18" t="s">
        <v>760</v>
      </c>
      <c r="K130" s="19" t="s">
        <v>680</v>
      </c>
      <c r="L130" s="19" t="s">
        <v>724</v>
      </c>
      <c r="M130" s="19" t="s">
        <v>787</v>
      </c>
      <c r="N130" s="52" t="s">
        <v>26</v>
      </c>
      <c r="O130" s="20" t="s">
        <v>27</v>
      </c>
      <c r="P130" s="21" t="s">
        <v>788</v>
      </c>
      <c r="Q130" s="26" t="s">
        <v>789</v>
      </c>
      <c r="R130" s="20" t="s">
        <v>790</v>
      </c>
      <c r="S130" s="20"/>
      <c r="T130" s="20" t="str">
        <f t="shared" si="9"/>
        <v>Old</v>
      </c>
      <c r="U130" t="s">
        <v>6318</v>
      </c>
      <c r="V130" s="67">
        <f t="shared" si="7"/>
        <v>2021</v>
      </c>
      <c r="W130" t="s">
        <v>6658</v>
      </c>
    </row>
    <row r="131" spans="1:23" ht="17">
      <c r="A131">
        <v>3</v>
      </c>
      <c r="B131" s="11" t="s">
        <v>758</v>
      </c>
      <c r="C131" s="23" t="s">
        <v>678</v>
      </c>
      <c r="D131" s="13" t="s">
        <v>81</v>
      </c>
      <c r="E131" s="24">
        <v>1745000</v>
      </c>
      <c r="F131" s="15">
        <f t="shared" ref="F131:F162" si="10">E131/G131</f>
        <v>351.60185371750958</v>
      </c>
      <c r="G131" s="16">
        <v>4963</v>
      </c>
      <c r="H131" s="16">
        <v>5296</v>
      </c>
      <c r="I131" s="17" t="s">
        <v>759</v>
      </c>
      <c r="J131" s="18" t="s">
        <v>760</v>
      </c>
      <c r="K131" s="19" t="s">
        <v>680</v>
      </c>
      <c r="L131" s="19" t="s">
        <v>724</v>
      </c>
      <c r="M131" s="19" t="s">
        <v>761</v>
      </c>
      <c r="N131" s="52" t="s">
        <v>26</v>
      </c>
      <c r="O131" s="20" t="s">
        <v>27</v>
      </c>
      <c r="P131" s="21" t="s">
        <v>762</v>
      </c>
      <c r="Q131" s="26" t="s">
        <v>763</v>
      </c>
      <c r="R131" s="26" t="s">
        <v>764</v>
      </c>
      <c r="S131" s="20"/>
      <c r="T131" s="20" t="str">
        <f t="shared" ref="T131:T162" si="11">IF(OR(J131="",D131=""),"Unknown",IF(LEFT(D131,4)*1-J131*1&lt;=10,"New",IF(LEFT(D131,4)*1-J131*1&lt;=25,"Normal","Old")))</f>
        <v>Old</v>
      </c>
      <c r="U131" t="s">
        <v>6318</v>
      </c>
      <c r="V131" s="67">
        <f t="shared" si="7"/>
        <v>2025</v>
      </c>
      <c r="W131" t="s">
        <v>6658</v>
      </c>
    </row>
    <row r="132" spans="1:23" ht="34">
      <c r="A132">
        <v>3</v>
      </c>
      <c r="B132" s="11" t="s">
        <v>1668</v>
      </c>
      <c r="C132" s="23" t="s">
        <v>33</v>
      </c>
      <c r="D132" s="13" t="s">
        <v>658</v>
      </c>
      <c r="E132" s="14">
        <v>2097400</v>
      </c>
      <c r="F132" s="15">
        <f t="shared" si="10"/>
        <v>1048.7</v>
      </c>
      <c r="G132" s="16">
        <v>2000</v>
      </c>
      <c r="H132" s="16">
        <v>2080</v>
      </c>
      <c r="I132" s="17" t="s">
        <v>1669</v>
      </c>
      <c r="J132" s="18" t="s">
        <v>627</v>
      </c>
      <c r="K132" s="19" t="s">
        <v>37</v>
      </c>
      <c r="L132" s="19" t="s">
        <v>143</v>
      </c>
      <c r="M132" s="19" t="s">
        <v>1670</v>
      </c>
      <c r="N132" s="52" t="s">
        <v>26</v>
      </c>
      <c r="O132" s="20" t="s">
        <v>27</v>
      </c>
      <c r="P132" s="21" t="s">
        <v>1671</v>
      </c>
      <c r="Q132" s="22" t="s">
        <v>1672</v>
      </c>
      <c r="R132" s="22" t="s">
        <v>1673</v>
      </c>
      <c r="S132" s="20"/>
      <c r="T132" s="27" t="str">
        <f t="shared" si="11"/>
        <v>Old</v>
      </c>
      <c r="V132" s="67">
        <f t="shared" ref="V132:V195" si="12">LEFT(D132,4)*1</f>
        <v>2025</v>
      </c>
      <c r="W132" t="s">
        <v>6659</v>
      </c>
    </row>
    <row r="133" spans="1:23" ht="34">
      <c r="A133">
        <v>3</v>
      </c>
      <c r="B133" s="11" t="s">
        <v>364</v>
      </c>
      <c r="C133" s="23" t="s">
        <v>33</v>
      </c>
      <c r="D133" s="13" t="s">
        <v>141</v>
      </c>
      <c r="E133" s="24">
        <v>649000</v>
      </c>
      <c r="F133" s="15">
        <f t="shared" si="10"/>
        <v>224.5674740484429</v>
      </c>
      <c r="G133" s="16">
        <v>2890</v>
      </c>
      <c r="H133" s="16">
        <v>2906</v>
      </c>
      <c r="I133" s="17" t="s">
        <v>365</v>
      </c>
      <c r="J133" s="18" t="s">
        <v>92</v>
      </c>
      <c r="K133" s="19" t="s">
        <v>48</v>
      </c>
      <c r="L133" s="19" t="s">
        <v>366</v>
      </c>
      <c r="M133" s="19" t="s">
        <v>367</v>
      </c>
      <c r="N133" s="52" t="s">
        <v>26</v>
      </c>
      <c r="O133" s="20" t="s">
        <v>27</v>
      </c>
      <c r="P133" s="21" t="s">
        <v>368</v>
      </c>
      <c r="Q133" s="26" t="s">
        <v>369</v>
      </c>
      <c r="R133" s="20" t="s">
        <v>370</v>
      </c>
      <c r="S133" s="20"/>
      <c r="T133" s="20" t="str">
        <f t="shared" si="11"/>
        <v>Normal</v>
      </c>
      <c r="U133" t="s">
        <v>6318</v>
      </c>
      <c r="V133" s="67">
        <f t="shared" si="12"/>
        <v>2022</v>
      </c>
      <c r="W133" t="s">
        <v>6659</v>
      </c>
    </row>
    <row r="134" spans="1:23" ht="34">
      <c r="A134">
        <v>3</v>
      </c>
      <c r="B134" s="11" t="s">
        <v>1084</v>
      </c>
      <c r="C134" s="12" t="s">
        <v>184</v>
      </c>
      <c r="D134" s="13" t="s">
        <v>231</v>
      </c>
      <c r="E134" s="24">
        <v>1100000</v>
      </c>
      <c r="F134" s="15">
        <f t="shared" si="10"/>
        <v>269.60784313725492</v>
      </c>
      <c r="G134" s="16">
        <v>4080</v>
      </c>
      <c r="H134" s="16">
        <v>4556</v>
      </c>
      <c r="I134" s="17" t="s">
        <v>1085</v>
      </c>
      <c r="J134" s="18" t="s">
        <v>83</v>
      </c>
      <c r="K134" s="19" t="s">
        <v>48</v>
      </c>
      <c r="L134" s="19"/>
      <c r="M134" s="19" t="s">
        <v>1086</v>
      </c>
      <c r="N134" s="52" t="s">
        <v>26</v>
      </c>
      <c r="O134" s="20" t="s">
        <v>27</v>
      </c>
      <c r="P134" s="21" t="s">
        <v>1087</v>
      </c>
      <c r="Q134" s="26" t="s">
        <v>1088</v>
      </c>
      <c r="R134" s="20" t="s">
        <v>1089</v>
      </c>
      <c r="S134" s="20"/>
      <c r="T134" s="20" t="str">
        <f t="shared" si="11"/>
        <v>Normal</v>
      </c>
      <c r="U134" t="s">
        <v>6318</v>
      </c>
      <c r="V134" s="67">
        <f t="shared" si="12"/>
        <v>2021</v>
      </c>
      <c r="W134" t="s">
        <v>6658</v>
      </c>
    </row>
    <row r="135" spans="1:23" ht="17">
      <c r="A135">
        <v>3</v>
      </c>
      <c r="B135" s="11" t="s">
        <v>214</v>
      </c>
      <c r="C135" s="23" t="s">
        <v>33</v>
      </c>
      <c r="D135" s="13" t="s">
        <v>215</v>
      </c>
      <c r="E135" s="24">
        <v>900000</v>
      </c>
      <c r="F135" s="15">
        <f t="shared" si="10"/>
        <v>152.54237288135593</v>
      </c>
      <c r="G135" s="16">
        <v>5900</v>
      </c>
      <c r="H135" s="16">
        <v>6304</v>
      </c>
      <c r="I135" s="17" t="s">
        <v>216</v>
      </c>
      <c r="J135" s="18" t="s">
        <v>217</v>
      </c>
      <c r="K135" s="19" t="s">
        <v>48</v>
      </c>
      <c r="L135" s="19" t="s">
        <v>49</v>
      </c>
      <c r="M135" s="19" t="s">
        <v>218</v>
      </c>
      <c r="N135" s="52" t="s">
        <v>26</v>
      </c>
      <c r="O135" s="20" t="s">
        <v>27</v>
      </c>
      <c r="P135" s="21" t="s">
        <v>219</v>
      </c>
      <c r="Q135" s="26" t="s">
        <v>220</v>
      </c>
      <c r="R135" s="20" t="s">
        <v>221</v>
      </c>
      <c r="S135" s="20"/>
      <c r="T135" s="20" t="str">
        <f t="shared" si="11"/>
        <v>Old</v>
      </c>
      <c r="U135" t="s">
        <v>6318</v>
      </c>
      <c r="V135" s="67">
        <f t="shared" si="12"/>
        <v>2021</v>
      </c>
      <c r="W135" t="s">
        <v>6658</v>
      </c>
    </row>
    <row r="136" spans="1:23" ht="34">
      <c r="A136">
        <v>3</v>
      </c>
      <c r="B136" s="11" t="s">
        <v>1392</v>
      </c>
      <c r="C136" s="12" t="s">
        <v>20</v>
      </c>
      <c r="D136" s="13" t="s">
        <v>591</v>
      </c>
      <c r="E136" s="24">
        <v>650000</v>
      </c>
      <c r="F136" s="15">
        <f t="shared" si="10"/>
        <v>253.11526479750779</v>
      </c>
      <c r="G136" s="16">
        <v>2568</v>
      </c>
      <c r="H136" s="16">
        <v>2568</v>
      </c>
      <c r="I136" s="17" t="s">
        <v>1393</v>
      </c>
      <c r="J136" s="18" t="s">
        <v>100</v>
      </c>
      <c r="K136" s="19" t="s">
        <v>172</v>
      </c>
      <c r="L136" s="19"/>
      <c r="M136" s="19" t="s">
        <v>1394</v>
      </c>
      <c r="N136" s="52" t="s">
        <v>26</v>
      </c>
      <c r="O136" s="20" t="s">
        <v>27</v>
      </c>
      <c r="P136" s="21" t="s">
        <v>1395</v>
      </c>
      <c r="Q136" s="26" t="s">
        <v>1396</v>
      </c>
      <c r="R136" s="20" t="s">
        <v>1397</v>
      </c>
      <c r="S136" s="20"/>
      <c r="T136" s="20" t="str">
        <f t="shared" si="11"/>
        <v>Normal</v>
      </c>
      <c r="U136" t="s">
        <v>6318</v>
      </c>
      <c r="V136" s="67">
        <f t="shared" si="12"/>
        <v>2022</v>
      </c>
      <c r="W136" t="s">
        <v>6659</v>
      </c>
    </row>
    <row r="137" spans="1:23" ht="34">
      <c r="A137">
        <v>3</v>
      </c>
      <c r="B137" s="11" t="s">
        <v>1398</v>
      </c>
      <c r="C137" s="12" t="s">
        <v>20</v>
      </c>
      <c r="D137" s="13" t="s">
        <v>1399</v>
      </c>
      <c r="E137" s="24">
        <v>580000</v>
      </c>
      <c r="F137" s="15">
        <f t="shared" si="10"/>
        <v>239.27392739273927</v>
      </c>
      <c r="G137" s="16">
        <v>2424</v>
      </c>
      <c r="H137" s="16">
        <v>2424</v>
      </c>
      <c r="I137" s="17" t="s">
        <v>6425</v>
      </c>
      <c r="J137" s="18" t="s">
        <v>100</v>
      </c>
      <c r="K137" s="19" t="s">
        <v>172</v>
      </c>
      <c r="L137" s="19"/>
      <c r="M137" s="19" t="s">
        <v>1401</v>
      </c>
      <c r="N137" s="52" t="s">
        <v>26</v>
      </c>
      <c r="O137" s="20" t="s">
        <v>27</v>
      </c>
      <c r="P137" s="21" t="s">
        <v>1402</v>
      </c>
      <c r="Q137" s="26" t="s">
        <v>1403</v>
      </c>
      <c r="R137" s="20" t="s">
        <v>1404</v>
      </c>
      <c r="S137" s="20"/>
      <c r="T137" s="20" t="str">
        <f t="shared" si="11"/>
        <v>Normal</v>
      </c>
      <c r="U137" t="s">
        <v>6318</v>
      </c>
      <c r="V137" s="67">
        <f t="shared" si="12"/>
        <v>2022</v>
      </c>
      <c r="W137" t="s">
        <v>6659</v>
      </c>
    </row>
    <row r="138" spans="1:23" ht="32">
      <c r="A138">
        <v>3</v>
      </c>
      <c r="B138" s="29" t="s">
        <v>994</v>
      </c>
      <c r="C138" s="12" t="s">
        <v>20</v>
      </c>
      <c r="D138" s="30" t="s">
        <v>995</v>
      </c>
      <c r="E138" s="31">
        <v>1650000</v>
      </c>
      <c r="F138" s="15">
        <f t="shared" si="10"/>
        <v>402.046783625731</v>
      </c>
      <c r="G138" s="33">
        <v>4104</v>
      </c>
      <c r="H138" s="33">
        <v>4104</v>
      </c>
      <c r="I138" s="34" t="s">
        <v>996</v>
      </c>
      <c r="J138" s="35">
        <v>2006</v>
      </c>
      <c r="K138" s="30" t="s">
        <v>172</v>
      </c>
      <c r="L138" s="30"/>
      <c r="M138" s="30" t="s">
        <v>997</v>
      </c>
      <c r="N138" s="52" t="s">
        <v>26</v>
      </c>
      <c r="O138" s="20" t="s">
        <v>27</v>
      </c>
      <c r="P138" s="21" t="s">
        <v>998</v>
      </c>
      <c r="Q138" s="26" t="s">
        <v>999</v>
      </c>
      <c r="R138" s="26" t="s">
        <v>1000</v>
      </c>
      <c r="S138" s="20"/>
      <c r="T138" s="20" t="str">
        <f t="shared" si="11"/>
        <v>Normal</v>
      </c>
      <c r="U138" t="s">
        <v>6318</v>
      </c>
      <c r="V138" s="67">
        <f t="shared" si="12"/>
        <v>2022</v>
      </c>
      <c r="W138" t="s">
        <v>6658</v>
      </c>
    </row>
    <row r="139" spans="1:23" ht="34">
      <c r="A139">
        <v>3</v>
      </c>
      <c r="B139" s="11" t="s">
        <v>32</v>
      </c>
      <c r="C139" s="23" t="s">
        <v>33</v>
      </c>
      <c r="D139" s="13" t="s">
        <v>34</v>
      </c>
      <c r="E139" s="24">
        <v>1100000</v>
      </c>
      <c r="F139" s="15">
        <f t="shared" si="10"/>
        <v>250.62656641604011</v>
      </c>
      <c r="G139" s="16">
        <v>4389</v>
      </c>
      <c r="H139" s="16">
        <v>4697</v>
      </c>
      <c r="I139" s="17" t="s">
        <v>35</v>
      </c>
      <c r="J139" s="18" t="s">
        <v>36</v>
      </c>
      <c r="K139" s="19" t="s">
        <v>37</v>
      </c>
      <c r="L139" s="19" t="s">
        <v>38</v>
      </c>
      <c r="M139" s="19" t="s">
        <v>39</v>
      </c>
      <c r="N139" s="52" t="s">
        <v>26</v>
      </c>
      <c r="O139" s="20" t="s">
        <v>40</v>
      </c>
      <c r="P139" s="21" t="s">
        <v>41</v>
      </c>
      <c r="Q139" s="26" t="s">
        <v>42</v>
      </c>
      <c r="R139" s="20" t="s">
        <v>43</v>
      </c>
      <c r="S139" s="20"/>
      <c r="T139" s="20" t="str">
        <f t="shared" si="11"/>
        <v>Old</v>
      </c>
      <c r="U139" t="s">
        <v>6318</v>
      </c>
      <c r="V139" s="67">
        <f t="shared" si="12"/>
        <v>2023</v>
      </c>
      <c r="W139" t="s">
        <v>6658</v>
      </c>
    </row>
    <row r="140" spans="1:23" ht="34">
      <c r="A140">
        <v>3</v>
      </c>
      <c r="B140" s="11" t="s">
        <v>798</v>
      </c>
      <c r="C140" s="23" t="s">
        <v>678</v>
      </c>
      <c r="D140" s="13" t="s">
        <v>729</v>
      </c>
      <c r="E140" s="24">
        <v>800000</v>
      </c>
      <c r="F140" s="15">
        <f t="shared" si="10"/>
        <v>157.82205563227461</v>
      </c>
      <c r="G140" s="16">
        <v>5069</v>
      </c>
      <c r="H140" s="16">
        <v>5754</v>
      </c>
      <c r="I140" s="17" t="s">
        <v>799</v>
      </c>
      <c r="J140" s="18" t="s">
        <v>800</v>
      </c>
      <c r="K140" s="19" t="s">
        <v>801</v>
      </c>
      <c r="L140" s="19" t="s">
        <v>724</v>
      </c>
      <c r="M140" s="19" t="s">
        <v>802</v>
      </c>
      <c r="N140" s="52" t="s">
        <v>26</v>
      </c>
      <c r="O140" s="20" t="s">
        <v>27</v>
      </c>
      <c r="P140" s="21" t="s">
        <v>803</v>
      </c>
      <c r="Q140" s="26" t="s">
        <v>804</v>
      </c>
      <c r="R140" s="26" t="s">
        <v>805</v>
      </c>
      <c r="S140" s="20"/>
      <c r="T140" s="20" t="str">
        <f t="shared" si="11"/>
        <v>Old</v>
      </c>
      <c r="U140" t="s">
        <v>6318</v>
      </c>
      <c r="V140" s="67">
        <f t="shared" si="12"/>
        <v>2024</v>
      </c>
      <c r="W140" t="s">
        <v>6658</v>
      </c>
    </row>
    <row r="141" spans="1:23" ht="34">
      <c r="A141">
        <v>3</v>
      </c>
      <c r="B141" s="11" t="s">
        <v>1377</v>
      </c>
      <c r="C141" s="12" t="s">
        <v>20</v>
      </c>
      <c r="D141" s="13" t="s">
        <v>779</v>
      </c>
      <c r="E141" s="24">
        <v>825000</v>
      </c>
      <c r="F141" s="15">
        <f t="shared" si="10"/>
        <v>320.5128205128205</v>
      </c>
      <c r="G141" s="16">
        <v>2574</v>
      </c>
      <c r="H141" s="16">
        <v>2574</v>
      </c>
      <c r="I141" s="17" t="s">
        <v>1378</v>
      </c>
      <c r="J141" s="18" t="s">
        <v>23</v>
      </c>
      <c r="K141" s="19" t="s">
        <v>24</v>
      </c>
      <c r="L141" s="19"/>
      <c r="M141" s="19" t="s">
        <v>1379</v>
      </c>
      <c r="N141" s="52" t="s">
        <v>26</v>
      </c>
      <c r="O141" s="20" t="s">
        <v>27</v>
      </c>
      <c r="P141" s="21"/>
      <c r="Q141" s="26"/>
      <c r="R141" s="26" t="s">
        <v>1380</v>
      </c>
      <c r="S141" s="20"/>
      <c r="T141" s="20" t="str">
        <f t="shared" si="11"/>
        <v>Normal</v>
      </c>
      <c r="U141" t="s">
        <v>6318</v>
      </c>
      <c r="V141" s="67">
        <f t="shared" si="12"/>
        <v>2025</v>
      </c>
      <c r="W141" t="s">
        <v>6659</v>
      </c>
    </row>
    <row r="142" spans="1:23" ht="17">
      <c r="A142">
        <v>3</v>
      </c>
      <c r="B142" s="11" t="s">
        <v>848</v>
      </c>
      <c r="C142" s="23" t="s">
        <v>678</v>
      </c>
      <c r="D142" s="13" t="s">
        <v>686</v>
      </c>
      <c r="E142" s="24">
        <v>2450000</v>
      </c>
      <c r="F142" s="15">
        <f t="shared" si="10"/>
        <v>418.9466484268126</v>
      </c>
      <c r="G142" s="16">
        <v>5848</v>
      </c>
      <c r="H142" s="16">
        <v>6266</v>
      </c>
      <c r="I142" s="17" t="s">
        <v>6342</v>
      </c>
      <c r="J142" s="18" t="s">
        <v>767</v>
      </c>
      <c r="K142" s="19" t="s">
        <v>680</v>
      </c>
      <c r="L142" s="19" t="s">
        <v>696</v>
      </c>
      <c r="M142" s="19" t="s">
        <v>849</v>
      </c>
      <c r="N142" s="52" t="s">
        <v>26</v>
      </c>
      <c r="O142" s="20" t="s">
        <v>27</v>
      </c>
      <c r="P142" s="21" t="s">
        <v>850</v>
      </c>
      <c r="Q142" s="26" t="s">
        <v>851</v>
      </c>
      <c r="R142" s="20" t="s">
        <v>852</v>
      </c>
      <c r="S142" s="20"/>
      <c r="T142" s="20" t="str">
        <f t="shared" si="11"/>
        <v>Normal</v>
      </c>
      <c r="U142" t="s">
        <v>6318</v>
      </c>
      <c r="V142" s="67">
        <f t="shared" si="12"/>
        <v>2020</v>
      </c>
      <c r="W142" t="s">
        <v>6658</v>
      </c>
    </row>
    <row r="143" spans="1:23" ht="34">
      <c r="A143">
        <v>3</v>
      </c>
      <c r="B143" s="11" t="s">
        <v>420</v>
      </c>
      <c r="C143" s="23" t="s">
        <v>33</v>
      </c>
      <c r="D143" s="13" t="s">
        <v>45</v>
      </c>
      <c r="E143" s="24">
        <v>2000000</v>
      </c>
      <c r="F143" s="15">
        <f t="shared" si="10"/>
        <v>301.7046311660884</v>
      </c>
      <c r="G143" s="16">
        <v>6629</v>
      </c>
      <c r="H143" s="16">
        <v>7252</v>
      </c>
      <c r="I143" s="17" t="s">
        <v>421</v>
      </c>
      <c r="J143" s="18" t="s">
        <v>422</v>
      </c>
      <c r="K143" s="19" t="s">
        <v>48</v>
      </c>
      <c r="L143" s="19" t="s">
        <v>194</v>
      </c>
      <c r="M143" s="19" t="s">
        <v>423</v>
      </c>
      <c r="N143" s="52" t="s">
        <v>26</v>
      </c>
      <c r="O143" s="20" t="s">
        <v>27</v>
      </c>
      <c r="P143" s="21" t="s">
        <v>424</v>
      </c>
      <c r="Q143" s="26" t="s">
        <v>425</v>
      </c>
      <c r="R143" s="20" t="s">
        <v>426</v>
      </c>
      <c r="S143" s="20"/>
      <c r="T143" s="20" t="str">
        <f t="shared" si="11"/>
        <v>Old</v>
      </c>
      <c r="U143" t="s">
        <v>6318</v>
      </c>
      <c r="V143" s="67">
        <f t="shared" si="12"/>
        <v>2023</v>
      </c>
      <c r="W143" t="s">
        <v>6657</v>
      </c>
    </row>
    <row r="144" spans="1:23" ht="17">
      <c r="A144">
        <v>3</v>
      </c>
      <c r="B144" s="11" t="s">
        <v>830</v>
      </c>
      <c r="C144" s="23" t="s">
        <v>678</v>
      </c>
      <c r="D144" s="13" t="s">
        <v>158</v>
      </c>
      <c r="E144" s="24">
        <v>1550000</v>
      </c>
      <c r="F144" s="15">
        <f t="shared" si="10"/>
        <v>325.97266035751841</v>
      </c>
      <c r="G144" s="16">
        <v>4755</v>
      </c>
      <c r="H144" s="16">
        <v>5138</v>
      </c>
      <c r="I144" s="17" t="s">
        <v>831</v>
      </c>
      <c r="J144" s="18" t="s">
        <v>646</v>
      </c>
      <c r="K144" s="19" t="s">
        <v>680</v>
      </c>
      <c r="L144" s="19" t="s">
        <v>696</v>
      </c>
      <c r="M144" s="19" t="s">
        <v>832</v>
      </c>
      <c r="N144" s="52" t="s">
        <v>26</v>
      </c>
      <c r="O144" s="20" t="s">
        <v>27</v>
      </c>
      <c r="P144" s="21" t="s">
        <v>833</v>
      </c>
      <c r="Q144" s="26" t="s">
        <v>834</v>
      </c>
      <c r="R144" s="20" t="s">
        <v>835</v>
      </c>
      <c r="S144" s="20"/>
      <c r="T144" s="20" t="str">
        <f t="shared" si="11"/>
        <v>Old</v>
      </c>
      <c r="U144" t="s">
        <v>6318</v>
      </c>
      <c r="V144" s="67">
        <f t="shared" si="12"/>
        <v>2024</v>
      </c>
      <c r="W144" t="s">
        <v>6658</v>
      </c>
    </row>
    <row r="145" spans="1:23" ht="34">
      <c r="A145">
        <v>3</v>
      </c>
      <c r="B145" s="11" t="s">
        <v>824</v>
      </c>
      <c r="C145" s="23" t="s">
        <v>678</v>
      </c>
      <c r="D145" s="13" t="s">
        <v>55</v>
      </c>
      <c r="E145" s="24">
        <v>800000</v>
      </c>
      <c r="F145" s="15">
        <f t="shared" si="10"/>
        <v>327.46623004502663</v>
      </c>
      <c r="G145" s="16">
        <v>2443</v>
      </c>
      <c r="H145" s="16">
        <v>2508</v>
      </c>
      <c r="I145" s="17" t="s">
        <v>825</v>
      </c>
      <c r="J145" s="18" t="s">
        <v>66</v>
      </c>
      <c r="K145" s="19" t="s">
        <v>680</v>
      </c>
      <c r="L145" s="19" t="s">
        <v>696</v>
      </c>
      <c r="M145" s="19" t="s">
        <v>826</v>
      </c>
      <c r="N145" s="52" t="s">
        <v>26</v>
      </c>
      <c r="O145" s="20" t="s">
        <v>27</v>
      </c>
      <c r="P145" s="21" t="s">
        <v>827</v>
      </c>
      <c r="Q145" s="26" t="s">
        <v>828</v>
      </c>
      <c r="R145" s="26" t="s">
        <v>829</v>
      </c>
      <c r="S145" s="20"/>
      <c r="T145" s="20" t="str">
        <f t="shared" si="11"/>
        <v>Old</v>
      </c>
      <c r="U145" t="s">
        <v>6318</v>
      </c>
      <c r="V145" s="67">
        <f t="shared" si="12"/>
        <v>2025</v>
      </c>
      <c r="W145" t="s">
        <v>6659</v>
      </c>
    </row>
    <row r="146" spans="1:23" ht="17">
      <c r="A146">
        <v>3</v>
      </c>
      <c r="B146" s="29" t="s">
        <v>1001</v>
      </c>
      <c r="C146" s="12" t="s">
        <v>20</v>
      </c>
      <c r="D146" s="30" t="s">
        <v>407</v>
      </c>
      <c r="E146" s="31">
        <v>685000</v>
      </c>
      <c r="F146" s="15">
        <f t="shared" si="10"/>
        <v>152.22222222222223</v>
      </c>
      <c r="G146" s="33">
        <v>4500</v>
      </c>
      <c r="H146" s="33">
        <v>4094</v>
      </c>
      <c r="I146" s="34" t="s">
        <v>1002</v>
      </c>
      <c r="J146" s="35">
        <v>2023</v>
      </c>
      <c r="K146" s="30" t="s">
        <v>24</v>
      </c>
      <c r="L146" s="30"/>
      <c r="M146" s="30" t="s">
        <v>1003</v>
      </c>
      <c r="N146" s="52" t="s">
        <v>26</v>
      </c>
      <c r="O146" s="20" t="s">
        <v>27</v>
      </c>
      <c r="P146" s="21" t="s">
        <v>1004</v>
      </c>
      <c r="Q146" s="26" t="s">
        <v>1005</v>
      </c>
      <c r="R146" s="20" t="s">
        <v>1006</v>
      </c>
      <c r="S146" s="20"/>
      <c r="T146" s="20" t="str">
        <f t="shared" si="11"/>
        <v>New</v>
      </c>
      <c r="U146" t="s">
        <v>6318</v>
      </c>
      <c r="V146" s="67">
        <f t="shared" si="12"/>
        <v>2022</v>
      </c>
      <c r="W146" t="s">
        <v>6658</v>
      </c>
    </row>
    <row r="147" spans="1:23" ht="34">
      <c r="A147">
        <v>3</v>
      </c>
      <c r="B147" s="11" t="s">
        <v>1371</v>
      </c>
      <c r="C147" s="12" t="s">
        <v>20</v>
      </c>
      <c r="D147" s="13" t="s">
        <v>307</v>
      </c>
      <c r="E147" s="24">
        <v>533000</v>
      </c>
      <c r="F147" s="15">
        <f t="shared" si="10"/>
        <v>221.16182572614107</v>
      </c>
      <c r="G147" s="16">
        <v>2410</v>
      </c>
      <c r="H147" s="16">
        <v>2410</v>
      </c>
      <c r="I147" s="17" t="s">
        <v>1372</v>
      </c>
      <c r="J147" s="18" t="s">
        <v>1138</v>
      </c>
      <c r="K147" s="19" t="s">
        <v>24</v>
      </c>
      <c r="L147" s="19"/>
      <c r="M147" s="19" t="s">
        <v>1373</v>
      </c>
      <c r="N147" s="52" t="s">
        <v>26</v>
      </c>
      <c r="O147" s="20" t="s">
        <v>27</v>
      </c>
      <c r="P147" s="21" t="s">
        <v>1374</v>
      </c>
      <c r="Q147" s="26" t="s">
        <v>1375</v>
      </c>
      <c r="R147" s="26" t="s">
        <v>1376</v>
      </c>
      <c r="S147" s="20"/>
      <c r="T147" s="20" t="str">
        <f t="shared" si="11"/>
        <v>Normal</v>
      </c>
      <c r="U147" t="s">
        <v>6318</v>
      </c>
      <c r="V147" s="67">
        <f t="shared" si="12"/>
        <v>2020</v>
      </c>
      <c r="W147" t="s">
        <v>6659</v>
      </c>
    </row>
    <row r="148" spans="1:23" ht="34">
      <c r="A148">
        <v>3</v>
      </c>
      <c r="B148" s="11" t="s">
        <v>842</v>
      </c>
      <c r="C148" s="23" t="s">
        <v>678</v>
      </c>
      <c r="D148" s="13" t="s">
        <v>516</v>
      </c>
      <c r="E148" s="24">
        <v>1800000</v>
      </c>
      <c r="F148" s="15">
        <f t="shared" si="10"/>
        <v>294.45444135449043</v>
      </c>
      <c r="G148" s="16">
        <v>6113</v>
      </c>
      <c r="H148" s="16">
        <v>6326</v>
      </c>
      <c r="I148" s="17" t="s">
        <v>843</v>
      </c>
      <c r="J148" s="18" t="s">
        <v>422</v>
      </c>
      <c r="K148" s="19" t="s">
        <v>680</v>
      </c>
      <c r="L148" s="19" t="s">
        <v>696</v>
      </c>
      <c r="M148" s="19" t="s">
        <v>844</v>
      </c>
      <c r="N148" s="52" t="s">
        <v>26</v>
      </c>
      <c r="O148" s="20" t="s">
        <v>27</v>
      </c>
      <c r="P148" s="21" t="s">
        <v>845</v>
      </c>
      <c r="Q148" s="26" t="s">
        <v>846</v>
      </c>
      <c r="R148" s="20" t="s">
        <v>847</v>
      </c>
      <c r="S148" s="20"/>
      <c r="T148" s="20" t="str">
        <f t="shared" si="11"/>
        <v>Old</v>
      </c>
      <c r="U148" t="s">
        <v>6318</v>
      </c>
      <c r="V148" s="67">
        <f t="shared" si="12"/>
        <v>2023</v>
      </c>
      <c r="W148" t="s">
        <v>6657</v>
      </c>
    </row>
    <row r="149" spans="1:23" ht="17">
      <c r="A149">
        <v>3</v>
      </c>
      <c r="B149" s="11" t="s">
        <v>728</v>
      </c>
      <c r="C149" s="23" t="s">
        <v>678</v>
      </c>
      <c r="D149" s="13" t="s">
        <v>729</v>
      </c>
      <c r="E149" s="24">
        <v>840000</v>
      </c>
      <c r="F149" s="15">
        <f t="shared" si="10"/>
        <v>271.14267269205942</v>
      </c>
      <c r="G149" s="16">
        <v>3098</v>
      </c>
      <c r="H149" s="16">
        <v>3918</v>
      </c>
      <c r="I149" s="17" t="s">
        <v>730</v>
      </c>
      <c r="J149" s="18" t="s">
        <v>731</v>
      </c>
      <c r="K149" s="19" t="s">
        <v>680</v>
      </c>
      <c r="L149" s="19" t="s">
        <v>732</v>
      </c>
      <c r="M149" s="19" t="s">
        <v>733</v>
      </c>
      <c r="N149" s="52" t="s">
        <v>26</v>
      </c>
      <c r="O149" s="20" t="s">
        <v>27</v>
      </c>
      <c r="P149" s="21" t="s">
        <v>734</v>
      </c>
      <c r="Q149" s="26" t="s">
        <v>735</v>
      </c>
      <c r="R149" s="20" t="s">
        <v>736</v>
      </c>
      <c r="S149" s="20"/>
      <c r="T149" s="20" t="str">
        <f t="shared" si="11"/>
        <v>Old</v>
      </c>
      <c r="U149" t="s">
        <v>6318</v>
      </c>
      <c r="V149" s="67">
        <f t="shared" si="12"/>
        <v>2024</v>
      </c>
      <c r="W149" t="s">
        <v>6658</v>
      </c>
    </row>
    <row r="150" spans="1:23" ht="34">
      <c r="A150">
        <v>3</v>
      </c>
      <c r="B150" s="11" t="s">
        <v>806</v>
      </c>
      <c r="C150" s="23" t="s">
        <v>678</v>
      </c>
      <c r="D150" s="13" t="s">
        <v>428</v>
      </c>
      <c r="E150" s="24">
        <v>530000</v>
      </c>
      <c r="F150" s="15">
        <f t="shared" si="10"/>
        <v>240.36281179138322</v>
      </c>
      <c r="G150" s="16">
        <v>2205</v>
      </c>
      <c r="H150" s="16">
        <v>2269</v>
      </c>
      <c r="I150" s="17" t="s">
        <v>6364</v>
      </c>
      <c r="J150" s="18" t="s">
        <v>57</v>
      </c>
      <c r="K150" s="19" t="s">
        <v>680</v>
      </c>
      <c r="L150" s="19" t="s">
        <v>724</v>
      </c>
      <c r="M150" s="19" t="s">
        <v>808</v>
      </c>
      <c r="N150" s="52" t="s">
        <v>26</v>
      </c>
      <c r="O150" s="20" t="s">
        <v>27</v>
      </c>
      <c r="P150" s="21" t="s">
        <v>809</v>
      </c>
      <c r="Q150" s="26" t="s">
        <v>810</v>
      </c>
      <c r="R150" s="20" t="s">
        <v>811</v>
      </c>
      <c r="S150" s="20"/>
      <c r="T150" s="20" t="str">
        <f t="shared" si="11"/>
        <v>Old</v>
      </c>
      <c r="U150" t="s">
        <v>6318</v>
      </c>
      <c r="V150" s="67">
        <f t="shared" si="12"/>
        <v>2021</v>
      </c>
      <c r="W150" t="s">
        <v>6659</v>
      </c>
    </row>
    <row r="151" spans="1:23" ht="34">
      <c r="A151">
        <v>3</v>
      </c>
      <c r="B151" s="11" t="s">
        <v>812</v>
      </c>
      <c r="C151" s="23" t="s">
        <v>678</v>
      </c>
      <c r="D151" s="13" t="s">
        <v>108</v>
      </c>
      <c r="E151" s="24">
        <v>700000</v>
      </c>
      <c r="F151" s="15">
        <f t="shared" si="10"/>
        <v>326.34032634032633</v>
      </c>
      <c r="G151" s="16">
        <v>2145</v>
      </c>
      <c r="H151" s="16">
        <v>2533</v>
      </c>
      <c r="I151" s="17" t="s">
        <v>813</v>
      </c>
      <c r="J151" s="18" t="s">
        <v>599</v>
      </c>
      <c r="K151" s="19" t="s">
        <v>801</v>
      </c>
      <c r="L151" s="19" t="s">
        <v>732</v>
      </c>
      <c r="M151" s="19" t="s">
        <v>814</v>
      </c>
      <c r="N151" s="52" t="s">
        <v>26</v>
      </c>
      <c r="O151" s="20" t="s">
        <v>27</v>
      </c>
      <c r="P151" s="21" t="s">
        <v>815</v>
      </c>
      <c r="Q151" s="26" t="s">
        <v>816</v>
      </c>
      <c r="R151" s="26" t="s">
        <v>817</v>
      </c>
      <c r="S151" s="20"/>
      <c r="T151" s="20" t="str">
        <f t="shared" si="11"/>
        <v>Old</v>
      </c>
      <c r="U151" t="s">
        <v>6318</v>
      </c>
      <c r="V151" s="67">
        <f t="shared" si="12"/>
        <v>2025</v>
      </c>
      <c r="W151" t="s">
        <v>6659</v>
      </c>
    </row>
    <row r="152" spans="1:23" ht="17">
      <c r="A152">
        <v>3</v>
      </c>
      <c r="B152" s="29" t="s">
        <v>937</v>
      </c>
      <c r="C152" s="12" t="s">
        <v>20</v>
      </c>
      <c r="D152" s="30" t="s">
        <v>877</v>
      </c>
      <c r="E152" s="31">
        <v>4225000</v>
      </c>
      <c r="F152" s="15">
        <f t="shared" si="10"/>
        <v>479.56867196367762</v>
      </c>
      <c r="G152" s="33">
        <v>8810</v>
      </c>
      <c r="H152" s="33">
        <v>8810</v>
      </c>
      <c r="I152" s="34" t="s">
        <v>938</v>
      </c>
      <c r="J152" s="35">
        <v>2005</v>
      </c>
      <c r="K152" s="30" t="s">
        <v>172</v>
      </c>
      <c r="L152" s="30"/>
      <c r="M152" s="30" t="s">
        <v>939</v>
      </c>
      <c r="N152" s="52" t="s">
        <v>26</v>
      </c>
      <c r="O152" s="20" t="s">
        <v>27</v>
      </c>
      <c r="P152" s="21" t="s">
        <v>940</v>
      </c>
      <c r="Q152" s="26" t="s">
        <v>941</v>
      </c>
      <c r="R152" s="20" t="s">
        <v>942</v>
      </c>
      <c r="S152" s="20"/>
      <c r="T152" s="20" t="str">
        <f t="shared" si="11"/>
        <v>Normal</v>
      </c>
      <c r="V152" s="67">
        <f t="shared" si="12"/>
        <v>2024</v>
      </c>
      <c r="W152" t="s">
        <v>6657</v>
      </c>
    </row>
    <row r="153" spans="1:23" ht="17">
      <c r="A153">
        <v>3</v>
      </c>
      <c r="B153" s="29" t="s">
        <v>1007</v>
      </c>
      <c r="C153" s="12" t="s">
        <v>20</v>
      </c>
      <c r="D153" s="30" t="s">
        <v>372</v>
      </c>
      <c r="E153" s="31">
        <v>742000</v>
      </c>
      <c r="F153" s="15">
        <f t="shared" si="10"/>
        <v>285.38461538461536</v>
      </c>
      <c r="G153" s="33">
        <v>2600</v>
      </c>
      <c r="H153" s="33">
        <v>2600</v>
      </c>
      <c r="I153" s="34" t="s">
        <v>1008</v>
      </c>
      <c r="J153" s="35">
        <v>2017</v>
      </c>
      <c r="K153" s="30" t="s">
        <v>172</v>
      </c>
      <c r="L153" s="30"/>
      <c r="M153" s="30" t="s">
        <v>1009</v>
      </c>
      <c r="N153" s="52" t="s">
        <v>26</v>
      </c>
      <c r="O153" s="20" t="s">
        <v>27</v>
      </c>
      <c r="P153" s="21" t="s">
        <v>1010</v>
      </c>
      <c r="Q153" s="26" t="s">
        <v>1011</v>
      </c>
      <c r="R153" s="20" t="s">
        <v>1012</v>
      </c>
      <c r="S153" s="20"/>
      <c r="T153" s="20" t="str">
        <f t="shared" si="11"/>
        <v>New</v>
      </c>
      <c r="U153" t="s">
        <v>6318</v>
      </c>
      <c r="V153" s="67">
        <f t="shared" si="12"/>
        <v>2022</v>
      </c>
      <c r="W153" t="s">
        <v>6659</v>
      </c>
    </row>
    <row r="154" spans="1:23" ht="17">
      <c r="A154">
        <v>3</v>
      </c>
      <c r="B154" s="11" t="s">
        <v>1143</v>
      </c>
      <c r="C154" s="12" t="s">
        <v>184</v>
      </c>
      <c r="D154" s="13" t="s">
        <v>336</v>
      </c>
      <c r="E154" s="24">
        <v>494000</v>
      </c>
      <c r="F154" s="15">
        <f t="shared" si="10"/>
        <v>166.21803499327052</v>
      </c>
      <c r="G154" s="16">
        <v>2972</v>
      </c>
      <c r="H154" s="16">
        <v>2988</v>
      </c>
      <c r="I154" s="17" t="s">
        <v>1144</v>
      </c>
      <c r="J154" s="18" t="s">
        <v>187</v>
      </c>
      <c r="K154" s="19" t="s">
        <v>37</v>
      </c>
      <c r="L154" s="19"/>
      <c r="M154" s="19" t="s">
        <v>1145</v>
      </c>
      <c r="N154" s="52" t="s">
        <v>26</v>
      </c>
      <c r="O154" s="20" t="s">
        <v>27</v>
      </c>
      <c r="P154" s="21" t="s">
        <v>1146</v>
      </c>
      <c r="Q154" s="26" t="s">
        <v>1147</v>
      </c>
      <c r="R154" s="26" t="s">
        <v>1148</v>
      </c>
      <c r="S154" s="20"/>
      <c r="T154" s="20" t="str">
        <f t="shared" si="11"/>
        <v>Old</v>
      </c>
      <c r="U154" t="s">
        <v>6318</v>
      </c>
      <c r="V154" s="67">
        <f t="shared" si="12"/>
        <v>2021</v>
      </c>
      <c r="W154" t="s">
        <v>6659</v>
      </c>
    </row>
    <row r="155" spans="1:23" ht="34">
      <c r="A155">
        <v>3</v>
      </c>
      <c r="B155" s="11" t="s">
        <v>115</v>
      </c>
      <c r="C155" s="23" t="s">
        <v>33</v>
      </c>
      <c r="D155" s="13" t="s">
        <v>34</v>
      </c>
      <c r="E155" s="24">
        <v>720000</v>
      </c>
      <c r="F155" s="15">
        <f t="shared" si="10"/>
        <v>364.37246963562751</v>
      </c>
      <c r="G155" s="16">
        <v>1976</v>
      </c>
      <c r="H155" s="16">
        <v>2087</v>
      </c>
      <c r="I155" s="17" t="s">
        <v>116</v>
      </c>
      <c r="J155" s="18" t="s">
        <v>117</v>
      </c>
      <c r="K155" s="19" t="s">
        <v>48</v>
      </c>
      <c r="L155" s="19" t="s">
        <v>118</v>
      </c>
      <c r="M155" s="19" t="s">
        <v>119</v>
      </c>
      <c r="N155" s="52" t="s">
        <v>26</v>
      </c>
      <c r="O155" s="20" t="s">
        <v>27</v>
      </c>
      <c r="P155" s="21" t="s">
        <v>120</v>
      </c>
      <c r="Q155" s="26" t="s">
        <v>121</v>
      </c>
      <c r="R155" s="20" t="s">
        <v>122</v>
      </c>
      <c r="S155" s="20"/>
      <c r="T155" s="20" t="str">
        <f t="shared" si="11"/>
        <v>Old</v>
      </c>
      <c r="U155" t="s">
        <v>6318</v>
      </c>
      <c r="V155" s="67">
        <f t="shared" si="12"/>
        <v>2023</v>
      </c>
      <c r="W155" t="s">
        <v>6659</v>
      </c>
    </row>
    <row r="156" spans="1:23" ht="32">
      <c r="A156">
        <v>3</v>
      </c>
      <c r="B156" s="29" t="s">
        <v>975</v>
      </c>
      <c r="C156" s="12" t="s">
        <v>20</v>
      </c>
      <c r="D156" s="30" t="s">
        <v>554</v>
      </c>
      <c r="E156" s="31">
        <v>1200000</v>
      </c>
      <c r="F156" s="15">
        <f t="shared" si="10"/>
        <v>266.96329254727476</v>
      </c>
      <c r="G156" s="33">
        <v>4495</v>
      </c>
      <c r="H156" s="33">
        <v>4495</v>
      </c>
      <c r="I156" s="34" t="s">
        <v>1467</v>
      </c>
      <c r="J156" s="35">
        <v>2003</v>
      </c>
      <c r="K156" s="30" t="s">
        <v>172</v>
      </c>
      <c r="L156" s="30"/>
      <c r="M156" s="30" t="s">
        <v>977</v>
      </c>
      <c r="N156" s="52" t="s">
        <v>26</v>
      </c>
      <c r="O156" s="20" t="s">
        <v>27</v>
      </c>
      <c r="P156" s="21" t="s">
        <v>978</v>
      </c>
      <c r="Q156" s="26" t="s">
        <v>979</v>
      </c>
      <c r="R156" s="20" t="s">
        <v>980</v>
      </c>
      <c r="S156" s="20"/>
      <c r="T156" s="20" t="str">
        <f t="shared" si="11"/>
        <v>Normal</v>
      </c>
      <c r="U156" t="s">
        <v>6318</v>
      </c>
      <c r="V156" s="67">
        <f t="shared" si="12"/>
        <v>2022</v>
      </c>
      <c r="W156" t="s">
        <v>6658</v>
      </c>
    </row>
    <row r="157" spans="1:23" ht="34">
      <c r="A157">
        <v>3</v>
      </c>
      <c r="B157" s="29" t="s">
        <v>953</v>
      </c>
      <c r="C157" s="12" t="s">
        <v>20</v>
      </c>
      <c r="D157" s="30" t="s">
        <v>954</v>
      </c>
      <c r="E157" s="31">
        <v>1150000</v>
      </c>
      <c r="F157" s="15">
        <f t="shared" si="10"/>
        <v>275.64717162032599</v>
      </c>
      <c r="G157" s="33">
        <v>4172</v>
      </c>
      <c r="H157" s="33">
        <v>4172</v>
      </c>
      <c r="I157" s="34" t="s">
        <v>955</v>
      </c>
      <c r="J157" s="35">
        <v>2017</v>
      </c>
      <c r="K157" s="30" t="s">
        <v>24</v>
      </c>
      <c r="L157" s="30"/>
      <c r="M157" s="30" t="s">
        <v>956</v>
      </c>
      <c r="N157" s="52" t="s">
        <v>26</v>
      </c>
      <c r="O157" s="20" t="s">
        <v>27</v>
      </c>
      <c r="P157" s="21" t="s">
        <v>957</v>
      </c>
      <c r="Q157" s="26" t="s">
        <v>958</v>
      </c>
      <c r="R157" s="20" t="s">
        <v>959</v>
      </c>
      <c r="S157" s="20"/>
      <c r="T157" s="20" t="str">
        <f t="shared" si="11"/>
        <v>New</v>
      </c>
      <c r="U157" t="s">
        <v>6318</v>
      </c>
      <c r="V157" s="67">
        <f t="shared" si="12"/>
        <v>2020</v>
      </c>
      <c r="W157" t="s">
        <v>6658</v>
      </c>
    </row>
    <row r="158" spans="1:23" ht="17">
      <c r="A158">
        <v>3</v>
      </c>
      <c r="B158" s="11" t="s">
        <v>222</v>
      </c>
      <c r="C158" s="23" t="s">
        <v>33</v>
      </c>
      <c r="D158" s="13" t="s">
        <v>223</v>
      </c>
      <c r="E158" s="24">
        <v>1365500</v>
      </c>
      <c r="F158" s="15">
        <f t="shared" si="10"/>
        <v>410.30649038461536</v>
      </c>
      <c r="G158" s="16">
        <v>3328</v>
      </c>
      <c r="H158" s="16">
        <v>4909</v>
      </c>
      <c r="I158" s="17" t="s">
        <v>224</v>
      </c>
      <c r="J158" s="18" t="s">
        <v>225</v>
      </c>
      <c r="K158" s="19" t="s">
        <v>37</v>
      </c>
      <c r="L158" s="19" t="s">
        <v>49</v>
      </c>
      <c r="M158" s="19" t="s">
        <v>226</v>
      </c>
      <c r="N158" s="52" t="s">
        <v>26</v>
      </c>
      <c r="O158" s="20" t="s">
        <v>27</v>
      </c>
      <c r="P158" s="21" t="s">
        <v>227</v>
      </c>
      <c r="Q158" s="26" t="s">
        <v>228</v>
      </c>
      <c r="R158" s="20" t="s">
        <v>229</v>
      </c>
      <c r="S158" s="20"/>
      <c r="T158" s="20" t="str">
        <f t="shared" si="11"/>
        <v>Normal</v>
      </c>
      <c r="U158" t="s">
        <v>6318</v>
      </c>
      <c r="V158" s="67">
        <f t="shared" si="12"/>
        <v>2021</v>
      </c>
      <c r="W158" t="s">
        <v>6658</v>
      </c>
    </row>
    <row r="159" spans="1:23" ht="34">
      <c r="A159">
        <v>3</v>
      </c>
      <c r="B159" s="11" t="s">
        <v>1381</v>
      </c>
      <c r="C159" s="12" t="s">
        <v>20</v>
      </c>
      <c r="D159" s="13" t="s">
        <v>428</v>
      </c>
      <c r="E159" s="24">
        <v>1200000</v>
      </c>
      <c r="F159" s="15">
        <f t="shared" si="10"/>
        <v>342.95513003715348</v>
      </c>
      <c r="G159" s="16">
        <v>3499</v>
      </c>
      <c r="H159" s="16">
        <v>3499</v>
      </c>
      <c r="I159" s="17" t="s">
        <v>1382</v>
      </c>
      <c r="J159" s="18" t="s">
        <v>241</v>
      </c>
      <c r="K159" s="19" t="s">
        <v>24</v>
      </c>
      <c r="L159" s="19"/>
      <c r="M159" s="19" t="s">
        <v>1383</v>
      </c>
      <c r="N159" s="52" t="s">
        <v>26</v>
      </c>
      <c r="O159" s="20" t="s">
        <v>27</v>
      </c>
      <c r="P159" s="21" t="s">
        <v>1384</v>
      </c>
      <c r="Q159" s="26" t="s">
        <v>1385</v>
      </c>
      <c r="R159" s="20" t="s">
        <v>1386</v>
      </c>
      <c r="S159" s="20"/>
      <c r="T159" s="20" t="str">
        <f t="shared" si="11"/>
        <v>Normal</v>
      </c>
      <c r="U159" t="s">
        <v>6318</v>
      </c>
      <c r="V159" s="67">
        <f t="shared" si="12"/>
        <v>2021</v>
      </c>
      <c r="W159" t="s">
        <v>6658</v>
      </c>
    </row>
    <row r="160" spans="1:23" ht="34">
      <c r="A160">
        <v>3</v>
      </c>
      <c r="B160" s="11" t="s">
        <v>427</v>
      </c>
      <c r="C160" s="23" t="s">
        <v>33</v>
      </c>
      <c r="D160" s="13" t="s">
        <v>428</v>
      </c>
      <c r="E160" s="14">
        <v>7750000</v>
      </c>
      <c r="F160" s="15">
        <f t="shared" si="10"/>
        <v>179.94798922633973</v>
      </c>
      <c r="G160" s="16">
        <v>43068</v>
      </c>
      <c r="H160" s="16">
        <v>44902</v>
      </c>
      <c r="I160" s="17" t="s">
        <v>6380</v>
      </c>
      <c r="J160" s="18" t="s">
        <v>430</v>
      </c>
      <c r="K160" s="19" t="s">
        <v>101</v>
      </c>
      <c r="L160" s="19" t="s">
        <v>118</v>
      </c>
      <c r="M160" s="19" t="s">
        <v>431</v>
      </c>
      <c r="N160" s="52" t="s">
        <v>1519</v>
      </c>
      <c r="O160" s="20" t="s">
        <v>27</v>
      </c>
      <c r="P160" s="21" t="s">
        <v>432</v>
      </c>
      <c r="Q160" s="22" t="s">
        <v>433</v>
      </c>
      <c r="R160" s="22" t="s">
        <v>434</v>
      </c>
      <c r="S160" s="20"/>
      <c r="T160" s="20" t="str">
        <f t="shared" si="11"/>
        <v>Old</v>
      </c>
      <c r="U160" t="s">
        <v>6318</v>
      </c>
      <c r="V160" s="67">
        <f t="shared" si="12"/>
        <v>2021</v>
      </c>
      <c r="W160" t="s">
        <v>6656</v>
      </c>
    </row>
    <row r="161" spans="1:23" ht="17">
      <c r="A161">
        <v>3</v>
      </c>
      <c r="B161" s="11" t="s">
        <v>1365</v>
      </c>
      <c r="C161" s="12" t="s">
        <v>20</v>
      </c>
      <c r="D161" s="13" t="s">
        <v>356</v>
      </c>
      <c r="E161" s="14">
        <v>3425000</v>
      </c>
      <c r="F161" s="15">
        <f t="shared" si="10"/>
        <v>267.8292148889584</v>
      </c>
      <c r="G161" s="16">
        <v>12788</v>
      </c>
      <c r="H161" s="16">
        <v>12788</v>
      </c>
      <c r="I161" s="17" t="s">
        <v>1366</v>
      </c>
      <c r="J161" s="18" t="s">
        <v>760</v>
      </c>
      <c r="K161" s="19" t="s">
        <v>24</v>
      </c>
      <c r="L161" s="19"/>
      <c r="M161" s="19" t="s">
        <v>1367</v>
      </c>
      <c r="N161" s="52" t="s">
        <v>1519</v>
      </c>
      <c r="O161" s="20" t="s">
        <v>27</v>
      </c>
      <c r="P161" s="21" t="s">
        <v>1368</v>
      </c>
      <c r="Q161" s="22" t="s">
        <v>1369</v>
      </c>
      <c r="R161" s="22" t="s">
        <v>1370</v>
      </c>
      <c r="S161" s="20"/>
      <c r="T161" s="20" t="str">
        <f t="shared" si="11"/>
        <v>Old</v>
      </c>
      <c r="U161" t="s">
        <v>6318</v>
      </c>
      <c r="V161" s="67">
        <f t="shared" si="12"/>
        <v>2024</v>
      </c>
      <c r="W161" t="s">
        <v>6655</v>
      </c>
    </row>
    <row r="162" spans="1:23" ht="34">
      <c r="A162">
        <v>3</v>
      </c>
      <c r="B162" s="11" t="s">
        <v>1516</v>
      </c>
      <c r="C162" s="23" t="s">
        <v>33</v>
      </c>
      <c r="D162" s="13" t="s">
        <v>1490</v>
      </c>
      <c r="E162" s="24">
        <v>4918100</v>
      </c>
      <c r="F162" s="15">
        <f t="shared" si="10"/>
        <v>281.5813580671018</v>
      </c>
      <c r="G162" s="16">
        <v>17466</v>
      </c>
      <c r="H162" s="16">
        <v>22828</v>
      </c>
      <c r="I162" s="17" t="s">
        <v>6378</v>
      </c>
      <c r="J162" s="18" t="s">
        <v>1138</v>
      </c>
      <c r="K162" s="19" t="s">
        <v>48</v>
      </c>
      <c r="L162" s="19" t="s">
        <v>84</v>
      </c>
      <c r="M162" s="19" t="s">
        <v>1518</v>
      </c>
      <c r="N162" s="52" t="s">
        <v>1519</v>
      </c>
      <c r="O162" s="20" t="s">
        <v>27</v>
      </c>
      <c r="P162" s="21" t="s">
        <v>1520</v>
      </c>
      <c r="Q162" s="20"/>
      <c r="R162" s="26" t="s">
        <v>1521</v>
      </c>
      <c r="S162" s="20"/>
      <c r="T162" s="20" t="str">
        <f t="shared" si="11"/>
        <v>Normal</v>
      </c>
      <c r="U162" t="s">
        <v>6318</v>
      </c>
      <c r="V162" s="67">
        <f t="shared" si="12"/>
        <v>2021</v>
      </c>
      <c r="W162" t="s">
        <v>6655</v>
      </c>
    </row>
    <row r="163" spans="1:23" ht="34">
      <c r="A163">
        <v>3</v>
      </c>
      <c r="B163" s="11" t="s">
        <v>19</v>
      </c>
      <c r="C163" s="12" t="s">
        <v>20</v>
      </c>
      <c r="D163" s="13" t="s">
        <v>21</v>
      </c>
      <c r="E163" s="14">
        <v>2285000</v>
      </c>
      <c r="F163" s="15">
        <f t="shared" ref="F163:F194" si="13">E163/G163</f>
        <v>223.58121330724072</v>
      </c>
      <c r="G163" s="16">
        <v>10220</v>
      </c>
      <c r="H163" s="16">
        <v>10220</v>
      </c>
      <c r="I163" s="17" t="s">
        <v>6374</v>
      </c>
      <c r="J163" s="18" t="s">
        <v>23</v>
      </c>
      <c r="K163" s="19" t="s">
        <v>24</v>
      </c>
      <c r="L163" s="19"/>
      <c r="M163" s="19" t="s">
        <v>25</v>
      </c>
      <c r="N163" s="52" t="s">
        <v>1519</v>
      </c>
      <c r="O163" s="20" t="s">
        <v>27</v>
      </c>
      <c r="P163" s="21" t="s">
        <v>28</v>
      </c>
      <c r="Q163" s="22" t="s">
        <v>29</v>
      </c>
      <c r="R163" s="22" t="s">
        <v>30</v>
      </c>
      <c r="S163" s="20" t="s">
        <v>31</v>
      </c>
      <c r="T163" s="20" t="str">
        <f t="shared" ref="T163:T196" si="14">IF(OR(J163="",D163=""),"Unknown",IF(LEFT(D163,4)*1-J163*1&lt;=10,"New",IF(LEFT(D163,4)*1-J163*1&lt;=25,"Normal","Old")))</f>
        <v>Normal</v>
      </c>
      <c r="U163" t="s">
        <v>6318</v>
      </c>
      <c r="V163" s="67">
        <f t="shared" si="12"/>
        <v>2021</v>
      </c>
      <c r="W163" t="s">
        <v>6655</v>
      </c>
    </row>
    <row r="164" spans="1:23" ht="34">
      <c r="B164" s="29" t="s">
        <v>1573</v>
      </c>
      <c r="C164" s="12" t="s">
        <v>20</v>
      </c>
      <c r="D164" s="30" t="s">
        <v>141</v>
      </c>
      <c r="E164" s="31">
        <v>4500000</v>
      </c>
      <c r="F164" s="15">
        <f t="shared" si="13"/>
        <v>247.25274725274724</v>
      </c>
      <c r="G164" s="33">
        <v>18200</v>
      </c>
      <c r="H164" s="33">
        <v>18200</v>
      </c>
      <c r="I164" s="34" t="s">
        <v>6434</v>
      </c>
      <c r="J164" s="35">
        <v>2006</v>
      </c>
      <c r="K164" s="30" t="s">
        <v>172</v>
      </c>
      <c r="L164" s="30"/>
      <c r="M164" s="30" t="s">
        <v>1575</v>
      </c>
      <c r="N164" s="52" t="s">
        <v>1519</v>
      </c>
      <c r="O164" s="20" t="s">
        <v>27</v>
      </c>
      <c r="P164" s="21" t="s">
        <v>1576</v>
      </c>
      <c r="Q164" s="20"/>
      <c r="R164" s="20" t="s">
        <v>1577</v>
      </c>
      <c r="S164" s="20"/>
      <c r="T164" s="20" t="str">
        <f t="shared" si="14"/>
        <v>Normal</v>
      </c>
      <c r="U164" t="s">
        <v>6318</v>
      </c>
      <c r="V164" s="67">
        <f t="shared" si="12"/>
        <v>2022</v>
      </c>
      <c r="W164" t="s">
        <v>6655</v>
      </c>
    </row>
    <row r="165" spans="1:23" ht="34">
      <c r="A165">
        <v>3</v>
      </c>
      <c r="B165" s="11" t="s">
        <v>1538</v>
      </c>
      <c r="C165" s="23" t="s">
        <v>33</v>
      </c>
      <c r="D165" s="13" t="s">
        <v>554</v>
      </c>
      <c r="E165" s="24">
        <v>1600000</v>
      </c>
      <c r="F165" s="15">
        <f t="shared" si="13"/>
        <v>241.87452758881329</v>
      </c>
      <c r="G165" s="16">
        <v>6615</v>
      </c>
      <c r="H165" s="16">
        <v>7443</v>
      </c>
      <c r="I165" s="17" t="s">
        <v>1539</v>
      </c>
      <c r="J165" s="18" t="s">
        <v>566</v>
      </c>
      <c r="K165" s="19" t="s">
        <v>48</v>
      </c>
      <c r="L165" s="19" t="s">
        <v>457</v>
      </c>
      <c r="M165" s="19" t="s">
        <v>1540</v>
      </c>
      <c r="N165" s="52" t="s">
        <v>1519</v>
      </c>
      <c r="O165" s="20" t="s">
        <v>27</v>
      </c>
      <c r="P165" s="21" t="s">
        <v>1541</v>
      </c>
      <c r="Q165" s="20"/>
      <c r="R165" s="20" t="s">
        <v>1542</v>
      </c>
      <c r="S165" s="20"/>
      <c r="T165" s="20" t="str">
        <f t="shared" si="14"/>
        <v>Normal</v>
      </c>
      <c r="U165" t="s">
        <v>6318</v>
      </c>
      <c r="V165" s="67">
        <f t="shared" si="12"/>
        <v>2022</v>
      </c>
      <c r="W165" t="s">
        <v>6657</v>
      </c>
    </row>
    <row r="166" spans="1:23" ht="34">
      <c r="A166">
        <v>3</v>
      </c>
      <c r="B166" s="11" t="s">
        <v>44</v>
      </c>
      <c r="C166" s="23" t="s">
        <v>33</v>
      </c>
      <c r="D166" s="13" t="s">
        <v>45</v>
      </c>
      <c r="E166" s="14">
        <v>1800000</v>
      </c>
      <c r="F166" s="15">
        <f t="shared" si="13"/>
        <v>179.24716191993627</v>
      </c>
      <c r="G166" s="16">
        <v>10042</v>
      </c>
      <c r="H166" s="16">
        <v>10618</v>
      </c>
      <c r="I166" s="17" t="s">
        <v>6465</v>
      </c>
      <c r="J166" s="18" t="s">
        <v>47</v>
      </c>
      <c r="K166" s="19" t="s">
        <v>48</v>
      </c>
      <c r="L166" s="19" t="s">
        <v>49</v>
      </c>
      <c r="M166" s="19" t="s">
        <v>50</v>
      </c>
      <c r="N166" s="52" t="s">
        <v>1519</v>
      </c>
      <c r="O166" s="20" t="s">
        <v>27</v>
      </c>
      <c r="P166" s="21" t="s">
        <v>51</v>
      </c>
      <c r="Q166" s="22" t="s">
        <v>52</v>
      </c>
      <c r="R166" s="22" t="s">
        <v>53</v>
      </c>
      <c r="S166" s="20"/>
      <c r="T166" s="27" t="str">
        <f t="shared" si="14"/>
        <v>New</v>
      </c>
      <c r="U166" t="s">
        <v>6318</v>
      </c>
      <c r="V166" s="67">
        <f t="shared" si="12"/>
        <v>2023</v>
      </c>
      <c r="W166" t="s">
        <v>6655</v>
      </c>
    </row>
    <row r="167" spans="1:23" ht="17">
      <c r="A167">
        <v>3</v>
      </c>
      <c r="B167" s="11" t="s">
        <v>239</v>
      </c>
      <c r="C167" s="23" t="s">
        <v>33</v>
      </c>
      <c r="D167" s="13" t="s">
        <v>90</v>
      </c>
      <c r="E167" s="14">
        <v>7600000</v>
      </c>
      <c r="F167" s="15">
        <f t="shared" si="13"/>
        <v>246.90555862382638</v>
      </c>
      <c r="G167" s="16">
        <v>30781</v>
      </c>
      <c r="H167" s="16">
        <v>32341</v>
      </c>
      <c r="I167" s="17" t="s">
        <v>240</v>
      </c>
      <c r="J167" s="18" t="s">
        <v>241</v>
      </c>
      <c r="K167" s="19" t="s">
        <v>101</v>
      </c>
      <c r="L167" s="19" t="s">
        <v>49</v>
      </c>
      <c r="M167" s="19" t="s">
        <v>242</v>
      </c>
      <c r="N167" s="52" t="s">
        <v>1519</v>
      </c>
      <c r="O167" s="20" t="s">
        <v>27</v>
      </c>
      <c r="P167" s="21" t="s">
        <v>243</v>
      </c>
      <c r="Q167" s="22" t="s">
        <v>244</v>
      </c>
      <c r="R167" s="22" t="s">
        <v>245</v>
      </c>
      <c r="S167" s="20"/>
      <c r="T167" s="20" t="str">
        <f t="shared" si="14"/>
        <v>Normal</v>
      </c>
      <c r="U167" t="s">
        <v>6318</v>
      </c>
      <c r="V167" s="67">
        <f t="shared" si="12"/>
        <v>2021</v>
      </c>
      <c r="W167" t="s">
        <v>6656</v>
      </c>
    </row>
    <row r="168" spans="1:23" ht="34">
      <c r="A168">
        <v>3</v>
      </c>
      <c r="B168" s="11" t="s">
        <v>230</v>
      </c>
      <c r="C168" s="23" t="s">
        <v>33</v>
      </c>
      <c r="D168" s="13" t="s">
        <v>231</v>
      </c>
      <c r="E168" s="14">
        <v>1900000</v>
      </c>
      <c r="F168" s="15">
        <f t="shared" si="13"/>
        <v>82.691387039213126</v>
      </c>
      <c r="G168" s="16">
        <v>22977</v>
      </c>
      <c r="H168" s="16">
        <v>25035</v>
      </c>
      <c r="I168" s="17" t="s">
        <v>232</v>
      </c>
      <c r="J168" s="18" t="s">
        <v>233</v>
      </c>
      <c r="K168" s="19" t="s">
        <v>48</v>
      </c>
      <c r="L168" s="19" t="s">
        <v>234</v>
      </c>
      <c r="M168" s="19" t="s">
        <v>235</v>
      </c>
      <c r="N168" s="52" t="s">
        <v>1519</v>
      </c>
      <c r="O168" s="20" t="s">
        <v>27</v>
      </c>
      <c r="P168" s="21" t="s">
        <v>236</v>
      </c>
      <c r="Q168" s="22" t="s">
        <v>237</v>
      </c>
      <c r="R168" s="22" t="s">
        <v>238</v>
      </c>
      <c r="S168" s="20"/>
      <c r="T168" s="20" t="str">
        <f t="shared" si="14"/>
        <v>New</v>
      </c>
      <c r="V168" s="67">
        <f t="shared" si="12"/>
        <v>2021</v>
      </c>
      <c r="W168" t="s">
        <v>6656</v>
      </c>
    </row>
    <row r="169" spans="1:23" ht="34">
      <c r="B169" s="11" t="s">
        <v>1567</v>
      </c>
      <c r="C169" s="23" t="s">
        <v>33</v>
      </c>
      <c r="D169" s="13" t="s">
        <v>709</v>
      </c>
      <c r="E169" s="24">
        <v>3200000</v>
      </c>
      <c r="F169" s="15">
        <f t="shared" si="13"/>
        <v>119.69776314805117</v>
      </c>
      <c r="G169" s="16">
        <v>26734</v>
      </c>
      <c r="H169" s="16">
        <v>30090</v>
      </c>
      <c r="I169" s="17" t="s">
        <v>1568</v>
      </c>
      <c r="J169" s="18" t="s">
        <v>560</v>
      </c>
      <c r="K169" s="19" t="s">
        <v>101</v>
      </c>
      <c r="L169" s="19" t="s">
        <v>1569</v>
      </c>
      <c r="M169" s="19" t="s">
        <v>1570</v>
      </c>
      <c r="N169" s="52" t="s">
        <v>1519</v>
      </c>
      <c r="O169" s="20" t="s">
        <v>27</v>
      </c>
      <c r="P169" s="21" t="s">
        <v>1571</v>
      </c>
      <c r="Q169" s="20"/>
      <c r="R169" s="26" t="s">
        <v>1572</v>
      </c>
      <c r="S169" s="20"/>
      <c r="T169" s="20" t="str">
        <f t="shared" si="14"/>
        <v>Old</v>
      </c>
      <c r="V169" s="67">
        <f t="shared" si="12"/>
        <v>2024</v>
      </c>
      <c r="W169" t="s">
        <v>6656</v>
      </c>
    </row>
    <row r="170" spans="1:23" ht="34">
      <c r="A170">
        <v>3</v>
      </c>
      <c r="B170" s="11" t="s">
        <v>590</v>
      </c>
      <c r="C170" s="23" t="s">
        <v>33</v>
      </c>
      <c r="D170" s="13" t="s">
        <v>591</v>
      </c>
      <c r="E170" s="14">
        <v>3518200</v>
      </c>
      <c r="F170" s="15">
        <f t="shared" si="13"/>
        <v>396.6403607666291</v>
      </c>
      <c r="G170" s="16">
        <v>8870</v>
      </c>
      <c r="H170" s="16">
        <v>9018</v>
      </c>
      <c r="I170" s="17" t="s">
        <v>6429</v>
      </c>
      <c r="J170" s="18" t="s">
        <v>415</v>
      </c>
      <c r="K170" s="19" t="s">
        <v>101</v>
      </c>
      <c r="L170" s="19" t="s">
        <v>38</v>
      </c>
      <c r="M170" s="19" t="s">
        <v>593</v>
      </c>
      <c r="N170" s="52" t="s">
        <v>1519</v>
      </c>
      <c r="O170" s="20" t="s">
        <v>27</v>
      </c>
      <c r="P170" s="21" t="s">
        <v>594</v>
      </c>
      <c r="Q170" s="22" t="s">
        <v>595</v>
      </c>
      <c r="R170" s="22" t="s">
        <v>596</v>
      </c>
      <c r="S170" s="20"/>
      <c r="T170" s="20" t="str">
        <f t="shared" si="14"/>
        <v>Normal</v>
      </c>
      <c r="U170" t="s">
        <v>6318</v>
      </c>
      <c r="V170" s="67">
        <f t="shared" si="12"/>
        <v>2022</v>
      </c>
      <c r="W170" t="s">
        <v>6657</v>
      </c>
    </row>
    <row r="171" spans="1:23" ht="17">
      <c r="B171" s="11" t="s">
        <v>1562</v>
      </c>
      <c r="C171" s="23" t="s">
        <v>33</v>
      </c>
      <c r="D171" s="13" t="s">
        <v>34</v>
      </c>
      <c r="E171" s="24">
        <v>3900000</v>
      </c>
      <c r="F171" s="15">
        <f t="shared" si="13"/>
        <v>185.51110688293772</v>
      </c>
      <c r="G171" s="16">
        <v>21023</v>
      </c>
      <c r="H171" s="16">
        <v>21903</v>
      </c>
      <c r="I171" s="17" t="s">
        <v>1563</v>
      </c>
      <c r="J171" s="18" t="s">
        <v>217</v>
      </c>
      <c r="K171" s="19" t="s">
        <v>101</v>
      </c>
      <c r="L171" s="19" t="s">
        <v>127</v>
      </c>
      <c r="M171" s="19" t="s">
        <v>1564</v>
      </c>
      <c r="N171" s="52" t="s">
        <v>1519</v>
      </c>
      <c r="O171" s="20" t="s">
        <v>27</v>
      </c>
      <c r="P171" s="21" t="s">
        <v>1565</v>
      </c>
      <c r="Q171" s="20"/>
      <c r="R171" s="20" t="s">
        <v>1566</v>
      </c>
      <c r="S171" s="20"/>
      <c r="T171" s="20" t="str">
        <f t="shared" si="14"/>
        <v>Old</v>
      </c>
      <c r="U171" t="s">
        <v>6318</v>
      </c>
      <c r="V171" s="67">
        <f t="shared" si="12"/>
        <v>2023</v>
      </c>
      <c r="W171" t="s">
        <v>6656</v>
      </c>
    </row>
    <row r="172" spans="1:23" ht="51">
      <c r="A172">
        <v>3</v>
      </c>
      <c r="B172" s="11" t="s">
        <v>638</v>
      </c>
      <c r="C172" s="23" t="s">
        <v>33</v>
      </c>
      <c r="D172" s="13" t="s">
        <v>133</v>
      </c>
      <c r="E172" s="14">
        <v>7125000</v>
      </c>
      <c r="F172" s="15">
        <f t="shared" si="13"/>
        <v>184.85846976104611</v>
      </c>
      <c r="G172" s="16">
        <v>38543</v>
      </c>
      <c r="H172" s="16">
        <v>40718</v>
      </c>
      <c r="I172" s="17" t="s">
        <v>6437</v>
      </c>
      <c r="J172" s="18" t="s">
        <v>309</v>
      </c>
      <c r="K172" s="19" t="s">
        <v>101</v>
      </c>
      <c r="L172" s="19" t="s">
        <v>152</v>
      </c>
      <c r="M172" s="19" t="s">
        <v>640</v>
      </c>
      <c r="N172" s="52" t="s">
        <v>1519</v>
      </c>
      <c r="O172" s="20" t="s">
        <v>27</v>
      </c>
      <c r="P172" s="21" t="s">
        <v>641</v>
      </c>
      <c r="Q172" s="22" t="s">
        <v>642</v>
      </c>
      <c r="R172" s="22" t="s">
        <v>643</v>
      </c>
      <c r="S172" s="20"/>
      <c r="T172" s="20" t="str">
        <f t="shared" si="14"/>
        <v>Old</v>
      </c>
      <c r="U172" t="s">
        <v>6318</v>
      </c>
      <c r="V172" s="67">
        <f t="shared" si="12"/>
        <v>2022</v>
      </c>
      <c r="W172" t="s">
        <v>6656</v>
      </c>
    </row>
    <row r="173" spans="1:23" ht="34">
      <c r="A173">
        <v>3</v>
      </c>
      <c r="B173" s="11" t="s">
        <v>663</v>
      </c>
      <c r="C173" s="23" t="s">
        <v>33</v>
      </c>
      <c r="D173" s="13" t="s">
        <v>133</v>
      </c>
      <c r="E173" s="14">
        <v>4411500</v>
      </c>
      <c r="F173" s="15">
        <f t="shared" si="13"/>
        <v>83.654119654878158</v>
      </c>
      <c r="G173" s="16">
        <v>52735</v>
      </c>
      <c r="H173" s="16">
        <v>53328</v>
      </c>
      <c r="I173" s="17" t="s">
        <v>6433</v>
      </c>
      <c r="J173" s="18" t="s">
        <v>309</v>
      </c>
      <c r="K173" s="19" t="s">
        <v>101</v>
      </c>
      <c r="L173" s="19" t="s">
        <v>665</v>
      </c>
      <c r="M173" s="19" t="s">
        <v>666</v>
      </c>
      <c r="N173" s="52" t="s">
        <v>1519</v>
      </c>
      <c r="O173" s="20" t="s">
        <v>27</v>
      </c>
      <c r="P173" s="21" t="s">
        <v>667</v>
      </c>
      <c r="Q173" s="22" t="s">
        <v>668</v>
      </c>
      <c r="R173" s="22" t="s">
        <v>669</v>
      </c>
      <c r="S173" s="20"/>
      <c r="T173" s="20" t="str">
        <f t="shared" si="14"/>
        <v>Old</v>
      </c>
      <c r="V173" s="67">
        <f t="shared" si="12"/>
        <v>2022</v>
      </c>
      <c r="W173" t="s">
        <v>6656</v>
      </c>
    </row>
    <row r="174" spans="1:23" ht="17">
      <c r="B174" s="11" t="s">
        <v>1583</v>
      </c>
      <c r="C174" s="12" t="s">
        <v>20</v>
      </c>
      <c r="D174" s="13" t="s">
        <v>207</v>
      </c>
      <c r="E174" s="14">
        <v>7000000</v>
      </c>
      <c r="F174" s="15">
        <f t="shared" si="13"/>
        <v>176.76767676767676</v>
      </c>
      <c r="G174" s="16">
        <v>39600</v>
      </c>
      <c r="H174" s="16">
        <v>39600</v>
      </c>
      <c r="I174" s="17" t="s">
        <v>1584</v>
      </c>
      <c r="J174" s="18" t="s">
        <v>358</v>
      </c>
      <c r="K174" s="19" t="s">
        <v>1585</v>
      </c>
      <c r="L174" s="19"/>
      <c r="M174" s="19" t="s">
        <v>1586</v>
      </c>
      <c r="N174" s="52" t="s">
        <v>1519</v>
      </c>
      <c r="O174" s="20" t="s">
        <v>27</v>
      </c>
      <c r="P174" s="21" t="s">
        <v>1587</v>
      </c>
      <c r="Q174" s="22" t="s">
        <v>1588</v>
      </c>
      <c r="R174" s="20" t="s">
        <v>1589</v>
      </c>
      <c r="S174" s="20"/>
      <c r="T174" s="20" t="str">
        <f t="shared" si="14"/>
        <v>Normal</v>
      </c>
      <c r="U174" t="s">
        <v>6318</v>
      </c>
      <c r="V174" s="67">
        <f t="shared" si="12"/>
        <v>2021</v>
      </c>
      <c r="W174" t="s">
        <v>6656</v>
      </c>
    </row>
    <row r="175" spans="1:23" ht="34">
      <c r="A175">
        <v>3</v>
      </c>
      <c r="B175" s="11" t="s">
        <v>1522</v>
      </c>
      <c r="C175" s="23" t="s">
        <v>33</v>
      </c>
      <c r="D175" s="13" t="s">
        <v>1441</v>
      </c>
      <c r="E175" s="24">
        <v>5600000</v>
      </c>
      <c r="F175" s="15">
        <f t="shared" si="13"/>
        <v>171.09162567596468</v>
      </c>
      <c r="G175" s="16">
        <v>32731</v>
      </c>
      <c r="H175" s="16">
        <v>33652</v>
      </c>
      <c r="I175" s="17" t="s">
        <v>1523</v>
      </c>
      <c r="J175" s="18" t="s">
        <v>241</v>
      </c>
      <c r="K175" s="19" t="s">
        <v>101</v>
      </c>
      <c r="L175" s="19" t="s">
        <v>1524</v>
      </c>
      <c r="M175" s="19" t="s">
        <v>1525</v>
      </c>
      <c r="N175" s="52" t="s">
        <v>1519</v>
      </c>
      <c r="O175" s="20" t="s">
        <v>27</v>
      </c>
      <c r="P175" s="21" t="s">
        <v>1526</v>
      </c>
      <c r="Q175" s="20"/>
      <c r="R175" s="26" t="s">
        <v>1527</v>
      </c>
      <c r="S175" s="20"/>
      <c r="T175" s="20" t="str">
        <f t="shared" si="14"/>
        <v>Normal</v>
      </c>
      <c r="U175" t="s">
        <v>6318</v>
      </c>
      <c r="V175" s="67">
        <f t="shared" si="12"/>
        <v>2020</v>
      </c>
      <c r="W175" t="s">
        <v>6656</v>
      </c>
    </row>
    <row r="176" spans="1:23" ht="51">
      <c r="A176">
        <v>3</v>
      </c>
      <c r="B176" s="11" t="s">
        <v>633</v>
      </c>
      <c r="C176" s="23" t="s">
        <v>33</v>
      </c>
      <c r="D176" s="13" t="s">
        <v>398</v>
      </c>
      <c r="E176" s="14">
        <v>13200000</v>
      </c>
      <c r="F176" s="15">
        <f t="shared" si="13"/>
        <v>470.42052744119741</v>
      </c>
      <c r="G176" s="16">
        <v>28060</v>
      </c>
      <c r="H176" s="16">
        <v>30229</v>
      </c>
      <c r="I176" s="17" t="s">
        <v>6519</v>
      </c>
      <c r="J176" s="18" t="s">
        <v>316</v>
      </c>
      <c r="K176" s="19" t="s">
        <v>48</v>
      </c>
      <c r="L176" s="19" t="s">
        <v>143</v>
      </c>
      <c r="M176" s="19" t="s">
        <v>635</v>
      </c>
      <c r="N176" s="52" t="s">
        <v>6212</v>
      </c>
      <c r="O176" s="20" t="s">
        <v>27</v>
      </c>
      <c r="P176" s="21" t="s">
        <v>6519</v>
      </c>
      <c r="Q176" s="22" t="s">
        <v>636</v>
      </c>
      <c r="R176" s="22" t="s">
        <v>637</v>
      </c>
      <c r="S176" s="20"/>
      <c r="T176" s="20" t="str">
        <f t="shared" si="14"/>
        <v>Normal</v>
      </c>
      <c r="U176" t="s">
        <v>6318</v>
      </c>
      <c r="V176" s="67">
        <f t="shared" si="12"/>
        <v>2023</v>
      </c>
      <c r="W176" t="s">
        <v>6656</v>
      </c>
    </row>
    <row r="177" spans="1:23" ht="17">
      <c r="A177">
        <v>3</v>
      </c>
      <c r="B177" s="11" t="s">
        <v>313</v>
      </c>
      <c r="C177" s="23" t="s">
        <v>33</v>
      </c>
      <c r="D177" s="13" t="s">
        <v>314</v>
      </c>
      <c r="E177" s="14">
        <v>2650000</v>
      </c>
      <c r="F177" s="15">
        <f t="shared" si="13"/>
        <v>201.67427701674276</v>
      </c>
      <c r="G177" s="16">
        <v>13140</v>
      </c>
      <c r="H177" s="16">
        <v>14276</v>
      </c>
      <c r="I177" s="17" t="s">
        <v>315</v>
      </c>
      <c r="J177" s="18" t="s">
        <v>316</v>
      </c>
      <c r="K177" s="19" t="s">
        <v>101</v>
      </c>
      <c r="L177" s="19" t="s">
        <v>67</v>
      </c>
      <c r="M177" s="19" t="s">
        <v>317</v>
      </c>
      <c r="N177" s="52" t="s">
        <v>1519</v>
      </c>
      <c r="O177" s="20" t="s">
        <v>27</v>
      </c>
      <c r="P177" s="21" t="s">
        <v>318</v>
      </c>
      <c r="Q177" s="22" t="s">
        <v>319</v>
      </c>
      <c r="R177" s="22" t="s">
        <v>320</v>
      </c>
      <c r="S177" s="20"/>
      <c r="T177" s="20" t="str">
        <f t="shared" si="14"/>
        <v>Normal</v>
      </c>
      <c r="U177" t="s">
        <v>6318</v>
      </c>
      <c r="V177" s="67">
        <f t="shared" si="12"/>
        <v>2023</v>
      </c>
      <c r="W177" t="s">
        <v>6655</v>
      </c>
    </row>
    <row r="178" spans="1:23" ht="17">
      <c r="A178">
        <v>3</v>
      </c>
      <c r="B178" s="11" t="s">
        <v>1528</v>
      </c>
      <c r="C178" s="23" t="s">
        <v>33</v>
      </c>
      <c r="D178" s="13" t="s">
        <v>571</v>
      </c>
      <c r="E178" s="24">
        <v>5913600</v>
      </c>
      <c r="F178" s="15">
        <f t="shared" si="13"/>
        <v>238.42277143893884</v>
      </c>
      <c r="G178" s="16">
        <v>24803</v>
      </c>
      <c r="H178" s="16">
        <v>25208</v>
      </c>
      <c r="I178" s="17" t="s">
        <v>1529</v>
      </c>
      <c r="J178" s="18" t="s">
        <v>566</v>
      </c>
      <c r="K178" s="19" t="s">
        <v>48</v>
      </c>
      <c r="L178" s="19" t="s">
        <v>1524</v>
      </c>
      <c r="M178" s="19" t="s">
        <v>1530</v>
      </c>
      <c r="N178" s="52" t="s">
        <v>1519</v>
      </c>
      <c r="O178" s="20" t="s">
        <v>27</v>
      </c>
      <c r="P178" s="21" t="s">
        <v>1531</v>
      </c>
      <c r="Q178" s="20"/>
      <c r="R178" s="20" t="s">
        <v>1532</v>
      </c>
      <c r="S178" s="20"/>
      <c r="T178" s="20" t="str">
        <f t="shared" si="14"/>
        <v>Old</v>
      </c>
      <c r="U178" t="s">
        <v>6318</v>
      </c>
      <c r="V178" s="67">
        <f t="shared" si="12"/>
        <v>2023</v>
      </c>
      <c r="W178" t="s">
        <v>6656</v>
      </c>
    </row>
    <row r="179" spans="1:23" ht="17">
      <c r="A179">
        <v>3</v>
      </c>
      <c r="B179" s="11" t="s">
        <v>397</v>
      </c>
      <c r="C179" s="23" t="s">
        <v>33</v>
      </c>
      <c r="D179" s="13" t="s">
        <v>398</v>
      </c>
      <c r="E179" s="14">
        <v>4875000</v>
      </c>
      <c r="F179" s="15">
        <f t="shared" si="13"/>
        <v>221.49023171285779</v>
      </c>
      <c r="G179" s="16">
        <v>22010</v>
      </c>
      <c r="H179" s="16">
        <v>22046</v>
      </c>
      <c r="I179" s="17" t="s">
        <v>399</v>
      </c>
      <c r="J179" s="18" t="s">
        <v>400</v>
      </c>
      <c r="K179" s="19" t="s">
        <v>101</v>
      </c>
      <c r="L179" s="19" t="s">
        <v>401</v>
      </c>
      <c r="M179" s="19" t="s">
        <v>402</v>
      </c>
      <c r="N179" s="52" t="s">
        <v>1519</v>
      </c>
      <c r="O179" s="20" t="s">
        <v>27</v>
      </c>
      <c r="P179" s="21" t="s">
        <v>403</v>
      </c>
      <c r="Q179" s="22" t="s">
        <v>404</v>
      </c>
      <c r="R179" s="22" t="s">
        <v>405</v>
      </c>
      <c r="S179" s="20"/>
      <c r="T179" s="20" t="str">
        <f t="shared" si="14"/>
        <v>Old</v>
      </c>
      <c r="U179" t="s">
        <v>6318</v>
      </c>
      <c r="V179" s="67">
        <f t="shared" si="12"/>
        <v>2023</v>
      </c>
      <c r="W179" t="s">
        <v>6656</v>
      </c>
    </row>
    <row r="180" spans="1:23" ht="51">
      <c r="A180">
        <v>3</v>
      </c>
      <c r="B180" s="11" t="s">
        <v>473</v>
      </c>
      <c r="C180" s="23" t="s">
        <v>33</v>
      </c>
      <c r="D180" s="13" t="s">
        <v>474</v>
      </c>
      <c r="E180" s="14">
        <v>4216800</v>
      </c>
      <c r="F180" s="15">
        <f t="shared" si="13"/>
        <v>200.81912563101247</v>
      </c>
      <c r="G180" s="16">
        <v>20998</v>
      </c>
      <c r="H180" s="16">
        <v>21805</v>
      </c>
      <c r="I180" s="17" t="s">
        <v>6432</v>
      </c>
      <c r="J180" s="18" t="s">
        <v>476</v>
      </c>
      <c r="K180" s="19" t="s">
        <v>101</v>
      </c>
      <c r="L180" s="19" t="s">
        <v>127</v>
      </c>
      <c r="M180" s="19" t="s">
        <v>477</v>
      </c>
      <c r="N180" s="52" t="s">
        <v>1519</v>
      </c>
      <c r="O180" s="20" t="s">
        <v>27</v>
      </c>
      <c r="P180" s="21" t="s">
        <v>478</v>
      </c>
      <c r="Q180" s="22" t="s">
        <v>479</v>
      </c>
      <c r="R180" s="22" t="s">
        <v>480</v>
      </c>
      <c r="S180" s="20"/>
      <c r="T180" s="20" t="str">
        <f t="shared" si="14"/>
        <v>Old</v>
      </c>
      <c r="U180" t="s">
        <v>6318</v>
      </c>
      <c r="V180" s="67">
        <f t="shared" si="12"/>
        <v>2022</v>
      </c>
      <c r="W180" t="s">
        <v>6656</v>
      </c>
    </row>
    <row r="181" spans="1:23" ht="17">
      <c r="B181" s="11" t="s">
        <v>1557</v>
      </c>
      <c r="C181" s="23" t="s">
        <v>33</v>
      </c>
      <c r="D181" s="13" t="s">
        <v>407</v>
      </c>
      <c r="E181" s="24">
        <v>7000000</v>
      </c>
      <c r="F181" s="15">
        <f t="shared" si="13"/>
        <v>152.4589449841007</v>
      </c>
      <c r="G181" s="16">
        <v>45914</v>
      </c>
      <c r="H181" s="16">
        <v>54386</v>
      </c>
      <c r="I181" s="17" t="s">
        <v>1558</v>
      </c>
      <c r="J181" s="18" t="s">
        <v>57</v>
      </c>
      <c r="K181" s="19" t="s">
        <v>101</v>
      </c>
      <c r="L181" s="19" t="s">
        <v>118</v>
      </c>
      <c r="M181" s="19" t="s">
        <v>1559</v>
      </c>
      <c r="N181" s="52" t="s">
        <v>1519</v>
      </c>
      <c r="O181" s="20" t="s">
        <v>27</v>
      </c>
      <c r="P181" s="21" t="s">
        <v>1560</v>
      </c>
      <c r="Q181" s="20"/>
      <c r="R181" s="20" t="s">
        <v>1561</v>
      </c>
      <c r="S181" s="20"/>
      <c r="T181" s="20" t="str">
        <f t="shared" si="14"/>
        <v>Old</v>
      </c>
      <c r="U181" t="s">
        <v>6318</v>
      </c>
      <c r="V181" s="67">
        <f t="shared" si="12"/>
        <v>2022</v>
      </c>
      <c r="W181" t="s">
        <v>6656</v>
      </c>
    </row>
    <row r="182" spans="1:23" ht="34">
      <c r="A182">
        <v>3</v>
      </c>
      <c r="B182" s="11" t="s">
        <v>443</v>
      </c>
      <c r="C182" s="23" t="s">
        <v>33</v>
      </c>
      <c r="D182" s="13" t="s">
        <v>398</v>
      </c>
      <c r="E182" s="14">
        <v>3080000</v>
      </c>
      <c r="F182" s="15">
        <f t="shared" si="13"/>
        <v>283.03620657967286</v>
      </c>
      <c r="G182" s="16">
        <v>10882</v>
      </c>
      <c r="H182" s="16">
        <v>11431</v>
      </c>
      <c r="I182" s="17" t="s">
        <v>6467</v>
      </c>
      <c r="J182" s="18" t="s">
        <v>187</v>
      </c>
      <c r="K182" s="19" t="s">
        <v>37</v>
      </c>
      <c r="L182" s="19" t="s">
        <v>438</v>
      </c>
      <c r="M182" s="19" t="s">
        <v>445</v>
      </c>
      <c r="N182" s="52" t="s">
        <v>1519</v>
      </c>
      <c r="O182" s="20" t="s">
        <v>27</v>
      </c>
      <c r="P182" s="21" t="s">
        <v>446</v>
      </c>
      <c r="Q182" s="22" t="s">
        <v>447</v>
      </c>
      <c r="R182" s="22" t="s">
        <v>448</v>
      </c>
      <c r="S182" s="20"/>
      <c r="T182" s="20" t="str">
        <f t="shared" si="14"/>
        <v>Old</v>
      </c>
      <c r="U182" t="s">
        <v>6318</v>
      </c>
      <c r="V182" s="67">
        <f t="shared" si="12"/>
        <v>2023</v>
      </c>
      <c r="W182" t="s">
        <v>6655</v>
      </c>
    </row>
    <row r="183" spans="1:23" ht="34">
      <c r="A183">
        <v>3</v>
      </c>
      <c r="B183" s="11" t="s">
        <v>98</v>
      </c>
      <c r="C183" s="23" t="s">
        <v>33</v>
      </c>
      <c r="D183" s="13" t="s">
        <v>55</v>
      </c>
      <c r="E183" s="14">
        <v>6850000</v>
      </c>
      <c r="F183" s="15">
        <f t="shared" si="13"/>
        <v>155.79158043166777</v>
      </c>
      <c r="G183" s="16">
        <v>43969</v>
      </c>
      <c r="H183" s="16">
        <v>47089</v>
      </c>
      <c r="I183" s="17" t="s">
        <v>99</v>
      </c>
      <c r="J183" s="18" t="s">
        <v>100</v>
      </c>
      <c r="K183" s="19" t="s">
        <v>101</v>
      </c>
      <c r="L183" s="19" t="s">
        <v>102</v>
      </c>
      <c r="M183" s="19" t="s">
        <v>103</v>
      </c>
      <c r="N183" s="52" t="s">
        <v>1519</v>
      </c>
      <c r="O183" s="20" t="s">
        <v>27</v>
      </c>
      <c r="P183" s="21" t="s">
        <v>104</v>
      </c>
      <c r="Q183" s="22" t="s">
        <v>105</v>
      </c>
      <c r="R183" s="22" t="s">
        <v>106</v>
      </c>
      <c r="S183" s="20"/>
      <c r="T183" s="20" t="str">
        <f t="shared" si="14"/>
        <v>Normal</v>
      </c>
      <c r="V183" s="67">
        <f t="shared" si="12"/>
        <v>2025</v>
      </c>
      <c r="W183" t="s">
        <v>6656</v>
      </c>
    </row>
    <row r="184" spans="1:23" ht="17">
      <c r="A184">
        <v>3</v>
      </c>
      <c r="B184" s="11" t="s">
        <v>1114</v>
      </c>
      <c r="C184" s="12" t="s">
        <v>184</v>
      </c>
      <c r="D184" s="13" t="s">
        <v>90</v>
      </c>
      <c r="E184" s="14">
        <v>5272900</v>
      </c>
      <c r="F184" s="15">
        <f t="shared" si="13"/>
        <v>263.64499999999998</v>
      </c>
      <c r="G184" s="16">
        <v>20000</v>
      </c>
      <c r="H184" s="16">
        <v>20866</v>
      </c>
      <c r="I184" s="17" t="s">
        <v>1115</v>
      </c>
      <c r="J184" s="18" t="s">
        <v>1116</v>
      </c>
      <c r="K184" s="19" t="s">
        <v>48</v>
      </c>
      <c r="L184" s="19"/>
      <c r="M184" s="19" t="s">
        <v>1117</v>
      </c>
      <c r="N184" s="52" t="s">
        <v>1519</v>
      </c>
      <c r="O184" s="20" t="s">
        <v>27</v>
      </c>
      <c r="P184" s="21" t="s">
        <v>706</v>
      </c>
      <c r="Q184" s="22" t="s">
        <v>1118</v>
      </c>
      <c r="R184" s="22" t="s">
        <v>1119</v>
      </c>
      <c r="S184" s="20"/>
      <c r="T184" s="20" t="str">
        <f t="shared" si="14"/>
        <v>Old</v>
      </c>
      <c r="U184" t="s">
        <v>6318</v>
      </c>
      <c r="V184" s="67">
        <f t="shared" si="12"/>
        <v>2021</v>
      </c>
      <c r="W184" t="s">
        <v>6656</v>
      </c>
    </row>
    <row r="185" spans="1:23" ht="51">
      <c r="A185">
        <v>3</v>
      </c>
      <c r="B185" s="11" t="s">
        <v>192</v>
      </c>
      <c r="C185" s="23" t="s">
        <v>33</v>
      </c>
      <c r="D185" s="13" t="s">
        <v>21</v>
      </c>
      <c r="E185" s="14">
        <v>3000000</v>
      </c>
      <c r="F185" s="15">
        <f t="shared" si="13"/>
        <v>62.138818119679364</v>
      </c>
      <c r="G185" s="16">
        <v>48279</v>
      </c>
      <c r="H185" s="16">
        <v>55177</v>
      </c>
      <c r="I185" s="17" t="s">
        <v>6376</v>
      </c>
      <c r="J185" s="18">
        <v>2008</v>
      </c>
      <c r="K185" s="19" t="s">
        <v>48</v>
      </c>
      <c r="L185" s="19" t="s">
        <v>194</v>
      </c>
      <c r="M185" s="19" t="s">
        <v>195</v>
      </c>
      <c r="N185" s="52" t="s">
        <v>1519</v>
      </c>
      <c r="O185" s="20" t="s">
        <v>27</v>
      </c>
      <c r="P185" s="21" t="s">
        <v>196</v>
      </c>
      <c r="Q185" s="20" t="s">
        <v>197</v>
      </c>
      <c r="R185" s="22" t="s">
        <v>198</v>
      </c>
      <c r="S185" s="20"/>
      <c r="T185" s="20" t="str">
        <f t="shared" si="14"/>
        <v>Normal</v>
      </c>
      <c r="V185" s="67">
        <f t="shared" si="12"/>
        <v>2021</v>
      </c>
      <c r="W185" t="s">
        <v>6656</v>
      </c>
    </row>
    <row r="186" spans="1:23" ht="68">
      <c r="A186">
        <v>3</v>
      </c>
      <c r="B186" s="11" t="s">
        <v>413</v>
      </c>
      <c r="C186" s="23" t="s">
        <v>33</v>
      </c>
      <c r="D186" s="13" t="s">
        <v>108</v>
      </c>
      <c r="E186" s="14">
        <v>15000000</v>
      </c>
      <c r="F186" s="15">
        <f t="shared" si="13"/>
        <v>634.16902718471226</v>
      </c>
      <c r="G186" s="16">
        <v>23653</v>
      </c>
      <c r="H186" s="16">
        <v>23834</v>
      </c>
      <c r="I186" s="17" t="s">
        <v>414</v>
      </c>
      <c r="J186" s="18" t="s">
        <v>415</v>
      </c>
      <c r="K186" s="19" t="s">
        <v>101</v>
      </c>
      <c r="L186" s="19" t="s">
        <v>366</v>
      </c>
      <c r="M186" s="19" t="s">
        <v>416</v>
      </c>
      <c r="N186" s="52" t="s">
        <v>1519</v>
      </c>
      <c r="O186" s="20" t="s">
        <v>27</v>
      </c>
      <c r="P186" s="21" t="s">
        <v>417</v>
      </c>
      <c r="Q186" s="22" t="s">
        <v>418</v>
      </c>
      <c r="R186" s="22" t="s">
        <v>419</v>
      </c>
      <c r="S186" s="20"/>
      <c r="T186" s="20" t="str">
        <f t="shared" si="14"/>
        <v>Normal</v>
      </c>
      <c r="U186" t="s">
        <v>6318</v>
      </c>
      <c r="V186" s="67">
        <f t="shared" si="12"/>
        <v>2025</v>
      </c>
      <c r="W186" t="s">
        <v>6656</v>
      </c>
    </row>
    <row r="187" spans="1:23" ht="17">
      <c r="B187" s="11" t="s">
        <v>1590</v>
      </c>
      <c r="C187" s="23" t="s">
        <v>33</v>
      </c>
      <c r="D187" s="13" t="s">
        <v>428</v>
      </c>
      <c r="E187" s="24">
        <v>15500000</v>
      </c>
      <c r="F187" s="15">
        <f t="shared" si="13"/>
        <v>386.99690402476779</v>
      </c>
      <c r="G187" s="16">
        <v>40052</v>
      </c>
      <c r="H187" s="16">
        <v>43362</v>
      </c>
      <c r="I187" s="17" t="s">
        <v>1591</v>
      </c>
      <c r="J187" s="18" t="s">
        <v>1057</v>
      </c>
      <c r="K187" s="19" t="s">
        <v>101</v>
      </c>
      <c r="L187" s="19" t="s">
        <v>110</v>
      </c>
      <c r="M187" s="19" t="s">
        <v>1592</v>
      </c>
      <c r="N187" s="52" t="s">
        <v>1519</v>
      </c>
      <c r="O187" s="20" t="s">
        <v>27</v>
      </c>
      <c r="P187" s="21" t="s">
        <v>1593</v>
      </c>
      <c r="Q187" s="20"/>
      <c r="R187" s="20" t="s">
        <v>1594</v>
      </c>
      <c r="S187" s="20"/>
      <c r="T187" s="37" t="str">
        <f t="shared" si="14"/>
        <v>Old</v>
      </c>
      <c r="U187" t="s">
        <v>6318</v>
      </c>
      <c r="V187" s="67">
        <f t="shared" si="12"/>
        <v>2021</v>
      </c>
      <c r="W187" t="s">
        <v>6656</v>
      </c>
    </row>
    <row r="188" spans="1:23" ht="34">
      <c r="A188">
        <v>3</v>
      </c>
      <c r="B188" s="11" t="s">
        <v>107</v>
      </c>
      <c r="C188" s="23" t="s">
        <v>33</v>
      </c>
      <c r="D188" s="13" t="s">
        <v>108</v>
      </c>
      <c r="E188" s="14">
        <v>7500000</v>
      </c>
      <c r="F188" s="15">
        <f t="shared" si="13"/>
        <v>441.82621502209133</v>
      </c>
      <c r="G188" s="16">
        <v>16975</v>
      </c>
      <c r="H188" s="16">
        <v>17657</v>
      </c>
      <c r="I188" s="17" t="s">
        <v>109</v>
      </c>
      <c r="J188" s="18" t="s">
        <v>57</v>
      </c>
      <c r="K188" s="19" t="s">
        <v>101</v>
      </c>
      <c r="L188" s="19" t="s">
        <v>110</v>
      </c>
      <c r="M188" s="19" t="s">
        <v>111</v>
      </c>
      <c r="N188" s="52" t="s">
        <v>1519</v>
      </c>
      <c r="O188" s="20" t="s">
        <v>40</v>
      </c>
      <c r="P188" s="21" t="s">
        <v>112</v>
      </c>
      <c r="Q188" s="22" t="s">
        <v>113</v>
      </c>
      <c r="R188" s="22" t="s">
        <v>114</v>
      </c>
      <c r="S188" s="20"/>
      <c r="T188" s="20" t="str">
        <f t="shared" si="14"/>
        <v>Old</v>
      </c>
      <c r="U188" t="s">
        <v>6318</v>
      </c>
      <c r="V188" s="67">
        <f t="shared" si="12"/>
        <v>2025</v>
      </c>
      <c r="W188" t="s">
        <v>6655</v>
      </c>
    </row>
    <row r="189" spans="1:23" ht="51">
      <c r="B189" s="11" t="s">
        <v>1554</v>
      </c>
      <c r="C189" s="23" t="s">
        <v>33</v>
      </c>
      <c r="D189" s="13" t="s">
        <v>170</v>
      </c>
      <c r="E189" s="24">
        <v>3570000</v>
      </c>
      <c r="F189" s="15">
        <f t="shared" si="13"/>
        <v>399.41821436562992</v>
      </c>
      <c r="G189" s="16">
        <v>8938</v>
      </c>
      <c r="H189" s="16">
        <v>9328</v>
      </c>
      <c r="I189" s="17" t="s">
        <v>1544</v>
      </c>
      <c r="J189" s="18" t="s">
        <v>688</v>
      </c>
      <c r="K189" s="19" t="s">
        <v>48</v>
      </c>
      <c r="L189" s="19" t="s">
        <v>457</v>
      </c>
      <c r="M189" s="19" t="s">
        <v>1555</v>
      </c>
      <c r="N189" s="52" t="s">
        <v>1519</v>
      </c>
      <c r="O189" s="20" t="s">
        <v>27</v>
      </c>
      <c r="P189" s="21" t="s">
        <v>1546</v>
      </c>
      <c r="Q189" s="20"/>
      <c r="R189" s="20" t="s">
        <v>1556</v>
      </c>
      <c r="S189" s="20"/>
      <c r="T189" s="20" t="str">
        <f t="shared" si="14"/>
        <v>New</v>
      </c>
      <c r="U189" t="s">
        <v>6318</v>
      </c>
      <c r="V189" s="67">
        <f t="shared" si="12"/>
        <v>2020</v>
      </c>
      <c r="W189" t="s">
        <v>6657</v>
      </c>
    </row>
    <row r="190" spans="1:23" ht="51">
      <c r="B190" s="11" t="s">
        <v>1551</v>
      </c>
      <c r="C190" s="23" t="s">
        <v>33</v>
      </c>
      <c r="D190" s="13" t="s">
        <v>170</v>
      </c>
      <c r="E190" s="24">
        <v>5610000</v>
      </c>
      <c r="F190" s="15">
        <f t="shared" si="13"/>
        <v>395.90684544812984</v>
      </c>
      <c r="G190" s="16">
        <v>14170</v>
      </c>
      <c r="H190" s="16">
        <v>14330</v>
      </c>
      <c r="I190" s="17" t="s">
        <v>1544</v>
      </c>
      <c r="J190" s="18" t="s">
        <v>688</v>
      </c>
      <c r="K190" s="19" t="s">
        <v>48</v>
      </c>
      <c r="L190" s="19" t="s">
        <v>457</v>
      </c>
      <c r="M190" s="19" t="s">
        <v>1552</v>
      </c>
      <c r="N190" s="52" t="s">
        <v>1519</v>
      </c>
      <c r="O190" s="20" t="s">
        <v>27</v>
      </c>
      <c r="P190" s="21" t="s">
        <v>1546</v>
      </c>
      <c r="Q190" s="20"/>
      <c r="R190" s="20" t="s">
        <v>1553</v>
      </c>
      <c r="S190" s="20"/>
      <c r="T190" s="20" t="str">
        <f t="shared" si="14"/>
        <v>New</v>
      </c>
      <c r="U190" t="s">
        <v>6318</v>
      </c>
      <c r="V190" s="67">
        <f t="shared" si="12"/>
        <v>2020</v>
      </c>
      <c r="W190" t="s">
        <v>6655</v>
      </c>
    </row>
    <row r="191" spans="1:23" ht="51">
      <c r="A191" s="36"/>
      <c r="B191" s="11" t="s">
        <v>1548</v>
      </c>
      <c r="C191" s="23" t="s">
        <v>33</v>
      </c>
      <c r="D191" s="13" t="s">
        <v>170</v>
      </c>
      <c r="E191" s="24">
        <v>5100000</v>
      </c>
      <c r="F191" s="15">
        <f t="shared" si="13"/>
        <v>389.31297709923666</v>
      </c>
      <c r="G191" s="16">
        <v>13100</v>
      </c>
      <c r="H191" s="16">
        <v>13268</v>
      </c>
      <c r="I191" s="17" t="s">
        <v>1544</v>
      </c>
      <c r="J191" s="18" t="s">
        <v>688</v>
      </c>
      <c r="K191" s="19" t="s">
        <v>48</v>
      </c>
      <c r="L191" s="19" t="s">
        <v>457</v>
      </c>
      <c r="M191" s="19" t="s">
        <v>1549</v>
      </c>
      <c r="N191" s="52" t="s">
        <v>1519</v>
      </c>
      <c r="O191" s="20" t="s">
        <v>27</v>
      </c>
      <c r="P191" s="21" t="s">
        <v>1546</v>
      </c>
      <c r="Q191" s="20"/>
      <c r="R191" s="20" t="s">
        <v>1550</v>
      </c>
      <c r="S191" s="20"/>
      <c r="T191" s="20" t="str">
        <f t="shared" si="14"/>
        <v>New</v>
      </c>
      <c r="U191" t="s">
        <v>6318</v>
      </c>
      <c r="V191" s="67">
        <f t="shared" si="12"/>
        <v>2020</v>
      </c>
      <c r="W191" t="s">
        <v>6655</v>
      </c>
    </row>
    <row r="192" spans="1:23" ht="34">
      <c r="A192">
        <v>3</v>
      </c>
      <c r="B192" s="11" t="s">
        <v>348</v>
      </c>
      <c r="C192" s="23" t="s">
        <v>33</v>
      </c>
      <c r="D192" s="13" t="s">
        <v>336</v>
      </c>
      <c r="E192" s="14">
        <v>3499900</v>
      </c>
      <c r="F192" s="15">
        <f t="shared" si="13"/>
        <v>251.91823220326782</v>
      </c>
      <c r="G192" s="16">
        <v>13893</v>
      </c>
      <c r="H192" s="16">
        <v>16012</v>
      </c>
      <c r="I192" s="17" t="s">
        <v>349</v>
      </c>
      <c r="J192" s="18" t="s">
        <v>350</v>
      </c>
      <c r="K192" s="19" t="s">
        <v>101</v>
      </c>
      <c r="L192" s="19" t="s">
        <v>324</v>
      </c>
      <c r="M192" s="19" t="s">
        <v>351</v>
      </c>
      <c r="N192" s="52" t="s">
        <v>1519</v>
      </c>
      <c r="O192" s="20" t="s">
        <v>40</v>
      </c>
      <c r="P192" s="21" t="s">
        <v>352</v>
      </c>
      <c r="Q192" s="22" t="s">
        <v>353</v>
      </c>
      <c r="R192" s="22" t="s">
        <v>354</v>
      </c>
      <c r="S192" s="20"/>
      <c r="T192" s="20" t="str">
        <f t="shared" si="14"/>
        <v>New</v>
      </c>
      <c r="U192" t="s">
        <v>6318</v>
      </c>
      <c r="V192" s="67">
        <f t="shared" si="12"/>
        <v>2021</v>
      </c>
      <c r="W192" t="s">
        <v>6655</v>
      </c>
    </row>
    <row r="193" spans="1:23" ht="51">
      <c r="A193">
        <v>3</v>
      </c>
      <c r="B193" s="11" t="s">
        <v>1543</v>
      </c>
      <c r="C193" s="23" t="s">
        <v>33</v>
      </c>
      <c r="D193" s="13" t="s">
        <v>170</v>
      </c>
      <c r="E193" s="24">
        <v>2720000</v>
      </c>
      <c r="F193" s="15">
        <f t="shared" si="13"/>
        <v>408.89957907396274</v>
      </c>
      <c r="G193" s="16">
        <v>6652</v>
      </c>
      <c r="H193" s="16">
        <v>7054</v>
      </c>
      <c r="I193" s="17" t="s">
        <v>1544</v>
      </c>
      <c r="J193" s="18" t="s">
        <v>688</v>
      </c>
      <c r="K193" s="19" t="s">
        <v>48</v>
      </c>
      <c r="L193" s="19" t="s">
        <v>457</v>
      </c>
      <c r="M193" s="19" t="s">
        <v>1545</v>
      </c>
      <c r="N193" s="52" t="s">
        <v>1519</v>
      </c>
      <c r="O193" s="20" t="s">
        <v>27</v>
      </c>
      <c r="P193" s="21" t="s">
        <v>1546</v>
      </c>
      <c r="Q193" s="20"/>
      <c r="R193" s="20" t="s">
        <v>1547</v>
      </c>
      <c r="S193" s="20"/>
      <c r="T193" s="20" t="str">
        <f t="shared" si="14"/>
        <v>New</v>
      </c>
      <c r="U193" t="s">
        <v>6318</v>
      </c>
      <c r="V193" s="67">
        <f t="shared" si="12"/>
        <v>2020</v>
      </c>
      <c r="W193" t="s">
        <v>6657</v>
      </c>
    </row>
    <row r="194" spans="1:23">
      <c r="A194">
        <v>3</v>
      </c>
      <c r="B194" s="29" t="s">
        <v>169</v>
      </c>
      <c r="C194" s="12" t="s">
        <v>20</v>
      </c>
      <c r="D194" s="30" t="s">
        <v>170</v>
      </c>
      <c r="E194" s="38">
        <v>2375000</v>
      </c>
      <c r="F194" s="15">
        <f t="shared" si="13"/>
        <v>220.33583820391502</v>
      </c>
      <c r="G194" s="33">
        <v>10779</v>
      </c>
      <c r="H194" s="33">
        <v>10779</v>
      </c>
      <c r="I194" s="34" t="s">
        <v>171</v>
      </c>
      <c r="J194" s="35">
        <v>2007</v>
      </c>
      <c r="K194" s="30" t="s">
        <v>172</v>
      </c>
      <c r="L194" s="30"/>
      <c r="M194" s="30" t="s">
        <v>173</v>
      </c>
      <c r="N194" s="52" t="s">
        <v>1519</v>
      </c>
      <c r="O194" s="20" t="s">
        <v>40</v>
      </c>
      <c r="P194" s="21"/>
      <c r="Q194" s="22" t="s">
        <v>174</v>
      </c>
      <c r="R194" s="22" t="s">
        <v>175</v>
      </c>
      <c r="S194" s="20"/>
      <c r="T194" s="20" t="str">
        <f t="shared" si="14"/>
        <v>Normal</v>
      </c>
      <c r="U194" t="s">
        <v>6318</v>
      </c>
      <c r="V194" s="67">
        <f t="shared" si="12"/>
        <v>2020</v>
      </c>
      <c r="W194" t="s">
        <v>6655</v>
      </c>
    </row>
    <row r="195" spans="1:23" ht="51">
      <c r="A195">
        <v>3</v>
      </c>
      <c r="B195" s="11" t="s">
        <v>540</v>
      </c>
      <c r="C195" s="23" t="s">
        <v>33</v>
      </c>
      <c r="D195" s="13" t="s">
        <v>474</v>
      </c>
      <c r="E195" s="14">
        <v>6349400</v>
      </c>
      <c r="F195" s="15">
        <f>E195/G195</f>
        <v>424</v>
      </c>
      <c r="G195" s="16">
        <v>14975</v>
      </c>
      <c r="H195" s="16">
        <v>16422</v>
      </c>
      <c r="I195" s="17" t="s">
        <v>6436</v>
      </c>
      <c r="J195" s="18" t="s">
        <v>542</v>
      </c>
      <c r="K195" s="19" t="s">
        <v>48</v>
      </c>
      <c r="L195" s="19" t="s">
        <v>510</v>
      </c>
      <c r="M195" s="19" t="s">
        <v>543</v>
      </c>
      <c r="N195" s="52" t="s">
        <v>1519</v>
      </c>
      <c r="O195" s="20" t="s">
        <v>27</v>
      </c>
      <c r="P195" s="21" t="s">
        <v>544</v>
      </c>
      <c r="Q195" s="22" t="s">
        <v>545</v>
      </c>
      <c r="R195" s="22" t="s">
        <v>546</v>
      </c>
      <c r="S195" s="20"/>
      <c r="T195" s="20" t="str">
        <f t="shared" si="14"/>
        <v>Old</v>
      </c>
      <c r="U195" t="s">
        <v>6318</v>
      </c>
      <c r="V195" s="67">
        <f t="shared" si="12"/>
        <v>2022</v>
      </c>
      <c r="W195" t="s">
        <v>6655</v>
      </c>
    </row>
    <row r="196" spans="1:23" ht="34">
      <c r="A196">
        <v>3</v>
      </c>
      <c r="B196" s="11" t="s">
        <v>355</v>
      </c>
      <c r="C196" s="23" t="s">
        <v>33</v>
      </c>
      <c r="D196" s="13" t="s">
        <v>356</v>
      </c>
      <c r="E196" s="14">
        <v>3400000</v>
      </c>
      <c r="F196" s="15">
        <f>E196/G196</f>
        <v>356.24476110645429</v>
      </c>
      <c r="G196" s="16">
        <v>9544</v>
      </c>
      <c r="H196" s="16">
        <v>10056</v>
      </c>
      <c r="I196" s="17" t="s">
        <v>357</v>
      </c>
      <c r="J196" s="18" t="s">
        <v>358</v>
      </c>
      <c r="K196" s="19" t="s">
        <v>48</v>
      </c>
      <c r="L196" s="19" t="s">
        <v>359</v>
      </c>
      <c r="M196" s="19" t="s">
        <v>360</v>
      </c>
      <c r="N196" s="52" t="s">
        <v>1519</v>
      </c>
      <c r="O196" s="20" t="s">
        <v>27</v>
      </c>
      <c r="P196" s="21" t="s">
        <v>361</v>
      </c>
      <c r="Q196" s="22" t="s">
        <v>362</v>
      </c>
      <c r="R196" s="22" t="s">
        <v>363</v>
      </c>
      <c r="S196" s="20"/>
      <c r="T196" s="20" t="str">
        <f t="shared" si="14"/>
        <v>Normal</v>
      </c>
      <c r="U196" t="s">
        <v>6318</v>
      </c>
      <c r="V196" s="67">
        <f>LEFT(D196,4)*1</f>
        <v>2024</v>
      </c>
      <c r="W196" t="s">
        <v>6657</v>
      </c>
    </row>
    <row r="197" spans="1:23" ht="34">
      <c r="A197">
        <v>3</v>
      </c>
      <c r="B197" s="11" t="s">
        <v>6551</v>
      </c>
      <c r="C197" s="23" t="s">
        <v>33</v>
      </c>
      <c r="D197" s="19" t="s">
        <v>223</v>
      </c>
      <c r="E197" s="14">
        <v>15500000</v>
      </c>
      <c r="F197">
        <v>1500.33878617752</v>
      </c>
      <c r="G197" s="16">
        <v>10331</v>
      </c>
      <c r="H197" s="16">
        <v>12626</v>
      </c>
      <c r="I197" s="17" t="s">
        <v>456</v>
      </c>
      <c r="J197">
        <v>2024</v>
      </c>
      <c r="K197">
        <v>1900</v>
      </c>
      <c r="L197" s="19" t="s">
        <v>457</v>
      </c>
      <c r="M197" s="19" t="s">
        <v>458</v>
      </c>
      <c r="N197" s="52" t="s">
        <v>6212</v>
      </c>
      <c r="O197" s="20" t="s">
        <v>27</v>
      </c>
      <c r="P197" s="21" t="s">
        <v>6381</v>
      </c>
      <c r="Q197" t="s">
        <v>459</v>
      </c>
      <c r="R197" t="s">
        <v>460</v>
      </c>
      <c r="T197" t="s">
        <v>6277</v>
      </c>
      <c r="V197" s="67">
        <f>LEFT(D197,4)*1</f>
        <v>2021</v>
      </c>
      <c r="W197" t="s">
        <v>6655</v>
      </c>
    </row>
  </sheetData>
  <conditionalFormatting sqref="E2:F196 E197">
    <cfRule type="containsErrors" dxfId="116" priority="781">
      <formula>ISERROR(E2)</formula>
    </cfRule>
    <cfRule type="cellIs" dxfId="115" priority="783" operator="lessThanOrEqual">
      <formula>100</formula>
    </cfRule>
    <cfRule type="containsBlanks" dxfId="114" priority="786">
      <formula>LEN(TRIM(E2))=0</formula>
    </cfRule>
  </conditionalFormatting>
  <conditionalFormatting sqref="N2:N40">
    <cfRule type="containsText" dxfId="113" priority="2044" operator="containsText" text="UNKNOWN">
      <formula>NOT(ISERROR(SEARCH("UNKNOWN",N2)))</formula>
    </cfRule>
    <cfRule type="containsText" dxfId="112" priority="2043" operator="containsText" text="LIKELY-MEDICAL">
      <formula>NOT(ISERROR(SEARCH("LIKELY-MEDICAL",N2)))</formula>
    </cfRule>
    <cfRule type="beginsWith" dxfId="111" priority="2041" operator="beginsWith" text="Medical">
      <formula>LEFT(N2,LEN("Medical"))="Medical"</formula>
    </cfRule>
  </conditionalFormatting>
  <conditionalFormatting sqref="N3:N40">
    <cfRule type="containsText" dxfId="110" priority="2038" operator="containsText" text="Multi-tenant Medical">
      <formula>NOT(ISERROR(SEARCH("Multi-tenant Medical",N3)))</formula>
    </cfRule>
  </conditionalFormatting>
  <conditionalFormatting sqref="N43">
    <cfRule type="containsText" dxfId="109" priority="2020" operator="containsText" text="UNKNOWN">
      <formula>NOT(ISERROR(SEARCH("UNKNOWN",N43)))</formula>
    </cfRule>
    <cfRule type="containsText" dxfId="108" priority="2019" operator="containsText" text="LIKELY-MEDICAL">
      <formula>NOT(ISERROR(SEARCH("LIKELY-MEDICAL",N43)))</formula>
    </cfRule>
    <cfRule type="beginsWith" dxfId="107" priority="2017" operator="beginsWith" text="Medical">
      <formula>LEFT(N43,LEN("Medical"))="Medical"</formula>
    </cfRule>
    <cfRule type="containsText" dxfId="106" priority="2014" operator="containsText" text="Multi-tenant Medical">
      <formula>NOT(ISERROR(SEARCH("Multi-tenant Medical",N43)))</formula>
    </cfRule>
  </conditionalFormatting>
  <conditionalFormatting sqref="N45">
    <cfRule type="containsText" dxfId="105" priority="2004" operator="containsText" text="UNKNOWN">
      <formula>NOT(ISERROR(SEARCH("UNKNOWN",N45)))</formula>
    </cfRule>
    <cfRule type="containsText" dxfId="104" priority="2003" operator="containsText" text="LIKELY-MEDICAL">
      <formula>NOT(ISERROR(SEARCH("LIKELY-MEDICAL",N45)))</formula>
    </cfRule>
    <cfRule type="beginsWith" dxfId="103" priority="2001" operator="beginsWith" text="Medical">
      <formula>LEFT(N45,LEN("Medical"))="Medical"</formula>
    </cfRule>
    <cfRule type="containsText" dxfId="102" priority="1998" operator="containsText" text="Multi-tenant Medical">
      <formula>NOT(ISERROR(SEARCH("Multi-tenant Medical",N45)))</formula>
    </cfRule>
  </conditionalFormatting>
  <conditionalFormatting sqref="N48">
    <cfRule type="beginsWith" dxfId="101" priority="1977" operator="beginsWith" text="Medical">
      <formula>LEFT(N48,LEN("Medical"))="Medical"</formula>
    </cfRule>
    <cfRule type="containsText" dxfId="100" priority="1979" operator="containsText" text="LIKELY-MEDICAL">
      <formula>NOT(ISERROR(SEARCH("LIKELY-MEDICAL",N48)))</formula>
    </cfRule>
    <cfRule type="containsText" dxfId="99" priority="1980" operator="containsText" text="UNKNOWN">
      <formula>NOT(ISERROR(SEARCH("UNKNOWN",N48)))</formula>
    </cfRule>
    <cfRule type="containsText" dxfId="98" priority="1974" operator="containsText" text="Multi-tenant Medical">
      <formula>NOT(ISERROR(SEARCH("Multi-tenant Medical",N48)))</formula>
    </cfRule>
  </conditionalFormatting>
  <conditionalFormatting sqref="N50:N54">
    <cfRule type="containsText" dxfId="97" priority="1932" operator="containsText" text="UNKNOWN">
      <formula>NOT(ISERROR(SEARCH("UNKNOWN",N50)))</formula>
    </cfRule>
    <cfRule type="containsText" dxfId="96" priority="1931" operator="containsText" text="LIKELY-MEDICAL">
      <formula>NOT(ISERROR(SEARCH("LIKELY-MEDICAL",N50)))</formula>
    </cfRule>
    <cfRule type="beginsWith" dxfId="95" priority="1929" operator="beginsWith" text="Medical">
      <formula>LEFT(N50,LEN("Medical"))="Medical"</formula>
    </cfRule>
    <cfRule type="containsText" dxfId="94" priority="1926" operator="containsText" text="Multi-tenant Medical">
      <formula>NOT(ISERROR(SEARCH("Multi-tenant Medical",N50)))</formula>
    </cfRule>
  </conditionalFormatting>
  <conditionalFormatting sqref="N56:N59">
    <cfRule type="containsText" dxfId="93" priority="1892" operator="containsText" text="UNKNOWN">
      <formula>NOT(ISERROR(SEARCH("UNKNOWN",N56)))</formula>
    </cfRule>
    <cfRule type="containsText" dxfId="92" priority="1891" operator="containsText" text="LIKELY-MEDICAL">
      <formula>NOT(ISERROR(SEARCH("LIKELY-MEDICAL",N56)))</formula>
    </cfRule>
    <cfRule type="beginsWith" dxfId="91" priority="1889" operator="beginsWith" text="Medical">
      <formula>LEFT(N56,LEN("Medical"))="Medical"</formula>
    </cfRule>
    <cfRule type="containsText" dxfId="90" priority="1886" operator="containsText" text="Multi-tenant Medical">
      <formula>NOT(ISERROR(SEARCH("Multi-tenant Medical",N56)))</formula>
    </cfRule>
  </conditionalFormatting>
  <conditionalFormatting sqref="N61:N62">
    <cfRule type="containsText" dxfId="89" priority="1868" operator="containsText" text="UNKNOWN">
      <formula>NOT(ISERROR(SEARCH("UNKNOWN",N61)))</formula>
    </cfRule>
    <cfRule type="containsText" dxfId="88" priority="1867" operator="containsText" text="LIKELY-MEDICAL">
      <formula>NOT(ISERROR(SEARCH("LIKELY-MEDICAL",N61)))</formula>
    </cfRule>
    <cfRule type="beginsWith" dxfId="87" priority="1865" operator="beginsWith" text="Medical">
      <formula>LEFT(N61,LEN("Medical"))="Medical"</formula>
    </cfRule>
    <cfRule type="containsText" dxfId="86" priority="1862" operator="containsText" text="Multi-tenant Medical">
      <formula>NOT(ISERROR(SEARCH("Multi-tenant Medical",N61)))</formula>
    </cfRule>
  </conditionalFormatting>
  <conditionalFormatting sqref="N64:N68">
    <cfRule type="containsText" dxfId="85" priority="1820" operator="containsText" text="UNKNOWN">
      <formula>NOT(ISERROR(SEARCH("UNKNOWN",N64)))</formula>
    </cfRule>
    <cfRule type="containsText" dxfId="84" priority="1819" operator="containsText" text="LIKELY-MEDICAL">
      <formula>NOT(ISERROR(SEARCH("LIKELY-MEDICAL",N64)))</formula>
    </cfRule>
    <cfRule type="beginsWith" dxfId="83" priority="1817" operator="beginsWith" text="Medical">
      <formula>LEFT(N64,LEN("Medical"))="Medical"</formula>
    </cfRule>
    <cfRule type="containsText" dxfId="82" priority="1814" operator="containsText" text="Multi-tenant Medical">
      <formula>NOT(ISERROR(SEARCH("Multi-tenant Medical",N64)))</formula>
    </cfRule>
  </conditionalFormatting>
  <conditionalFormatting sqref="N71">
    <cfRule type="containsText" dxfId="81" priority="1790" operator="containsText" text="Multi-tenant Medical">
      <formula>NOT(ISERROR(SEARCH("Multi-tenant Medical",N71)))</formula>
    </cfRule>
    <cfRule type="beginsWith" dxfId="80" priority="1793" operator="beginsWith" text="Medical">
      <formula>LEFT(N71,LEN("Medical"))="Medical"</formula>
    </cfRule>
    <cfRule type="containsText" dxfId="79" priority="1795" operator="containsText" text="LIKELY-MEDICAL">
      <formula>NOT(ISERROR(SEARCH("LIKELY-MEDICAL",N71)))</formula>
    </cfRule>
    <cfRule type="containsText" dxfId="78" priority="1796" operator="containsText" text="UNKNOWN">
      <formula>NOT(ISERROR(SEARCH("UNKNOWN",N71)))</formula>
    </cfRule>
  </conditionalFormatting>
  <conditionalFormatting sqref="N73:N74">
    <cfRule type="containsText" dxfId="77" priority="1772" operator="containsText" text="UNKNOWN">
      <formula>NOT(ISERROR(SEARCH("UNKNOWN",N73)))</formula>
    </cfRule>
    <cfRule type="containsText" dxfId="76" priority="1771" operator="containsText" text="LIKELY-MEDICAL">
      <formula>NOT(ISERROR(SEARCH("LIKELY-MEDICAL",N73)))</formula>
    </cfRule>
    <cfRule type="beginsWith" dxfId="75" priority="1769" operator="beginsWith" text="Medical">
      <formula>LEFT(N73,LEN("Medical"))="Medical"</formula>
    </cfRule>
    <cfRule type="containsText" dxfId="74" priority="1766" operator="containsText" text="Multi-tenant Medical">
      <formula>NOT(ISERROR(SEARCH("Multi-tenant Medical",N73)))</formula>
    </cfRule>
  </conditionalFormatting>
  <conditionalFormatting sqref="N76:N112">
    <cfRule type="containsText" dxfId="73" priority="1468" operator="containsText" text="UNKNOWN">
      <formula>NOT(ISERROR(SEARCH("UNKNOWN",N76)))</formula>
    </cfRule>
    <cfRule type="containsText" dxfId="72" priority="1467" operator="containsText" text="LIKELY-MEDICAL">
      <formula>NOT(ISERROR(SEARCH("LIKELY-MEDICAL",N76)))</formula>
    </cfRule>
    <cfRule type="beginsWith" dxfId="71" priority="1465" operator="beginsWith" text="Medical">
      <formula>LEFT(N76,LEN("Medical"))="Medical"</formula>
    </cfRule>
    <cfRule type="containsText" dxfId="70" priority="1462" operator="containsText" text="Multi-tenant Medical">
      <formula>NOT(ISERROR(SEARCH("Multi-tenant Medical",N76)))</formula>
    </cfRule>
  </conditionalFormatting>
  <conditionalFormatting sqref="N114:N133">
    <cfRule type="containsText" dxfId="69" priority="1300" operator="containsText" text="UNKNOWN">
      <formula>NOT(ISERROR(SEARCH("UNKNOWN",N114)))</formula>
    </cfRule>
    <cfRule type="containsText" dxfId="68" priority="1299" operator="containsText" text="LIKELY-MEDICAL">
      <formula>NOT(ISERROR(SEARCH("LIKELY-MEDICAL",N114)))</formula>
    </cfRule>
    <cfRule type="beginsWith" dxfId="67" priority="1297" operator="beginsWith" text="Medical">
      <formula>LEFT(N114,LEN("Medical"))="Medical"</formula>
    </cfRule>
    <cfRule type="containsText" dxfId="66" priority="1294" operator="containsText" text="Multi-tenant Medical">
      <formula>NOT(ISERROR(SEARCH("Multi-tenant Medical",N114)))</formula>
    </cfRule>
  </conditionalFormatting>
  <conditionalFormatting sqref="N135:N137">
    <cfRule type="containsText" dxfId="65" priority="1262" operator="containsText" text="Multi-tenant Medical">
      <formula>NOT(ISERROR(SEARCH("Multi-tenant Medical",N135)))</formula>
    </cfRule>
    <cfRule type="containsText" dxfId="64" priority="1267" operator="containsText" text="LIKELY-MEDICAL">
      <formula>NOT(ISERROR(SEARCH("LIKELY-MEDICAL",N135)))</formula>
    </cfRule>
    <cfRule type="beginsWith" dxfId="63" priority="1265" operator="beginsWith" text="Medical">
      <formula>LEFT(N135,LEN("Medical"))="Medical"</formula>
    </cfRule>
    <cfRule type="containsText" dxfId="62" priority="1268" operator="containsText" text="UNKNOWN">
      <formula>NOT(ISERROR(SEARCH("UNKNOWN",N135)))</formula>
    </cfRule>
  </conditionalFormatting>
  <conditionalFormatting sqref="N139:N145">
    <cfRule type="containsText" dxfId="61" priority="1204" operator="containsText" text="UNKNOWN">
      <formula>NOT(ISERROR(SEARCH("UNKNOWN",N139)))</formula>
    </cfRule>
    <cfRule type="containsText" dxfId="60" priority="1203" operator="containsText" text="LIKELY-MEDICAL">
      <formula>NOT(ISERROR(SEARCH("LIKELY-MEDICAL",N139)))</formula>
    </cfRule>
    <cfRule type="beginsWith" dxfId="59" priority="1201" operator="beginsWith" text="Medical">
      <formula>LEFT(N139,LEN("Medical"))="Medical"</formula>
    </cfRule>
    <cfRule type="containsText" dxfId="58" priority="1198" operator="containsText" text="Multi-tenant Medical">
      <formula>NOT(ISERROR(SEARCH("Multi-tenant Medical",N139)))</formula>
    </cfRule>
  </conditionalFormatting>
  <conditionalFormatting sqref="N147:N162">
    <cfRule type="containsText" dxfId="57" priority="1060" operator="containsText" text="UNKNOWN">
      <formula>NOT(ISERROR(SEARCH("UNKNOWN",N147)))</formula>
    </cfRule>
    <cfRule type="containsText" dxfId="56" priority="1059" operator="containsText" text="LIKELY-MEDICAL">
      <formula>NOT(ISERROR(SEARCH("LIKELY-MEDICAL",N147)))</formula>
    </cfRule>
    <cfRule type="beginsWith" dxfId="55" priority="1057" operator="beginsWith" text="Medical">
      <formula>LEFT(N147,LEN("Medical"))="Medical"</formula>
    </cfRule>
    <cfRule type="containsText" dxfId="54" priority="1054" operator="containsText" text="Multi-tenant Medical">
      <formula>NOT(ISERROR(SEARCH("Multi-tenant Medical",N147)))</formula>
    </cfRule>
  </conditionalFormatting>
  <conditionalFormatting sqref="N164:N197">
    <cfRule type="containsText" dxfId="53" priority="788" operator="containsText" text="UNKNOWN">
      <formula>NOT(ISERROR(SEARCH("UNKNOWN",N164)))</formula>
    </cfRule>
    <cfRule type="containsText" dxfId="52" priority="787" operator="containsText" text="LIKELY-MEDICAL">
      <formula>NOT(ISERROR(SEARCH("LIKELY-MEDICAL",N164)))</formula>
    </cfRule>
    <cfRule type="beginsWith" dxfId="51" priority="785" operator="beginsWith" text="Medical">
      <formula>LEFT(N164,LEN("Medical"))="Medical"</formula>
    </cfRule>
    <cfRule type="containsText" dxfId="50" priority="782" operator="containsText" text="Multi-tenant Medical">
      <formula>NOT(ISERROR(SEARCH("Multi-tenant Medical",N164)))</formula>
    </cfRule>
  </conditionalFormatting>
  <conditionalFormatting sqref="O2:O197">
    <cfRule type="containsText" dxfId="49" priority="784" operator="containsText" text="Low">
      <formula>NOT(ISERROR(SEARCH("Low",O2)))</formula>
    </cfRule>
  </conditionalFormatting>
  <conditionalFormatting sqref="T3:T196">
    <cfRule type="containsText" dxfId="48" priority="4" operator="containsText" text="UNKNOWN">
      <formula>NOT(ISERROR(SEARCH("UNKNOWN",T3)))</formula>
    </cfRule>
    <cfRule type="containsText" dxfId="47" priority="3" operator="containsText" text="LIKELY-MEDICAL">
      <formula>NOT(ISERROR(SEARCH("LIKELY-MEDICAL",T3)))</formula>
    </cfRule>
    <cfRule type="beginsWith" dxfId="46" priority="2" operator="beginsWith" text="Medical">
      <formula>LEFT(T3,LEN("Medical"))="Medical"</formula>
    </cfRule>
    <cfRule type="containsText" dxfId="45" priority="1" operator="containsText" text="Multi-tenant Medical">
      <formula>NOT(ISERROR(SEARCH("Multi-tenant Medical",T3)))</formula>
    </cfRule>
  </conditionalFormatting>
  <hyperlinks>
    <hyperlink ref="Q163" r:id="rId1" xr:uid="{2110F29B-FD63-B34A-A742-8202A2DB6244}"/>
    <hyperlink ref="R163" r:id="rId2" xr:uid="{4A22D05A-3608-704E-9B29-11AA6E551ECF}"/>
    <hyperlink ref="Q139" r:id="rId3" xr:uid="{2A7CB6AA-CDBC-4447-810C-8BF5881C1A32}"/>
    <hyperlink ref="Q166" r:id="rId4" xr:uid="{F0DDA91B-D298-C245-B8BA-ED4A487E4C1F}"/>
    <hyperlink ref="R166" r:id="rId5" xr:uid="{359A4E0E-5233-B44D-A979-E4778DA63564}"/>
    <hyperlink ref="Q117" r:id="rId6" xr:uid="{A0495D9B-E154-D04D-9278-3319B1D38E3D}"/>
    <hyperlink ref="R117" r:id="rId7" xr:uid="{35EE6FF3-55DE-E24A-9E34-61B6DF5A80D1}"/>
    <hyperlink ref="Q58" r:id="rId8" xr:uid="{9904691A-BC4A-524E-BCCF-ABE7D150FBFD}"/>
    <hyperlink ref="R58" r:id="rId9" xr:uid="{519F5217-617D-D84E-A9CB-37E6C8E96191}"/>
    <hyperlink ref="Q99" r:id="rId10" xr:uid="{E1468ABD-0884-3140-9BF2-D1FA82C51BEA}"/>
    <hyperlink ref="Q79" r:id="rId11" xr:uid="{9AF58935-20B6-854E-B103-B5B277948E53}"/>
    <hyperlink ref="Q183" r:id="rId12" xr:uid="{C720AB32-0838-A442-94A1-15FA96842049}"/>
    <hyperlink ref="Q188" r:id="rId13" xr:uid="{9DAEE367-9615-9B48-9621-4BE54A9F91DD}"/>
    <hyperlink ref="R188" r:id="rId14" xr:uid="{15F26AC7-EC91-3E45-B36D-29C9FBB9FA30}"/>
    <hyperlink ref="Q155" r:id="rId15" xr:uid="{794EEC8E-C219-214D-A2E1-BD9FCA91B87B}"/>
    <hyperlink ref="Q67" r:id="rId16" xr:uid="{8E194EF4-81CD-8142-AAFF-467FC0CF74F5}"/>
    <hyperlink ref="R17" r:id="rId17" xr:uid="{C05D03D7-829E-3842-87D8-A58AD8DA2728}"/>
    <hyperlink ref="Q59" r:id="rId18" xr:uid="{912A9A48-847C-6848-A061-9BBFA084D100}"/>
    <hyperlink ref="Q54" r:id="rId19" xr:uid="{5F81606B-3579-7044-8FF8-E06E5BC878E9}"/>
    <hyperlink ref="Q194" r:id="rId20" xr:uid="{05C2CE1A-70D0-6A4B-9F3B-4697292CBF57}"/>
    <hyperlink ref="Q76" r:id="rId21" xr:uid="{6BE6307B-356E-2445-BFD1-965C57DCACC7}"/>
    <hyperlink ref="Q91" r:id="rId22" xr:uid="{36034D12-559F-324F-AA8D-B398595F109C}"/>
    <hyperlink ref="Q135" r:id="rId23" xr:uid="{204524C1-8A06-CB46-AED8-8625EAA6EE78}"/>
    <hyperlink ref="Q158" r:id="rId24" xr:uid="{8B045414-6B0C-BF4C-9A8D-4FF9FB35FC86}"/>
    <hyperlink ref="Q168" r:id="rId25" xr:uid="{AA87914B-2FFD-8243-833C-608AC9FBBCDE}"/>
    <hyperlink ref="Q167" r:id="rId26" xr:uid="{0DEA21E7-E2B4-3A4F-BA67-F5AB246CEE4C}"/>
    <hyperlink ref="Q49" r:id="rId27" xr:uid="{A3F6C573-B0AB-694A-99C2-EEA4D3BBF36D}"/>
    <hyperlink ref="Q118" r:id="rId28" xr:uid="{519B4AB4-B203-0548-BEAC-65FC7E084526}"/>
    <hyperlink ref="Q27" r:id="rId29" xr:uid="{0244E9E8-BB13-D946-A7FC-604168F04B0E}"/>
    <hyperlink ref="Q110" r:id="rId30" xr:uid="{379CB308-EF59-3740-A43F-84E7827263E8}"/>
    <hyperlink ref="Q62" r:id="rId31" xr:uid="{95907E55-0A34-7E4A-8F1B-06031FD2EEEB}"/>
    <hyperlink ref="Q22" r:id="rId32" xr:uid="{9EA301BC-C7C2-AE48-8F78-E7C056F26EBA}"/>
    <hyperlink ref="R104" r:id="rId33" xr:uid="{C6D76B68-F813-7345-9C68-16378A699FE4}"/>
    <hyperlink ref="Q104" r:id="rId34" xr:uid="{04E884BF-9981-4E4F-A34B-AB2FA117B0B8}"/>
    <hyperlink ref="Q177" r:id="rId35" xr:uid="{08226CF0-DEDB-8949-8CB4-E453894C897A}"/>
    <hyperlink ref="Q75" r:id="rId36" xr:uid="{BD3306C8-728D-914C-8679-6BF07B0D7748}"/>
    <hyperlink ref="Q23" r:id="rId37" xr:uid="{9B44E068-D424-454D-B6CA-9F857934E0A2}"/>
    <hyperlink ref="Q192" r:id="rId38" xr:uid="{135CBEB3-9AEE-9A48-ABDC-9390F7B04579}"/>
    <hyperlink ref="Q196" r:id="rId39" display="https://search.sunbiz.org/Inquiry/CorporationSearch/SearchResults?InquiryType=EntityName&amp;InquiryDirectionType=ForwardRecord&amp;SearchTerm=OPTIMA%20HOME%20INSPECTIONS%2C%20LLC&amp;SearchNameOrder=OPTIMAILLABORATORIES%20G821190&amp;ListNameOrder=OPTIMAHOMESERVICES%20P990000974750&amp;Detail=FL.DOS.Corporations.Shared.Contracts.FilingRecord" xr:uid="{DFB32805-0754-8C4C-A80B-0A5456B602ED}"/>
    <hyperlink ref="Q133" r:id="rId40" xr:uid="{7A70C668-5B4D-8D4D-89ED-AAC71FAA1B2B}"/>
    <hyperlink ref="Q83" r:id="rId41" xr:uid="{AB795033-7E1A-8C4A-AB4A-D15FA609FB27}"/>
    <hyperlink ref="Q123" r:id="rId42" xr:uid="{D75AC8FF-0B50-1644-96A4-11D94DF28BCE}"/>
    <hyperlink ref="Q179" r:id="rId43" xr:uid="{7DB0EC28-6878-F042-BEFA-DCE27E2C6739}"/>
    <hyperlink ref="Q186" r:id="rId44" xr:uid="{406CF42B-B97F-5247-B2EA-C89E57353AC3}"/>
    <hyperlink ref="Q143" r:id="rId45" xr:uid="{BD077DCC-3D72-E543-A66E-2106B423B3CF}"/>
    <hyperlink ref="Q160" r:id="rId46" xr:uid="{F93FEBF6-15DD-4C43-B00B-2D7830B4A4B8}"/>
    <hyperlink ref="Q68" r:id="rId47" xr:uid="{37911D61-5A24-FF45-BF57-5083B408093A}"/>
    <hyperlink ref="Q182" r:id="rId48" xr:uid="{211B7B4F-51FD-BB4A-8440-71E9B254692C}"/>
    <hyperlink ref="Q12" r:id="rId49" xr:uid="{F1374BB2-0EA7-8C41-8725-59C9210CA459}"/>
    <hyperlink ref="R56" r:id="rId50" xr:uid="{12E21470-72AF-2641-8013-79A8B1327B2C}"/>
    <hyperlink ref="Q56" r:id="rId51" xr:uid="{9F8890B1-C92A-6747-99BA-EFE5F1EA9309}"/>
    <hyperlink ref="R180" r:id="rId52" xr:uid="{647F4774-1B40-A54E-8445-DA048F03B722}"/>
    <hyperlink ref="Q180" r:id="rId53" xr:uid="{E0C86955-9599-4A43-8274-D8AFBA540434}"/>
    <hyperlink ref="R114" r:id="rId54" xr:uid="{278D0CDC-43D7-8643-8562-947D45D46021}"/>
    <hyperlink ref="Q114" r:id="rId55" xr:uid="{5EAABA94-7E51-CB43-9355-1F49565BD0FD}"/>
    <hyperlink ref="Q97" r:id="rId56" xr:uid="{EAA1F77F-F2A1-9648-8EB3-DA09B9739384}"/>
    <hyperlink ref="Q77" r:id="rId57" xr:uid="{4BF90FBA-D12D-D246-B3D8-C90BC16C0772}"/>
    <hyperlink ref="Q65" r:id="rId58" xr:uid="{04419B35-675E-8E48-89DE-D21F37DF57C4}"/>
    <hyperlink ref="R65" r:id="rId59" xr:uid="{C6E6916D-8F06-7549-B1C9-ED2146DAC60B}"/>
    <hyperlink ref="Q95" r:id="rId60" xr:uid="{806EE65C-BF57-A248-9CC0-82C181B5ED20}"/>
    <hyperlink ref="R95" r:id="rId61" xr:uid="{D2A40AD1-2955-D146-8B89-D5DD883FEF6C}"/>
    <hyperlink ref="Q3" r:id="rId62" xr:uid="{CE6787BD-C6CD-4449-B1F8-584B96966B73}"/>
    <hyperlink ref="Q195" r:id="rId63" xr:uid="{A36ADC2C-A0D0-C94C-A07C-7E49AACA56DB}"/>
    <hyperlink ref="Q85" r:id="rId64" xr:uid="{22108320-93EF-ED41-8AF1-5431E56670C7}"/>
    <hyperlink ref="Q82" r:id="rId65" xr:uid="{4EF5D7EF-F45B-1844-9F55-933C425D9D26}"/>
    <hyperlink ref="Q6" r:id="rId66" xr:uid="{12BD25F2-BC1B-A64A-94E1-A858CF0AD147}"/>
    <hyperlink ref="R6" r:id="rId67" xr:uid="{B4E846F5-EC6D-8E47-BEEA-72C8DD982366}"/>
    <hyperlink ref="Q89" r:id="rId68" xr:uid="{E0ECC4A7-C534-0E48-A7E4-8D07A0541B95}"/>
    <hyperlink ref="R89" r:id="rId69" xr:uid="{E013AFA7-795B-AE41-83C6-757D03917043}"/>
    <hyperlink ref="Q84" r:id="rId70" xr:uid="{8C830F8E-C35D-D048-99C3-37DB4DA5890D}"/>
    <hyperlink ref="Q170" r:id="rId71" xr:uid="{9D5571F1-9AD1-B649-8A59-F8ADD9DB8DAA}"/>
    <hyperlink ref="Q25" r:id="rId72" xr:uid="{04D5B7E4-BDC2-764D-BBDC-108098E056D0}"/>
    <hyperlink ref="Q128" r:id="rId73" xr:uid="{8F5B8CA3-000B-C745-AAB2-0996D36548CB}"/>
    <hyperlink ref="Q122" r:id="rId74" xr:uid="{5C2CC65D-8425-2347-818F-71D21E49D3B5}"/>
    <hyperlink ref="Q30" r:id="rId75" xr:uid="{DD5D1D63-4520-FB4C-8448-42920B5F33DE}"/>
    <hyperlink ref="Q34" r:id="rId76" xr:uid="{9FCAD564-FD34-6541-928F-920898F5F333}"/>
    <hyperlink ref="Q176" r:id="rId77" xr:uid="{AC9F994F-F6DF-7942-89FA-9056AD2CFB86}"/>
    <hyperlink ref="Q172" r:id="rId78" xr:uid="{AE0021C1-1164-D742-B411-A70E9ED49E97}"/>
    <hyperlink ref="R172" r:id="rId79" xr:uid="{EA5E125F-04E9-AA42-BDCC-E9BB067682A5}"/>
    <hyperlink ref="Q66" r:id="rId80" xr:uid="{E2DBCA71-B04E-7B45-AADE-685459AABC23}"/>
    <hyperlink ref="Q5" r:id="rId81" xr:uid="{5305296F-0A8A-334E-9F95-24CB18460A73}"/>
    <hyperlink ref="R173" r:id="rId82" xr:uid="{7D0AD870-DEC4-F64F-9396-A58875968B2A}"/>
    <hyperlink ref="Q173" r:id="rId83" xr:uid="{4F3D2CBA-8206-5449-8358-2C99D1F7D0CA}"/>
    <hyperlink ref="Q109" r:id="rId84" xr:uid="{858BC83D-BCC2-934C-AC97-32BED24C076D}"/>
    <hyperlink ref="Q8" r:id="rId85" xr:uid="{214BEB0F-D16A-4D48-A50E-F7D154248685}"/>
    <hyperlink ref="Q72" r:id="rId86" xr:uid="{DA35D81D-0DD9-C345-B093-AB943D97C05E}"/>
    <hyperlink ref="Q86" r:id="rId87" xr:uid="{94D27E9E-2F20-1942-954C-BAAE82EC44D3}"/>
    <hyperlink ref="R51" r:id="rId88" xr:uid="{F106D483-1BD9-2447-BF09-AAAFB64FADFE}"/>
    <hyperlink ref="Q60" r:id="rId89" xr:uid="{FCD626CC-A9A0-4241-A68E-9EE67D8FA8BA}"/>
    <hyperlink ref="Q18" r:id="rId90" xr:uid="{F7D637C7-13C1-C644-8E6D-EC8682C9C23C}"/>
    <hyperlink ref="R18" r:id="rId91" xr:uid="{15DA36FA-80B3-1F4F-9A7C-7D22188F33AF}"/>
    <hyperlink ref="Q149" r:id="rId92" xr:uid="{223DD92E-2C7B-F944-811C-3BA0D4C4769D}"/>
    <hyperlink ref="Q15" r:id="rId93" xr:uid="{65446895-DAA7-CF47-AC73-0FF9E42D379B}"/>
    <hyperlink ref="Q19" r:id="rId94" xr:uid="{1E536EF4-7F5A-5242-B7DA-6A9051060257}"/>
    <hyperlink ref="Q131" r:id="rId95" xr:uid="{B4CD0CF2-8DF2-F54A-A0BB-60F49685A400}"/>
    <hyperlink ref="R131" r:id="rId96" xr:uid="{59B98217-6F57-414A-A086-6D983D937CDF}"/>
    <hyperlink ref="Q120" r:id="rId97" xr:uid="{5572922E-4CED-8741-91E3-E55095981F3C}"/>
    <hyperlink ref="Q129" r:id="rId98" xr:uid="{7FC82EB5-7131-4D44-A641-3854A0D38881}"/>
    <hyperlink ref="Q130" r:id="rId99" xr:uid="{4DB5CF8C-12EE-094D-BDD6-499D774406DF}"/>
    <hyperlink ref="Q140" r:id="rId100" xr:uid="{504F1892-0BD6-554C-9CFB-812F20783173}"/>
    <hyperlink ref="Q150" r:id="rId101" xr:uid="{141C89ED-5313-1C4F-B24F-CE4A71C7D909}"/>
    <hyperlink ref="Q151" r:id="rId102" xr:uid="{338CD896-D11A-4243-BFF7-F41EA87A6E77}"/>
    <hyperlink ref="R151" r:id="rId103" xr:uid="{5C16EFC8-B4C0-1245-80EE-C4F9ACC41DB6}"/>
    <hyperlink ref="Q35" r:id="rId104" xr:uid="{70820F6F-DEFD-074C-A9CD-077D8D57D8ED}"/>
    <hyperlink ref="Q145" r:id="rId105" xr:uid="{C70BB85E-4484-5C4D-9DD9-B2FF819FBB60}"/>
    <hyperlink ref="R145" r:id="rId106" xr:uid="{E6F63EA4-DB7E-0F43-962F-889266C239A9}"/>
    <hyperlink ref="Q144" r:id="rId107" xr:uid="{D39D61ED-F0B0-F44E-A893-3C0C20FA632C}"/>
    <hyperlink ref="Q126" r:id="rId108" xr:uid="{0BA07D0C-8FF2-574D-B553-2B23276FD125}"/>
    <hyperlink ref="Q148" r:id="rId109" xr:uid="{FC4A85F4-3ECC-FF48-BCF5-65A2749F36FD}"/>
    <hyperlink ref="Q142" r:id="rId110" xr:uid="{B340499F-A848-0149-B527-D8006D1FB167}"/>
    <hyperlink ref="R14" r:id="rId111" xr:uid="{41C2DCBE-F1D7-8E46-AE6C-3AFCE121357E}"/>
    <hyperlink ref="Q14" r:id="rId112" xr:uid="{2B27E95F-D9BB-B64D-A4F1-773E032D12E2}"/>
    <hyperlink ref="Q41" r:id="rId113" xr:uid="{05D335C7-244D-9346-AB32-38D0BCEA5146}"/>
    <hyperlink ref="Q61" r:id="rId114" xr:uid="{7879D634-05DE-0648-8FCC-BECF57D390E4}"/>
    <hyperlink ref="Q70" r:id="rId115" xr:uid="{0A78AA22-0B5C-C541-977B-7ACD5155FD35}"/>
    <hyperlink ref="Q16" r:id="rId116" xr:uid="{69A0AEB0-8C32-934A-B254-E15B1F22EC6F}"/>
    <hyperlink ref="Q113" r:id="rId117" xr:uid="{82EDFE9A-3A12-6947-AAF0-32D1CC7DE06A}"/>
    <hyperlink ref="Q40" r:id="rId118" xr:uid="{DE58DC09-BB38-A14A-BCC2-67A4C5A2477A}"/>
    <hyperlink ref="Q38" r:id="rId119" xr:uid="{C61A0C8E-6B28-7F4E-A58B-BF1267858C0F}"/>
    <hyperlink ref="Q36" r:id="rId120" xr:uid="{05330DF3-5669-9740-81AD-EA8656E76728}"/>
    <hyperlink ref="Q32" r:id="rId121" xr:uid="{60D5183A-86DC-5143-B756-34D134C5C551}"/>
    <hyperlink ref="Q152" r:id="rId122" xr:uid="{64738AC6-A70D-A84B-9106-5C4A51112C84}"/>
    <hyperlink ref="Q157" r:id="rId123" xr:uid="{501293B5-A9BD-CD49-BB24-B14798DE2ACE}"/>
    <hyperlink ref="Q156" r:id="rId124" xr:uid="{4B00D645-B224-6C41-AEBF-150EAD47FE8A}"/>
    <hyperlink ref="Q138" r:id="rId125" xr:uid="{AFB4C315-AC7E-4F45-8115-5136CB329464}"/>
    <hyperlink ref="R138" r:id="rId126" xr:uid="{752E1295-58BD-9041-9B28-01FC140D8160}"/>
    <hyperlink ref="Q146" r:id="rId127" xr:uid="{FF698941-294A-B144-912B-6976946DB580}"/>
    <hyperlink ref="Q153" r:id="rId128" xr:uid="{EA60FED7-342A-7747-A324-AC1EC936A1F0}"/>
    <hyperlink ref="Q101" r:id="rId129" xr:uid="{8E106964-3F04-3A4D-8FE4-E2D167FA81D0}"/>
    <hyperlink ref="Q102" r:id="rId130" xr:uid="{2AEAC169-F39D-E34F-BDA8-658EA51E2128}"/>
    <hyperlink ref="Q103" r:id="rId131" xr:uid="{E92D2820-B4E9-B541-A7A7-DAFB483C262E}"/>
    <hyperlink ref="R103" r:id="rId132" xr:uid="{FDCC32ED-F6D7-AD4F-A8F1-65248A27EA62}"/>
    <hyperlink ref="Q73" r:id="rId133" xr:uid="{D2263B8E-FF99-A242-B67C-0FD4F893797D}"/>
    <hyperlink ref="Q13" r:id="rId134" xr:uid="{EEF468BF-5795-1945-99BE-D52D1D460711}"/>
    <hyperlink ref="Q100" r:id="rId135" xr:uid="{29B82556-8AEF-F840-823A-F97E571DFB26}"/>
    <hyperlink ref="R100" r:id="rId136" xr:uid="{97416363-917F-4F40-89EA-28F9E2B98BD5}"/>
    <hyperlink ref="R88" r:id="rId137" xr:uid="{B8CA2CB6-DB31-EB4B-AC0E-4FC0164A75B1}"/>
    <hyperlink ref="Q88" r:id="rId138" xr:uid="{5841CBD1-76C7-BD41-9062-BE00FB7DC478}"/>
    <hyperlink ref="Q105" r:id="rId139" xr:uid="{48771073-FD7D-E24D-BE16-6ABD37834A3D}"/>
    <hyperlink ref="Q134" r:id="rId140" xr:uid="{58E914D5-42DE-934B-A47D-E71FBEE4600F}"/>
    <hyperlink ref="R63" r:id="rId141" xr:uid="{BBD58C68-7649-8E48-9A05-EF9C0481623D}"/>
    <hyperlink ref="Q63" r:id="rId142" xr:uid="{6C5CBD0F-6C83-EE47-802F-A11343260C53}"/>
    <hyperlink ref="Q90" r:id="rId143" xr:uid="{FEACC5F5-A0F9-E844-87A4-9FF445D0FFB7}"/>
    <hyperlink ref="R37" r:id="rId144" xr:uid="{DA3945A9-C4B7-2C4C-9EB3-7E0051093987}"/>
    <hyperlink ref="Q37" r:id="rId145" xr:uid="{9C3396D6-959F-414B-8F33-697F80AF0F9D}"/>
    <hyperlink ref="Q184" r:id="rId146" xr:uid="{498C282C-182C-F747-A35C-88FDB68FD3C2}"/>
    <hyperlink ref="R184" r:id="rId147" display="https://www.google.com/maps/@28.8176464,-81.8774908,3a,16.9y,174.93h,85.93t/data=!3m7!1e1!3m5!1sD1bpb9_7mud9RolGKF6C9w!2e0!6shttps:%2F%2Fstreetviewpixels-pa.googleapis.com%2Fv1%2Fthumbnail%3Fcb_client%3Dmaps_sv.tactile%26w%3D900%26h%3D600%26pitch%3D4.066419333309582%26panoid%3DD1bpb9_7mud9RolGKF6C9w%26yaw%3D174.92757615331712!7i16384!8i8192?entry=ttu&amp;g_ep=EgoyMDI2MDIwMS4wIKXMDSoASAFQAw%3D%3D" xr:uid="{569DE262-75B4-AC4C-958F-07807F50E22B}"/>
    <hyperlink ref="Q26" r:id="rId148" xr:uid="{17C7EFCE-A836-2F4F-B964-ABB1F27D8456}"/>
    <hyperlink ref="Q127" r:id="rId149" xr:uid="{AABF9E03-7CC2-1947-83AD-D7EE0168875F}"/>
    <hyperlink ref="R127" r:id="rId150" xr:uid="{6D7F83CA-6C7F-3C41-947A-1F3126BC08F1}"/>
    <hyperlink ref="Q33" r:id="rId151" xr:uid="{F98598E0-FAA4-7B44-99E0-AD0F595C2EB3}"/>
    <hyperlink ref="R154" r:id="rId152" xr:uid="{660A4720-F471-CA4F-8EE4-299EB969B920}"/>
    <hyperlink ref="Q154" r:id="rId153" xr:uid="{4B642375-8EF7-6A41-B257-D84FBA9B8728}"/>
    <hyperlink ref="Q87" r:id="rId154" xr:uid="{1633CDA5-C15C-674E-888A-AD2800DA89AE}"/>
    <hyperlink ref="Q93" r:id="rId155" xr:uid="{4FA99107-FB01-7B47-882D-51B3700E6AF6}"/>
    <hyperlink ref="Q4" r:id="rId156" xr:uid="{72700D98-C2FE-EC48-805A-30C625103179}"/>
    <hyperlink ref="Q96" r:id="rId157" xr:uid="{C619D6D4-B403-7D4A-BABC-8DACD3D0048F}"/>
    <hyperlink ref="R96" r:id="rId158" xr:uid="{95EE3217-07EA-4C4C-9E95-F69A0058A686}"/>
    <hyperlink ref="Q7" r:id="rId159" xr:uid="{F3F1AB4C-AC53-F34A-9F83-042C7F91608D}"/>
    <hyperlink ref="Q24" r:id="rId160" xr:uid="{F2D5B0D5-8530-4840-80C7-1E44FE7D9D5F}"/>
    <hyperlink ref="R24" r:id="rId161" xr:uid="{0185CD2A-507E-7C45-8EDA-575B39C5BAD3}"/>
    <hyperlink ref="Q116" r:id="rId162" xr:uid="{26D67BB2-FC44-5C4E-9048-7A96FE3012EC}"/>
    <hyperlink ref="Q80" r:id="rId163" xr:uid="{DEB9BAAF-3625-AD4D-BAB4-3EBE02E7F249}"/>
    <hyperlink ref="Q111" r:id="rId164" xr:uid="{D8314DD0-6AD3-BA4F-B51B-3490C8A18010}"/>
    <hyperlink ref="Q21" r:id="rId165" xr:uid="{F43DD08C-3FDF-AE48-B366-CB36DF38A12D}"/>
    <hyperlink ref="Q119" r:id="rId166" xr:uid="{E9E5F8E1-23D0-414E-9D31-EB1DDA550814}"/>
    <hyperlink ref="Q11" r:id="rId167" xr:uid="{E5F74FA9-AFCB-8144-99CD-B27DF620EAF3}"/>
    <hyperlink ref="Q20" r:id="rId168" xr:uid="{B5797EFA-9405-B347-B033-83B01E6003EE}"/>
    <hyperlink ref="R92" r:id="rId169" xr:uid="{513DC59A-FE45-524A-A58D-84810E704BD6}"/>
    <hyperlink ref="Q92" r:id="rId170" xr:uid="{51A507B1-DDE8-EF46-AAE5-471076304C0B}"/>
    <hyperlink ref="Q125" r:id="rId171" xr:uid="{5E56E9FD-4BE1-CC4A-9B8B-51A9022C90A6}"/>
    <hyperlink ref="Q53" r:id="rId172" xr:uid="{56984957-3812-964B-AE94-E2B10AA3862D}"/>
    <hyperlink ref="R53" r:id="rId173" xr:uid="{80B88D95-E7E8-E047-835D-B0870CBE7F81}"/>
    <hyperlink ref="Q112" r:id="rId174" xr:uid="{275E5239-F08C-994F-843D-87BF4E88EA40}"/>
    <hyperlink ref="R71" r:id="rId175" xr:uid="{146B2CF7-C913-1D41-964F-C77747EEC956}"/>
    <hyperlink ref="Q71" r:id="rId176" xr:uid="{94766740-C8B9-6D49-BADA-C7446FE20FCE}"/>
    <hyperlink ref="Q31" r:id="rId177" xr:uid="{013C527F-C013-FB42-A390-C87E9C6787AD}"/>
    <hyperlink ref="Q108" r:id="rId178" xr:uid="{58DFA04B-A109-ED4D-ADC7-CC2006304E60}"/>
    <hyperlink ref="Q74" r:id="rId179" xr:uid="{4AC95494-4FAF-6C47-8480-303156853A3F}"/>
    <hyperlink ref="Q46" r:id="rId180" xr:uid="{A736D561-8601-2E49-A5F8-04A07889CAAE}"/>
    <hyperlink ref="Q42" r:id="rId181" xr:uid="{72D9C63C-25A1-4542-8299-52114A2B9893}"/>
    <hyperlink ref="R42" r:id="rId182" xr:uid="{9AD2E4B6-95B1-0B42-943B-5DBC79B0418B}"/>
    <hyperlink ref="Q161" r:id="rId183" xr:uid="{F08D6390-07A4-6D43-9F8B-31622DFA3A7F}"/>
    <hyperlink ref="Q147" r:id="rId184" xr:uid="{C6A2A06B-0960-9046-B1FE-28D6FCB5FEAF}"/>
    <hyperlink ref="R147" r:id="rId185" xr:uid="{2BA0080D-F3C6-5A43-A5E6-1763B721CCC1}"/>
    <hyperlink ref="R141" r:id="rId186" xr:uid="{C3B871E1-E72A-AD41-BE10-92D8F3E5FD52}"/>
    <hyperlink ref="Q159" r:id="rId187" xr:uid="{F68956EE-E36E-0540-A028-C8205AC163DF}"/>
    <hyperlink ref="Q10" r:id="rId188" xr:uid="{ADF242D8-11B2-E540-A7BA-0EBF1492B046}"/>
    <hyperlink ref="R10" r:id="rId189" xr:uid="{FA8A92A8-FB4C-CC4B-A101-82543BE736E7}"/>
    <hyperlink ref="Q136" r:id="rId190" xr:uid="{2A2E0C99-7D0B-C646-8117-251AB08684D4}"/>
    <hyperlink ref="Q137" r:id="rId191" xr:uid="{A86C471E-75D4-7F41-8F2B-C1CD487DA110}"/>
    <hyperlink ref="Q106" r:id="rId192" xr:uid="{AC958878-CC97-FC4E-BC98-8F2329F9F30D}"/>
    <hyperlink ref="Q28" r:id="rId193" xr:uid="{D84485AA-B680-314F-9B85-AC750B2C3F5E}"/>
    <hyperlink ref="Q55" r:id="rId194" xr:uid="{42E853E6-31F1-0B44-B9A5-380E5F741CC9}"/>
    <hyperlink ref="Q81" r:id="rId195" xr:uid="{B0E46E26-AC88-FE43-92E8-316B64D2485E}"/>
    <hyperlink ref="Q48" r:id="rId196" xr:uid="{3358105E-D2D5-C947-B84A-02D6F4C1024F}"/>
    <hyperlink ref="R29" r:id="rId197" xr:uid="{681AC7E6-BF64-3C45-BE5A-CBC273D6E536}"/>
    <hyperlink ref="Q29" r:id="rId198" xr:uid="{1C9EE8F4-5EB1-B44A-BA73-8587D042F8E4}"/>
    <hyperlink ref="Q52" r:id="rId199" xr:uid="{508BABA7-B717-2843-AAC3-326F7FF29262}"/>
    <hyperlink ref="Q78" r:id="rId200" xr:uid="{E2BC028B-C0D3-B84B-9FC9-37000D5E9457}"/>
    <hyperlink ref="Q50" r:id="rId201" xr:uid="{722377EA-8BBB-2C48-801D-F8AD0ABEB74E}"/>
    <hyperlink ref="Q121" r:id="rId202" xr:uid="{DB267138-681E-DD4B-81C0-E6E72653763B}"/>
    <hyperlink ref="Q94" r:id="rId203" xr:uid="{84875C90-55A8-ED48-9BF4-6E84D7D530F6}"/>
    <hyperlink ref="Q43" r:id="rId204" xr:uid="{D3BAB397-9267-F64F-8E2F-A112C0F77657}"/>
    <hyperlink ref="Q132" r:id="rId205" xr:uid="{0E0D2470-ED41-5C41-8EE4-2957C0D9FA48}"/>
    <hyperlink ref="R132" r:id="rId206" xr:uid="{CCC1091F-FBD8-A84B-A787-164A69EB718F}"/>
    <hyperlink ref="Q47" r:id="rId207" xr:uid="{C121086D-C553-DB48-8F44-79BA4E040F8B}"/>
    <hyperlink ref="R162" r:id="rId208" xr:uid="{0483CE36-FA27-4B4D-86B7-AB0EE4EF9E97}"/>
    <hyperlink ref="R175" r:id="rId209" xr:uid="{A1DBFF47-292B-674F-B3BE-45E91DEFF635}"/>
    <hyperlink ref="R169" r:id="rId210" xr:uid="{934AB37A-DF89-E045-99CA-977C3EC09805}"/>
    <hyperlink ref="Q174" r:id="rId211" xr:uid="{8750FB8B-325F-1A48-83EB-4F48CDD5CE06}"/>
    <hyperlink ref="R183" r:id="rId212" xr:uid="{CD6BA18E-E3EA-8844-B08F-F34BD43620A3}"/>
    <hyperlink ref="R67" r:id="rId213" xr:uid="{0D526730-0137-334D-B6CA-B19ED2CB0959}"/>
    <hyperlink ref="R54" r:id="rId214" xr:uid="{A3C53035-CB8D-7849-B46B-BAFAB2CA644E}"/>
    <hyperlink ref="R194" r:id="rId215" xr:uid="{0FE141C5-7325-0A44-BA5B-6A85BF1F2F4F}"/>
    <hyperlink ref="R168" r:id="rId216" xr:uid="{58C3CCD8-F071-4640-8125-22CD241E9441}"/>
    <hyperlink ref="R177" r:id="rId217" xr:uid="{54717F94-4790-0F42-BE84-F5DFFA66F61A}"/>
    <hyperlink ref="R192" r:id="rId218" xr:uid="{536C74B3-0E3D-834A-91B6-876C39F82BAB}"/>
    <hyperlink ref="R196" r:id="rId219" xr:uid="{91B346F5-49FA-F54A-915C-4AD69F14BCB4}"/>
    <hyperlink ref="R83" r:id="rId220" xr:uid="{71F93BA4-ECC5-114B-BCFA-DD20BB44E12A}"/>
    <hyperlink ref="R179" r:id="rId221" xr:uid="{14FE73F9-6EF5-BE48-A9D3-3DDD23BB8FCD}"/>
    <hyperlink ref="R186" r:id="rId222" xr:uid="{216FCA13-E9E3-6F41-A0DB-A29E3B239958}"/>
    <hyperlink ref="R160" r:id="rId223" xr:uid="{3CE0D1C4-F3B6-834F-B860-6BC719CAA734}"/>
    <hyperlink ref="R182" r:id="rId224" xr:uid="{09A7F332-C753-4849-9796-3AC5B525EB26}"/>
    <hyperlink ref="R12" r:id="rId225" xr:uid="{FBA9DF4D-F44A-5B49-BF0A-C5AC4F083AD4}"/>
    <hyperlink ref="R3" r:id="rId226" xr:uid="{694D25F7-DA82-0547-81D3-0FF4491E701F}"/>
    <hyperlink ref="R85" r:id="rId227" xr:uid="{EF1AFB8E-AFB1-1843-B65F-8A2BA3189AF5}"/>
    <hyperlink ref="R195" r:id="rId228" xr:uid="{82A81354-9239-0B4E-A109-DB212A9B7444}"/>
    <hyperlink ref="R170" r:id="rId229" xr:uid="{E4888029-D9B5-854E-A223-1358CDAFDDF9}"/>
    <hyperlink ref="R176" r:id="rId230" xr:uid="{B08612CA-3FA1-5D4A-B6BF-CC5A4F7357D7}"/>
    <hyperlink ref="R5" r:id="rId231" xr:uid="{B5285A13-1209-2745-9C3C-7B8F7D640CE8}"/>
    <hyperlink ref="R8" r:id="rId232" xr:uid="{6A4E188D-12FA-AC47-A45D-9F1E31EEAE66}"/>
    <hyperlink ref="R9" r:id="rId233" xr:uid="{37D9D7D9-CC63-3A4F-8F21-236827C57DD0}"/>
    <hyperlink ref="R13" r:id="rId234" xr:uid="{7B74555A-8969-AF4D-8BF3-85C58D44D4B4}"/>
    <hyperlink ref="R4" r:id="rId235" xr:uid="{E7CD5B84-3BBD-FB42-A971-6E1E360D79F6}"/>
    <hyperlink ref="R7" r:id="rId236" xr:uid="{D2A3B3E1-D183-104D-B4B1-BAF907D734BB}"/>
    <hyperlink ref="R11" r:id="rId237" xr:uid="{D774F797-A0C7-0C4A-897D-0ABB6205DAC8}"/>
    <hyperlink ref="R161" r:id="rId238" xr:uid="{E0E3231A-289E-6C4D-BE7D-9DD62DD2F2DB}"/>
    <hyperlink ref="R81" r:id="rId239" xr:uid="{025617AC-EB52-404D-A235-6532CB399E20}"/>
    <hyperlink ref="R94" r:id="rId240" xr:uid="{49F9B077-A7B0-5C48-9011-3F207CF7CB60}"/>
    <hyperlink ref="R167" r:id="rId241" xr:uid="{D923C2B8-6815-A747-8E13-B8A67C7DF209}"/>
  </hyperlinks>
  <pageMargins left="0.7" right="0.7" top="0.75" bottom="0.75" header="0.3" footer="0.3"/>
  <tableParts count="1">
    <tablePart r:id="rId24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567F3-A34D-E044-90F9-27262ACFD808}">
  <dimension ref="A1:M35"/>
  <sheetViews>
    <sheetView workbookViewId="0">
      <selection sqref="A1:M1"/>
    </sheetView>
  </sheetViews>
  <sheetFormatPr baseColWidth="10" defaultRowHeight="16"/>
  <cols>
    <col min="1" max="1" width="24.83203125" bestFit="1" customWidth="1"/>
    <col min="2" max="2" width="8.6640625" bestFit="1" customWidth="1"/>
    <col min="3" max="3" width="7.83203125" bestFit="1" customWidth="1"/>
    <col min="4" max="4" width="11.1640625" bestFit="1" customWidth="1"/>
    <col min="5" max="5" width="9.1640625" bestFit="1" customWidth="1"/>
    <col min="6" max="6" width="7.6640625" bestFit="1" customWidth="1"/>
    <col min="7" max="7" width="18.5" bestFit="1" customWidth="1"/>
    <col min="8" max="8" width="58.5" bestFit="1" customWidth="1"/>
    <col min="9" max="9" width="6.83203125" bestFit="1" customWidth="1"/>
    <col min="10" max="10" width="10.6640625" bestFit="1" customWidth="1"/>
    <col min="11" max="11" width="53.1640625" bestFit="1" customWidth="1"/>
    <col min="12" max="12" width="72.1640625" bestFit="1" customWidth="1"/>
    <col min="13" max="13" width="5.1640625" bestFit="1" customWidth="1"/>
  </cols>
  <sheetData>
    <row r="1" spans="1:13" ht="24">
      <c r="A1" s="483" t="s">
        <v>6622</v>
      </c>
      <c r="B1" s="483"/>
      <c r="C1" s="483"/>
      <c r="D1" s="483"/>
      <c r="E1" s="483"/>
      <c r="F1" s="483"/>
      <c r="G1" s="483"/>
      <c r="H1" s="483"/>
      <c r="I1" s="483"/>
      <c r="J1" s="483"/>
      <c r="K1" s="483"/>
      <c r="L1" s="483"/>
      <c r="M1" s="483"/>
    </row>
    <row r="2" spans="1:13">
      <c r="A2" s="484" t="s">
        <v>6623</v>
      </c>
      <c r="B2" s="484"/>
      <c r="C2" s="484"/>
      <c r="D2" s="484"/>
      <c r="E2" s="484"/>
      <c r="F2" s="484"/>
      <c r="G2" s="484"/>
      <c r="H2" s="484"/>
      <c r="I2" s="484"/>
      <c r="J2" s="484"/>
      <c r="K2" s="484"/>
      <c r="L2" s="484"/>
      <c r="M2" s="484"/>
    </row>
    <row r="4" spans="1:13">
      <c r="A4" s="368" t="s">
        <v>6271</v>
      </c>
      <c r="B4" s="368" t="s">
        <v>2</v>
      </c>
      <c r="C4" s="368" t="s">
        <v>6272</v>
      </c>
      <c r="D4" s="368" t="s">
        <v>4</v>
      </c>
      <c r="E4" s="368" t="s">
        <v>5</v>
      </c>
      <c r="F4" s="368" t="s">
        <v>6273</v>
      </c>
      <c r="G4" s="368" t="s">
        <v>6214</v>
      </c>
      <c r="H4" s="368" t="s">
        <v>15</v>
      </c>
      <c r="I4" s="368" t="s">
        <v>6274</v>
      </c>
      <c r="J4" s="368" t="s">
        <v>6199</v>
      </c>
      <c r="K4" s="368" t="s">
        <v>6319</v>
      </c>
      <c r="L4" s="368" t="s">
        <v>6522</v>
      </c>
      <c r="M4" s="368" t="s">
        <v>6224</v>
      </c>
    </row>
    <row r="5" spans="1:13">
      <c r="A5" s="369" t="s">
        <v>1276</v>
      </c>
      <c r="B5" s="369" t="s">
        <v>20</v>
      </c>
      <c r="C5" s="369" t="s">
        <v>330</v>
      </c>
      <c r="D5" s="370">
        <v>550000</v>
      </c>
      <c r="E5" s="371">
        <v>45.3</v>
      </c>
      <c r="F5" s="372">
        <v>12140</v>
      </c>
      <c r="G5" s="369" t="s">
        <v>6212</v>
      </c>
      <c r="H5" s="369" t="s">
        <v>6334</v>
      </c>
      <c r="I5" s="369">
        <v>2023</v>
      </c>
      <c r="J5" s="369" t="s">
        <v>6277</v>
      </c>
      <c r="K5" s="369" t="s">
        <v>6535</v>
      </c>
      <c r="L5" s="369" t="s">
        <v>6534</v>
      </c>
      <c r="M5" s="369">
        <v>2020</v>
      </c>
    </row>
    <row r="6" spans="1:13">
      <c r="A6" t="s">
        <v>1504</v>
      </c>
      <c r="B6" t="s">
        <v>20</v>
      </c>
      <c r="C6" t="s">
        <v>1418</v>
      </c>
      <c r="D6" s="304">
        <v>780000</v>
      </c>
      <c r="E6" s="68">
        <v>87.85</v>
      </c>
      <c r="F6" s="302">
        <v>8879</v>
      </c>
      <c r="G6" t="s">
        <v>26</v>
      </c>
      <c r="H6" t="s">
        <v>1507</v>
      </c>
      <c r="I6">
        <v>2023</v>
      </c>
      <c r="J6" t="s">
        <v>6277</v>
      </c>
      <c r="K6" t="s">
        <v>6535</v>
      </c>
      <c r="L6" t="s">
        <v>6536</v>
      </c>
      <c r="M6">
        <v>2020</v>
      </c>
    </row>
    <row r="7" spans="1:13">
      <c r="A7" s="369" t="s">
        <v>1453</v>
      </c>
      <c r="B7" s="369" t="s">
        <v>678</v>
      </c>
      <c r="C7" s="369" t="s">
        <v>170</v>
      </c>
      <c r="D7" s="370">
        <v>400000</v>
      </c>
      <c r="E7" s="371">
        <v>93.33</v>
      </c>
      <c r="F7" s="372">
        <v>4286</v>
      </c>
      <c r="G7" s="369" t="s">
        <v>26</v>
      </c>
      <c r="H7" s="369" t="s">
        <v>1456</v>
      </c>
      <c r="I7" s="369">
        <v>1945</v>
      </c>
      <c r="J7" s="369" t="s">
        <v>6275</v>
      </c>
      <c r="K7" s="369" t="s">
        <v>6537</v>
      </c>
      <c r="L7" s="369" t="s">
        <v>6538</v>
      </c>
      <c r="M7" s="369">
        <v>2020</v>
      </c>
    </row>
    <row r="8" spans="1:13">
      <c r="A8" t="s">
        <v>901</v>
      </c>
      <c r="B8" t="s">
        <v>20</v>
      </c>
      <c r="C8" t="s">
        <v>450</v>
      </c>
      <c r="D8" s="304">
        <v>1340000</v>
      </c>
      <c r="E8" s="68">
        <v>517.97</v>
      </c>
      <c r="F8" s="302">
        <v>2587</v>
      </c>
      <c r="G8" t="s">
        <v>26</v>
      </c>
      <c r="H8" t="s">
        <v>6530</v>
      </c>
      <c r="I8">
        <v>2007</v>
      </c>
      <c r="J8" t="s">
        <v>6276</v>
      </c>
      <c r="K8" t="s">
        <v>6509</v>
      </c>
      <c r="L8" t="s">
        <v>6539</v>
      </c>
      <c r="M8">
        <v>2020</v>
      </c>
    </row>
    <row r="9" spans="1:13">
      <c r="A9" s="369" t="s">
        <v>1459</v>
      </c>
      <c r="B9" s="369" t="s">
        <v>20</v>
      </c>
      <c r="C9" s="369" t="s">
        <v>450</v>
      </c>
      <c r="D9" s="370">
        <v>1340000</v>
      </c>
      <c r="E9" s="371">
        <v>623.26</v>
      </c>
      <c r="F9" s="372">
        <v>2150</v>
      </c>
      <c r="G9" s="369" t="s">
        <v>26</v>
      </c>
      <c r="H9" s="369" t="s">
        <v>6531</v>
      </c>
      <c r="I9" s="369">
        <v>2007</v>
      </c>
      <c r="J9" s="369" t="s">
        <v>6276</v>
      </c>
      <c r="K9" s="369" t="s">
        <v>6509</v>
      </c>
      <c r="L9" s="369" t="s">
        <v>6540</v>
      </c>
      <c r="M9" s="369">
        <v>2020</v>
      </c>
    </row>
    <row r="10" spans="1:13">
      <c r="A10" t="s">
        <v>836</v>
      </c>
      <c r="B10" t="s">
        <v>678</v>
      </c>
      <c r="C10" t="s">
        <v>686</v>
      </c>
      <c r="D10" s="304">
        <v>2450000</v>
      </c>
      <c r="E10" s="68">
        <v>714.7</v>
      </c>
      <c r="F10" s="302">
        <v>3428</v>
      </c>
      <c r="G10" t="s">
        <v>26</v>
      </c>
      <c r="H10" t="s">
        <v>6342</v>
      </c>
      <c r="I10">
        <v>1989</v>
      </c>
      <c r="J10" t="s">
        <v>6275</v>
      </c>
      <c r="K10" t="s">
        <v>6542</v>
      </c>
      <c r="L10" t="s">
        <v>6541</v>
      </c>
      <c r="M10">
        <v>2020</v>
      </c>
    </row>
    <row r="11" spans="1:13">
      <c r="A11" s="369" t="s">
        <v>528</v>
      </c>
      <c r="B11" s="369" t="s">
        <v>33</v>
      </c>
      <c r="C11" s="369" t="s">
        <v>170</v>
      </c>
      <c r="D11" s="370">
        <v>5300000</v>
      </c>
      <c r="E11" s="371">
        <v>903.82</v>
      </c>
      <c r="F11" s="372">
        <v>5864</v>
      </c>
      <c r="G11" s="369" t="s">
        <v>26</v>
      </c>
      <c r="H11" s="369" t="s">
        <v>6343</v>
      </c>
      <c r="I11" s="369">
        <v>2021</v>
      </c>
      <c r="J11" s="369" t="s">
        <v>6277</v>
      </c>
      <c r="K11" s="369" t="s">
        <v>6543</v>
      </c>
      <c r="L11" s="369" t="s">
        <v>6544</v>
      </c>
      <c r="M11" s="369">
        <v>2020</v>
      </c>
    </row>
    <row r="12" spans="1:13">
      <c r="A12" t="s">
        <v>1422</v>
      </c>
      <c r="B12" t="s">
        <v>33</v>
      </c>
      <c r="C12" t="s">
        <v>90</v>
      </c>
      <c r="D12" s="304">
        <v>243300</v>
      </c>
      <c r="E12" s="68">
        <v>45.66</v>
      </c>
      <c r="F12" s="302">
        <v>5328</v>
      </c>
      <c r="G12" t="s">
        <v>26</v>
      </c>
      <c r="H12" t="s">
        <v>6359</v>
      </c>
      <c r="I12">
        <v>1971</v>
      </c>
      <c r="J12" t="s">
        <v>6275</v>
      </c>
      <c r="K12" t="s">
        <v>6511</v>
      </c>
      <c r="L12" t="s">
        <v>6545</v>
      </c>
      <c r="M12">
        <v>2021</v>
      </c>
    </row>
    <row r="13" spans="1:13">
      <c r="A13" s="369" t="s">
        <v>192</v>
      </c>
      <c r="B13" s="369" t="s">
        <v>33</v>
      </c>
      <c r="C13" s="369" t="s">
        <v>21</v>
      </c>
      <c r="D13" s="370">
        <v>3000000</v>
      </c>
      <c r="E13" s="371">
        <v>62.14</v>
      </c>
      <c r="F13" s="372">
        <v>48279</v>
      </c>
      <c r="G13" s="369" t="s">
        <v>1519</v>
      </c>
      <c r="H13" s="369" t="s">
        <v>6376</v>
      </c>
      <c r="I13" s="369">
        <v>2008</v>
      </c>
      <c r="J13" s="369" t="s">
        <v>6276</v>
      </c>
      <c r="K13" s="369" t="s">
        <v>6510</v>
      </c>
      <c r="L13" s="369" t="s">
        <v>6546</v>
      </c>
      <c r="M13" s="369">
        <v>2021</v>
      </c>
    </row>
    <row r="14" spans="1:13">
      <c r="A14" t="s">
        <v>1136</v>
      </c>
      <c r="B14" t="s">
        <v>184</v>
      </c>
      <c r="C14" t="s">
        <v>925</v>
      </c>
      <c r="D14" s="304">
        <v>545000</v>
      </c>
      <c r="E14" s="68">
        <v>72.86</v>
      </c>
      <c r="F14" s="302">
        <v>7480</v>
      </c>
      <c r="G14" t="s">
        <v>26</v>
      </c>
      <c r="H14" t="s">
        <v>6366</v>
      </c>
      <c r="I14">
        <v>2001</v>
      </c>
      <c r="J14" t="s">
        <v>6276</v>
      </c>
      <c r="K14" t="s">
        <v>6511</v>
      </c>
      <c r="L14" t="s">
        <v>6547</v>
      </c>
      <c r="M14">
        <v>2021</v>
      </c>
    </row>
    <row r="15" spans="1:13">
      <c r="A15" s="369" t="s">
        <v>230</v>
      </c>
      <c r="B15" s="369" t="s">
        <v>33</v>
      </c>
      <c r="C15" s="369" t="s">
        <v>231</v>
      </c>
      <c r="D15" s="370">
        <v>1900000</v>
      </c>
      <c r="E15" s="371">
        <v>82.69</v>
      </c>
      <c r="F15" s="372">
        <v>22977</v>
      </c>
      <c r="G15" s="369" t="s">
        <v>1519</v>
      </c>
      <c r="H15" s="369" t="s">
        <v>236</v>
      </c>
      <c r="I15" s="369">
        <v>2022</v>
      </c>
      <c r="J15" s="369" t="s">
        <v>6277</v>
      </c>
      <c r="K15" s="369" t="s">
        <v>6620</v>
      </c>
      <c r="L15" s="369" t="s">
        <v>6549</v>
      </c>
      <c r="M15" s="369">
        <v>2021</v>
      </c>
    </row>
    <row r="16" spans="1:13">
      <c r="A16" t="s">
        <v>670</v>
      </c>
      <c r="B16" t="s">
        <v>33</v>
      </c>
      <c r="C16" t="s">
        <v>223</v>
      </c>
      <c r="D16" s="304">
        <v>428300</v>
      </c>
      <c r="E16" s="68">
        <v>96.1</v>
      </c>
      <c r="F16" s="302">
        <v>4457</v>
      </c>
      <c r="G16" t="s">
        <v>26</v>
      </c>
      <c r="H16" t="s">
        <v>6363</v>
      </c>
      <c r="I16">
        <v>1967</v>
      </c>
      <c r="J16" t="s">
        <v>6275</v>
      </c>
      <c r="K16" t="s">
        <v>6529</v>
      </c>
      <c r="L16" t="s">
        <v>6550</v>
      </c>
      <c r="M16">
        <v>2021</v>
      </c>
    </row>
    <row r="17" spans="1:13">
      <c r="A17" s="369" t="s">
        <v>906</v>
      </c>
      <c r="B17" s="369" t="s">
        <v>20</v>
      </c>
      <c r="C17" s="369" t="s">
        <v>207</v>
      </c>
      <c r="D17" s="370">
        <v>2853400</v>
      </c>
      <c r="E17" s="371">
        <v>686.74</v>
      </c>
      <c r="F17" s="372">
        <v>4155</v>
      </c>
      <c r="G17" s="369" t="s">
        <v>26</v>
      </c>
      <c r="H17" s="369" t="s">
        <v>6375</v>
      </c>
      <c r="I17" s="369">
        <v>2020</v>
      </c>
      <c r="J17" s="369" t="s">
        <v>6277</v>
      </c>
      <c r="K17" s="369" t="s">
        <v>6512</v>
      </c>
      <c r="L17" s="369" t="s">
        <v>6553</v>
      </c>
      <c r="M17" s="369">
        <v>2021</v>
      </c>
    </row>
    <row r="18" spans="1:13">
      <c r="A18" t="s">
        <v>6551</v>
      </c>
      <c r="B18" t="s">
        <v>33</v>
      </c>
      <c r="C18" t="s">
        <v>223</v>
      </c>
      <c r="D18" s="304">
        <v>15500000</v>
      </c>
      <c r="E18" s="68">
        <v>1500.34</v>
      </c>
      <c r="F18" s="302">
        <v>10331</v>
      </c>
      <c r="G18" t="s">
        <v>6212</v>
      </c>
      <c r="H18" t="s">
        <v>6381</v>
      </c>
      <c r="I18">
        <v>2024</v>
      </c>
      <c r="J18" t="s">
        <v>6277</v>
      </c>
      <c r="K18" t="s">
        <v>6513</v>
      </c>
      <c r="L18" t="s">
        <v>6552</v>
      </c>
      <c r="M18">
        <v>2021</v>
      </c>
    </row>
    <row r="19" spans="1:13">
      <c r="A19" s="369" t="s">
        <v>663</v>
      </c>
      <c r="B19" s="369" t="s">
        <v>33</v>
      </c>
      <c r="C19" s="369" t="s">
        <v>133</v>
      </c>
      <c r="D19" s="370">
        <v>4411500</v>
      </c>
      <c r="E19" s="371">
        <v>83.65</v>
      </c>
      <c r="F19" s="372">
        <v>52735</v>
      </c>
      <c r="G19" s="369" t="s">
        <v>1519</v>
      </c>
      <c r="H19" s="369" t="s">
        <v>6433</v>
      </c>
      <c r="I19" s="369">
        <v>1960</v>
      </c>
      <c r="J19" s="369" t="s">
        <v>6275</v>
      </c>
      <c r="K19" s="369" t="s">
        <v>6567</v>
      </c>
      <c r="L19" s="369" t="s">
        <v>6554</v>
      </c>
      <c r="M19" s="369">
        <v>2022</v>
      </c>
    </row>
    <row r="20" spans="1:13">
      <c r="A20" t="s">
        <v>1204</v>
      </c>
      <c r="B20" t="s">
        <v>20</v>
      </c>
      <c r="C20" t="s">
        <v>253</v>
      </c>
      <c r="D20" s="304">
        <v>3735000</v>
      </c>
      <c r="E20" s="68">
        <v>647.09</v>
      </c>
      <c r="F20" s="302">
        <v>5772</v>
      </c>
      <c r="G20" t="s">
        <v>1519</v>
      </c>
      <c r="H20" t="s">
        <v>1207</v>
      </c>
      <c r="I20">
        <v>2004</v>
      </c>
      <c r="J20" t="s">
        <v>6276</v>
      </c>
      <c r="L20" t="s">
        <v>6555</v>
      </c>
      <c r="M20">
        <v>2022</v>
      </c>
    </row>
    <row r="21" spans="1:13">
      <c r="A21" s="369" t="s">
        <v>1355</v>
      </c>
      <c r="B21" s="369" t="s">
        <v>20</v>
      </c>
      <c r="C21" s="369" t="s">
        <v>253</v>
      </c>
      <c r="D21" s="370">
        <v>3735000</v>
      </c>
      <c r="E21" s="371">
        <v>772.01</v>
      </c>
      <c r="F21" s="372">
        <v>4838</v>
      </c>
      <c r="G21" s="369" t="s">
        <v>26</v>
      </c>
      <c r="H21" s="369" t="s">
        <v>1357</v>
      </c>
      <c r="I21" s="369">
        <v>2009</v>
      </c>
      <c r="J21" s="369" t="s">
        <v>6276</v>
      </c>
      <c r="K21" s="369"/>
      <c r="L21" s="369" t="s">
        <v>6556</v>
      </c>
      <c r="M21" s="369">
        <v>2022</v>
      </c>
    </row>
    <row r="22" spans="1:13">
      <c r="A22" t="s">
        <v>553</v>
      </c>
      <c r="B22" t="s">
        <v>33</v>
      </c>
      <c r="C22" t="s">
        <v>554</v>
      </c>
      <c r="D22" s="304">
        <v>4900000</v>
      </c>
      <c r="E22" s="68">
        <v>850.69</v>
      </c>
      <c r="F22" s="302">
        <v>5760</v>
      </c>
      <c r="G22" t="s">
        <v>26</v>
      </c>
      <c r="H22" t="s">
        <v>6435</v>
      </c>
      <c r="I22">
        <v>1971</v>
      </c>
      <c r="J22" t="s">
        <v>6275</v>
      </c>
      <c r="K22" t="s">
        <v>6517</v>
      </c>
      <c r="L22" t="s">
        <v>6557</v>
      </c>
      <c r="M22">
        <v>2022</v>
      </c>
    </row>
    <row r="23" spans="1:13">
      <c r="A23" s="369" t="s">
        <v>1013</v>
      </c>
      <c r="B23" s="369" t="s">
        <v>20</v>
      </c>
      <c r="C23" s="369" t="s">
        <v>293</v>
      </c>
      <c r="D23" s="370">
        <v>3889000</v>
      </c>
      <c r="E23" s="371">
        <v>136.43</v>
      </c>
      <c r="F23" s="372">
        <v>28506</v>
      </c>
      <c r="G23" s="369" t="s">
        <v>6212</v>
      </c>
      <c r="H23" s="369" t="s">
        <v>6206</v>
      </c>
      <c r="I23" s="369">
        <v>2024</v>
      </c>
      <c r="J23" s="369" t="s">
        <v>6277</v>
      </c>
      <c r="K23" s="369" t="s">
        <v>6527</v>
      </c>
      <c r="L23" s="369" t="s">
        <v>6559</v>
      </c>
      <c r="M23" s="369">
        <v>2023</v>
      </c>
    </row>
    <row r="24" spans="1:13">
      <c r="A24" t="s">
        <v>435</v>
      </c>
      <c r="B24" t="s">
        <v>33</v>
      </c>
      <c r="C24" t="s">
        <v>436</v>
      </c>
      <c r="D24" s="304">
        <v>3000000</v>
      </c>
      <c r="E24" s="68">
        <v>713.44</v>
      </c>
      <c r="F24" s="302">
        <v>4205</v>
      </c>
      <c r="G24" t="s">
        <v>26</v>
      </c>
      <c r="H24" t="s">
        <v>6466</v>
      </c>
      <c r="I24">
        <v>2007</v>
      </c>
      <c r="J24" t="s">
        <v>6276</v>
      </c>
      <c r="L24" t="s">
        <v>6558</v>
      </c>
      <c r="M24">
        <v>2023</v>
      </c>
    </row>
    <row r="25" spans="1:13">
      <c r="A25" s="369" t="s">
        <v>1567</v>
      </c>
      <c r="B25" s="369" t="s">
        <v>33</v>
      </c>
      <c r="C25" s="369" t="s">
        <v>709</v>
      </c>
      <c r="D25" s="370">
        <v>3200000</v>
      </c>
      <c r="E25" s="371">
        <v>119.7</v>
      </c>
      <c r="F25" s="372">
        <v>26734</v>
      </c>
      <c r="G25" s="369" t="s">
        <v>1519</v>
      </c>
      <c r="H25" s="369" t="s">
        <v>6614</v>
      </c>
      <c r="I25" s="369">
        <v>1958</v>
      </c>
      <c r="J25" s="369" t="s">
        <v>6275</v>
      </c>
      <c r="K25" s="369" t="s">
        <v>6521</v>
      </c>
      <c r="L25" s="369" t="s">
        <v>6560</v>
      </c>
      <c r="M25" s="369">
        <v>2024</v>
      </c>
    </row>
    <row r="26" spans="1:13">
      <c r="A26" t="s">
        <v>937</v>
      </c>
      <c r="B26" t="s">
        <v>20</v>
      </c>
      <c r="C26" t="s">
        <v>877</v>
      </c>
      <c r="D26" s="304">
        <v>4225000</v>
      </c>
      <c r="E26" s="68">
        <v>479.57</v>
      </c>
      <c r="F26" s="302">
        <v>8810</v>
      </c>
      <c r="G26" t="s">
        <v>26</v>
      </c>
      <c r="H26" t="s">
        <v>940</v>
      </c>
      <c r="I26">
        <v>2005</v>
      </c>
      <c r="J26" t="s">
        <v>6276</v>
      </c>
      <c r="K26" t="s">
        <v>6509</v>
      </c>
      <c r="L26" t="s">
        <v>6561</v>
      </c>
      <c r="M26">
        <v>2024</v>
      </c>
    </row>
    <row r="27" spans="1:13">
      <c r="A27" s="369" t="s">
        <v>284</v>
      </c>
      <c r="B27" s="369" t="s">
        <v>33</v>
      </c>
      <c r="C27" s="369" t="s">
        <v>285</v>
      </c>
      <c r="D27" s="370">
        <v>3500000</v>
      </c>
      <c r="E27" s="371">
        <v>591.02</v>
      </c>
      <c r="F27" s="372">
        <v>5922</v>
      </c>
      <c r="G27" s="369" t="s">
        <v>6212</v>
      </c>
      <c r="H27" s="369" t="s">
        <v>6520</v>
      </c>
      <c r="I27" s="369">
        <v>2023</v>
      </c>
      <c r="J27" s="369" t="s">
        <v>6277</v>
      </c>
      <c r="K27" s="369" t="s">
        <v>6569</v>
      </c>
      <c r="L27" s="369" t="s">
        <v>6562</v>
      </c>
      <c r="M27" s="369">
        <v>2024</v>
      </c>
    </row>
    <row r="28" spans="1:13">
      <c r="A28" t="s">
        <v>2383</v>
      </c>
      <c r="B28" t="s">
        <v>33</v>
      </c>
      <c r="C28" t="s">
        <v>745</v>
      </c>
      <c r="D28" s="304">
        <v>830900</v>
      </c>
      <c r="E28" s="68">
        <v>136.21</v>
      </c>
      <c r="F28" s="302">
        <v>6100</v>
      </c>
      <c r="G28" t="s">
        <v>26</v>
      </c>
      <c r="H28" t="s">
        <v>2386</v>
      </c>
      <c r="I28">
        <v>2024</v>
      </c>
      <c r="J28" t="s">
        <v>6277</v>
      </c>
      <c r="K28" t="s">
        <v>6525</v>
      </c>
      <c r="L28" t="s">
        <v>6563</v>
      </c>
      <c r="M28">
        <v>2025</v>
      </c>
    </row>
    <row r="29" spans="1:13">
      <c r="A29" s="369" t="s">
        <v>481</v>
      </c>
      <c r="B29" s="369" t="s">
        <v>33</v>
      </c>
      <c r="C29" s="369" t="s">
        <v>260</v>
      </c>
      <c r="D29" s="370">
        <v>3200000</v>
      </c>
      <c r="E29" s="371">
        <v>147.51</v>
      </c>
      <c r="F29" s="372">
        <v>21694</v>
      </c>
      <c r="G29" s="369" t="s">
        <v>26</v>
      </c>
      <c r="H29" s="369" t="s">
        <v>6583</v>
      </c>
      <c r="I29" s="369">
        <v>1978</v>
      </c>
      <c r="J29" s="369" t="s">
        <v>6275</v>
      </c>
      <c r="K29" s="369" t="s">
        <v>6570</v>
      </c>
      <c r="L29" s="369" t="s">
        <v>487</v>
      </c>
      <c r="M29" s="369">
        <v>2025</v>
      </c>
    </row>
    <row r="30" spans="1:13">
      <c r="A30" t="s">
        <v>98</v>
      </c>
      <c r="B30" t="s">
        <v>33</v>
      </c>
      <c r="C30" t="s">
        <v>55</v>
      </c>
      <c r="D30" s="304">
        <v>6850000</v>
      </c>
      <c r="E30" s="68">
        <v>155.79</v>
      </c>
      <c r="F30" s="302">
        <v>43969</v>
      </c>
      <c r="G30" t="s">
        <v>1519</v>
      </c>
      <c r="H30" t="s">
        <v>104</v>
      </c>
      <c r="I30">
        <v>2008</v>
      </c>
      <c r="J30" t="s">
        <v>6276</v>
      </c>
      <c r="K30" t="s">
        <v>6526</v>
      </c>
      <c r="L30" t="s">
        <v>6564</v>
      </c>
      <c r="M30">
        <v>2025</v>
      </c>
    </row>
    <row r="31" spans="1:13">
      <c r="A31" s="369" t="s">
        <v>54</v>
      </c>
      <c r="B31" s="369" t="s">
        <v>33</v>
      </c>
      <c r="C31" s="369" t="s">
        <v>55</v>
      </c>
      <c r="D31" s="370">
        <v>3200000</v>
      </c>
      <c r="E31" s="371">
        <v>893.85</v>
      </c>
      <c r="F31" s="372">
        <v>3580</v>
      </c>
      <c r="G31" s="369" t="s">
        <v>26</v>
      </c>
      <c r="H31" s="369" t="s">
        <v>6571</v>
      </c>
      <c r="I31" s="369">
        <v>1983</v>
      </c>
      <c r="J31" s="369" t="s">
        <v>6275</v>
      </c>
      <c r="K31" s="369" t="s">
        <v>6542</v>
      </c>
      <c r="L31" s="369" t="s">
        <v>6565</v>
      </c>
      <c r="M31" s="369">
        <v>2025</v>
      </c>
    </row>
    <row r="32" spans="1:13">
      <c r="A32" t="s">
        <v>259</v>
      </c>
      <c r="B32" t="s">
        <v>33</v>
      </c>
      <c r="C32" t="s">
        <v>260</v>
      </c>
      <c r="D32" s="304">
        <v>3473802</v>
      </c>
      <c r="E32" s="68">
        <v>915.12</v>
      </c>
      <c r="F32" s="302">
        <v>3796</v>
      </c>
      <c r="G32" t="s">
        <v>26</v>
      </c>
      <c r="H32" t="s">
        <v>264</v>
      </c>
      <c r="I32">
        <v>2017</v>
      </c>
      <c r="J32" t="s">
        <v>6277</v>
      </c>
      <c r="K32" t="s">
        <v>6542</v>
      </c>
      <c r="L32" t="s">
        <v>6566</v>
      </c>
      <c r="M32">
        <v>2025</v>
      </c>
    </row>
    <row r="33" spans="1:13">
      <c r="A33" s="369" t="s">
        <v>1668</v>
      </c>
      <c r="B33" s="369" t="s">
        <v>33</v>
      </c>
      <c r="C33" s="369" t="s">
        <v>658</v>
      </c>
      <c r="D33" s="370">
        <v>2097400</v>
      </c>
      <c r="E33" s="371">
        <v>1048.7</v>
      </c>
      <c r="F33" s="372">
        <v>2000</v>
      </c>
      <c r="G33" s="369" t="s">
        <v>26</v>
      </c>
      <c r="H33" s="369" t="s">
        <v>6613</v>
      </c>
      <c r="I33" s="369">
        <v>1973</v>
      </c>
      <c r="J33" s="369" t="s">
        <v>6275</v>
      </c>
      <c r="K33" s="369" t="s">
        <v>6542</v>
      </c>
      <c r="L33" s="369" t="s">
        <v>1673</v>
      </c>
      <c r="M33" s="369">
        <v>2025</v>
      </c>
    </row>
    <row r="35" spans="1:13">
      <c r="A35" s="373" t="s">
        <v>6624</v>
      </c>
      <c r="B35" s="374">
        <f>COUNTA(A5:A33)</f>
        <v>29</v>
      </c>
    </row>
  </sheetData>
  <mergeCells count="2">
    <mergeCell ref="A1:M1"/>
    <mergeCell ref="A2:M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782F6-451A-4C4E-9412-90378A74294C}">
  <dimension ref="A1:O137"/>
  <sheetViews>
    <sheetView workbookViewId="0">
      <pane ySplit="2" topLeftCell="A90" activePane="bottomLeft" state="frozen"/>
      <selection pane="bottomLeft" activeCell="E98" sqref="E98"/>
    </sheetView>
  </sheetViews>
  <sheetFormatPr baseColWidth="10" defaultRowHeight="16" outlineLevelCol="1"/>
  <cols>
    <col min="1" max="1" width="46.6640625" customWidth="1"/>
    <col min="2" max="7" width="17.5" customWidth="1"/>
    <col min="8" max="8" width="50.5" bestFit="1" customWidth="1"/>
    <col min="9" max="10" width="17.5" customWidth="1"/>
    <col min="11" max="12" width="13.33203125" customWidth="1"/>
    <col min="13" max="15" width="10.83203125" outlineLevel="1"/>
  </cols>
  <sheetData>
    <row r="1" spans="1:15" ht="24">
      <c r="A1" s="53" t="s">
        <v>6252</v>
      </c>
      <c r="B1" s="72"/>
      <c r="C1" s="72"/>
      <c r="D1" s="72"/>
      <c r="E1" s="72"/>
      <c r="F1" s="72"/>
      <c r="G1" s="72"/>
      <c r="H1" s="72"/>
      <c r="I1" s="72"/>
      <c r="J1" s="72"/>
      <c r="K1" s="59"/>
      <c r="L1" s="59"/>
      <c r="M1" s="59"/>
      <c r="N1" s="59"/>
      <c r="O1" s="59"/>
    </row>
    <row r="2" spans="1:15">
      <c r="A2" s="54" t="s">
        <v>6253</v>
      </c>
      <c r="B2" s="59"/>
      <c r="C2" s="59"/>
      <c r="D2" s="59"/>
      <c r="E2" s="59"/>
      <c r="F2" s="59"/>
      <c r="G2" s="59"/>
      <c r="H2" s="59"/>
      <c r="I2" s="59"/>
      <c r="J2" s="59"/>
      <c r="K2" s="59"/>
      <c r="L2" s="59"/>
      <c r="M2" s="59"/>
      <c r="N2" s="59"/>
      <c r="O2" s="59"/>
    </row>
    <row r="3" spans="1:15">
      <c r="A3" s="59"/>
      <c r="B3" s="59"/>
      <c r="C3" s="59"/>
      <c r="D3" s="59"/>
      <c r="E3" s="59"/>
      <c r="F3" s="59"/>
      <c r="G3" s="59"/>
      <c r="H3" s="59"/>
      <c r="I3" s="59"/>
      <c r="J3" s="59"/>
      <c r="K3" s="59"/>
      <c r="L3" s="59"/>
      <c r="M3" s="59"/>
      <c r="N3" s="59"/>
      <c r="O3" s="59"/>
    </row>
    <row r="4" spans="1:15" ht="19">
      <c r="A4" s="55" t="s">
        <v>6254</v>
      </c>
      <c r="B4" s="73"/>
      <c r="C4" s="73"/>
      <c r="D4" s="73"/>
      <c r="E4" s="73"/>
      <c r="F4" s="73"/>
      <c r="G4" s="73"/>
      <c r="H4" s="73"/>
      <c r="I4" s="73"/>
      <c r="J4" s="73"/>
      <c r="K4" s="59"/>
      <c r="L4" s="59"/>
      <c r="M4" s="71" t="s">
        <v>6214</v>
      </c>
      <c r="N4" s="71" t="s">
        <v>6215</v>
      </c>
      <c r="O4" s="71"/>
    </row>
    <row r="5" spans="1:15">
      <c r="A5" s="136" t="s">
        <v>6214</v>
      </c>
      <c r="B5" s="132" t="s">
        <v>6215</v>
      </c>
      <c r="C5" s="132" t="s">
        <v>6216</v>
      </c>
      <c r="D5" s="132" t="s">
        <v>6217</v>
      </c>
      <c r="E5" s="132" t="s">
        <v>6218</v>
      </c>
      <c r="F5" s="132" t="s">
        <v>6219</v>
      </c>
      <c r="G5" s="132" t="s">
        <v>6220</v>
      </c>
      <c r="H5" s="132" t="s">
        <v>6221</v>
      </c>
      <c r="I5" s="132" t="s">
        <v>6230</v>
      </c>
      <c r="J5" s="139" t="s">
        <v>6231</v>
      </c>
      <c r="K5" s="59"/>
      <c r="L5" s="59"/>
      <c r="M5" s="99" t="s">
        <v>26</v>
      </c>
      <c r="N5" s="100">
        <f>B6</f>
        <v>6</v>
      </c>
      <c r="O5" s="101"/>
    </row>
    <row r="6" spans="1:15">
      <c r="A6" s="137" t="s">
        <v>26</v>
      </c>
      <c r="B6" s="117" cm="1">
        <f t="array" ref="B6">SUMPRODUCT(('Medical Sales'!N3:N196="Medical")*(LEFT('Medical Sales'!D3:D196,4)="2020")*('Medical Sales'!U3:U196&lt;&gt;"Yes"))</f>
        <v>6</v>
      </c>
      <c r="C6" s="118" cm="1">
        <f t="array" ref="C6">SUMPRODUCT(('Medical Sales'!N3:N196="Medical")*(LEFT('Medical Sales'!D3:D196,4)="2020")*('Medical Sales'!U3:U196&lt;&gt;"Yes")*('Medical Sales'!E3:E196))</f>
        <v>11610000</v>
      </c>
      <c r="D6" s="118">
        <f>IF(B6=0,"-",C6/B6)</f>
        <v>1935000</v>
      </c>
      <c r="E6" s="118" cm="1">
        <f t="array" ref="E6">MEDIAN(IF(('Medical Sales'!N3:N196="Medical")*(LEFT('Medical Sales'!D3:D196,4)="2020")*('Medical Sales'!U3:U196&lt;&gt;"Yes"),'Medical Sales'!E3:E196))</f>
        <v>1340000</v>
      </c>
      <c r="F6" s="119" cm="1">
        <f t="array" ref="F6">IF(B6=0,"-",SUMPRODUCT(('Medical Sales'!N3:N196="Medical")*(LEFT('Medical Sales'!D3:D196,4)="2020")*('Medical Sales'!U3:U196&lt;&gt;"Yes")*('Medical Sales'!F3:F196))/B6)</f>
        <v>490.15458540940432</v>
      </c>
      <c r="G6" s="119" cm="1">
        <f t="array" ref="G6">MEDIAN(IF(('Medical Sales'!N3:N196="Medical")*(LEFT('Medical Sales'!D3:D196,4)="2020")*('Medical Sales'!U3:U196&lt;&gt;"Yes"),'Medical Sales'!F3:F196))</f>
        <v>570.6151508886112</v>
      </c>
      <c r="H6" s="117" cm="1">
        <f t="array" ref="H6">IF(B6=0,"-",SUMPRODUCT(('Medical Sales'!N3:N196="Medical")*(LEFT('Medical Sales'!D3:D196,4)="2020")*('Medical Sales'!U3:U196&lt;&gt;"Yes")*('Medical Sales'!G3:G196))/B6)</f>
        <v>4532.333333333333</v>
      </c>
      <c r="I6" s="118" cm="1">
        <f t="array" ref="I6">MIN(IF(('Medical Sales'!N3:N196="Medical")*(LEFT('Medical Sales'!D3:D196,4)="2020")*('Medical Sales'!U3:U196&lt;&gt;"Yes"),'Medical Sales'!E3:E196))</f>
        <v>400000</v>
      </c>
      <c r="J6" s="140" cm="1">
        <f t="array" ref="J6">MAX(IF(('Medical Sales'!N3:N196="Medical")*(LEFT('Medical Sales'!D3:D196,4)="2020")*('Medical Sales'!U3:U196&lt;&gt;"Yes"),'Medical Sales'!E3:E196))</f>
        <v>5300000</v>
      </c>
      <c r="K6" s="59"/>
      <c r="L6" s="59"/>
      <c r="M6" s="99" t="s">
        <v>6278</v>
      </c>
      <c r="N6" s="100">
        <f>B7</f>
        <v>0</v>
      </c>
      <c r="O6" s="101">
        <f>C7</f>
        <v>0</v>
      </c>
    </row>
    <row r="7" spans="1:15">
      <c r="A7" s="137" t="s">
        <v>1519</v>
      </c>
      <c r="B7" s="117" cm="1">
        <f t="array" ref="B7">SUMPRODUCT(('Medical Sales'!N3:N196="Multi-Tenant Medical")*(LEFT('Medical Sales'!D3:D196,4)="2020")*('Medical Sales'!U3:U196&lt;&gt;"Yes"))</f>
        <v>0</v>
      </c>
      <c r="C7" s="118" cm="1">
        <f t="array" ref="C7">SUMPRODUCT(('Medical Sales'!N3:N196="Multi-Tenant Medical")*(LEFT('Medical Sales'!D3:D196,4)="2020")*('Medical Sales'!U3:U196&lt;&gt;"Yes")*('Medical Sales'!E3:E196))</f>
        <v>0</v>
      </c>
      <c r="D7" s="118" t="str">
        <f>IF(B7=0,"-",C7/B7)</f>
        <v>-</v>
      </c>
      <c r="E7" s="118" t="e" cm="1">
        <f t="array" ref="E7">MEDIAN(IF(('Medical Sales'!N3:N196="Multi-Tenant Medical")*(LEFT('Medical Sales'!D3:D196,4)="2020")*('Medical Sales'!U3:U196&lt;&gt;"Yes"),'Medical Sales'!E3:E196))</f>
        <v>#NUM!</v>
      </c>
      <c r="F7" s="119" t="str" cm="1">
        <f t="array" ref="F7">IF(B7=0,"-",SUMPRODUCT(('Medical Sales'!N3:N196="Multi-Tenant Medical")*(LEFT('Medical Sales'!D3:D196,4)="2020")*('Medical Sales'!U3:U196&lt;&gt;"Yes")*('Medical Sales'!F3:F196))/B7)</f>
        <v>-</v>
      </c>
      <c r="G7" s="119" t="e" cm="1">
        <f t="array" ref="G7">MEDIAN(IF(('Medical Sales'!N3:N196="Multi-Tenant Medical")*(LEFT('Medical Sales'!D3:D196,4)="2020")*('Medical Sales'!U3:U196&lt;&gt;"Yes"),'Medical Sales'!F3:F196))</f>
        <v>#NUM!</v>
      </c>
      <c r="H7" s="117" t="str" cm="1">
        <f t="array" ref="H7">IF(B7=0,"-",SUMPRODUCT(('Medical Sales'!N3:N196="Multi-Tenant Medical")*(LEFT('Medical Sales'!D3:D196,4)="2020")*('Medical Sales'!U3:U196&lt;&gt;"Yes")*('Medical Sales'!G3:G196))/B7)</f>
        <v>-</v>
      </c>
      <c r="I7" s="118" cm="1">
        <f t="array" ref="I7">MIN(IF(('Medical Sales'!N3:N196="Multi-Tenant Medical")*(LEFT('Medical Sales'!D3:D196,4)="2020")*('Medical Sales'!U3:U196&lt;&gt;"Yes"),'Medical Sales'!E3:E196))</f>
        <v>0</v>
      </c>
      <c r="J7" s="140" cm="1">
        <f t="array" ref="J7">MAX(IF(('Medical Sales'!N3:N196="Multi-Tenant Medical")*(LEFT('Medical Sales'!D3:D196,4)="2020")*('Medical Sales'!U3:U196&lt;&gt;"Yes"),'Medical Sales'!E3:E196))</f>
        <v>0</v>
      </c>
      <c r="K7" s="59"/>
      <c r="L7" s="59"/>
      <c r="M7" s="99" t="s">
        <v>6212</v>
      </c>
      <c r="N7" s="100">
        <f>B8</f>
        <v>1</v>
      </c>
      <c r="O7" s="101">
        <f>C8</f>
        <v>550000</v>
      </c>
    </row>
    <row r="8" spans="1:15">
      <c r="A8" s="137" t="s">
        <v>6212</v>
      </c>
      <c r="B8" s="117" cm="1">
        <f t="array" ref="B8">SUMPRODUCT(('Medical Sales'!N3:N196="Hospitals")*(LEFT('Medical Sales'!D3:D196,4)="2020")*('Medical Sales'!U3:U196&lt;&gt;"Yes"))</f>
        <v>1</v>
      </c>
      <c r="C8" s="118" cm="1">
        <f t="array" ref="C8">SUMPRODUCT(('Medical Sales'!N3:N196="Hospitals")*(LEFT('Medical Sales'!D3:D196,4)="2020")*('Medical Sales'!U3:U196&lt;&gt;"Yes")*('Medical Sales'!E3:E196))</f>
        <v>550000</v>
      </c>
      <c r="D8" s="118">
        <f>IF(B8=0,"-",C8/B8)</f>
        <v>550000</v>
      </c>
      <c r="E8" s="118" cm="1">
        <f t="array" ref="E8">IFERROR(MEDIAN(IF(('Medical Sales'!N3:N196="Hospitals")*(LEFT('Medical Sales'!D3:D196,4)="2020")*('Medical Sales'!U3:U196&lt;&gt;"Yes"),'Medical Sales'!E3:E196)),"-")</f>
        <v>550000</v>
      </c>
      <c r="F8" s="119" cm="1">
        <f t="array" ref="F8">IF(B8=0,"-",SUMPRODUCT(('Medical Sales'!N3:N196="Hospitals")*(LEFT('Medical Sales'!D3:D196,4)="2020")*('Medical Sales'!U3:U196&lt;&gt;"Yes")*('Medical Sales'!F3:F196))/B8)</f>
        <v>45.304777594728172</v>
      </c>
      <c r="G8" s="119" cm="1">
        <f t="array" ref="G8">IFERROR(MEDIAN(IF(('Medical Sales'!N3:N196="Hospitals")*(LEFT('Medical Sales'!D3:D196,4)="2020")*('Medical Sales'!U3:U196&lt;&gt;"Yes"),'Medical Sales'!F3:F196)),"-")</f>
        <v>45.304777594728172</v>
      </c>
      <c r="H8" s="117" cm="1">
        <f t="array" ref="H8">IF(B8=0,"-",SUMPRODUCT(('Medical Sales'!N3:N196="Hospitals")*(LEFT('Medical Sales'!D3:D196,4)="2020")*('Medical Sales'!U3:U196&lt;&gt;"Yes")*('Medical Sales'!G3:G196))/B8)</f>
        <v>12140</v>
      </c>
      <c r="I8" s="118" cm="1">
        <f t="array" ref="I8">IFERROR(MIN(IF(('Medical Sales'!N3:N196="Hospitals")*(LEFT('Medical Sales'!D3:D196,4)="2020")*('Medical Sales'!U3:U196&lt;&gt;"Yes"),'Medical Sales'!E3:E196)),"-")</f>
        <v>550000</v>
      </c>
      <c r="J8" s="140" cm="1">
        <f t="array" ref="J8">IFERROR(MAX(IF(('Medical Sales'!N3:N196="Hospitals")*(LEFT('Medical Sales'!D3:D196,4)="2020")*('Medical Sales'!U3:U196&lt;&gt;"Yes"),'Medical Sales'!E3:E196)),"-")</f>
        <v>550000</v>
      </c>
      <c r="K8" s="59"/>
      <c r="L8" s="59"/>
      <c r="M8" s="59"/>
      <c r="N8" s="59"/>
      <c r="O8" s="59"/>
    </row>
    <row r="9" spans="1:15">
      <c r="A9" s="138" t="s">
        <v>6222</v>
      </c>
      <c r="B9" s="133">
        <f>SUM(B6:B8)</f>
        <v>7</v>
      </c>
      <c r="C9" s="134">
        <f>SUM(C6:C8)</f>
        <v>12160000</v>
      </c>
      <c r="D9" s="134">
        <f>IF(B9=0,"-",C9/B9)</f>
        <v>1737142.857142857</v>
      </c>
      <c r="E9" s="134" cm="1">
        <f t="array" ref="E9">MEDIAN(IF((LEFT('Medical Sales'!D3:D196,4)="2020")*('Medical Sales'!U3:U196&lt;&gt;"Yes"),'Medical Sales'!E3:E196))</f>
        <v>1340000</v>
      </c>
      <c r="F9" s="135" cm="1">
        <f t="array" ref="F9">IF(B9=0,"-",SUMPRODUCT((LEFT('Medical Sales'!D3:D196,4)="2020")*('Medical Sales'!U3:U196&lt;&gt;"Yes")*('Medical Sales'!F3:F196))/SUMPRODUCT((LEFT('Medical Sales'!D3:D196,4)="2020")*('Medical Sales'!U3:U196&lt;&gt;"Yes")*('Medical Sales'!F3:F196&lt;&gt;0)*1))</f>
        <v>426.60461286445064</v>
      </c>
      <c r="G9" s="135" cm="1">
        <f t="array" ref="G9">MEDIAN(IF((LEFT('Medical Sales'!D3:D196,4)="2020")*('Medical Sales'!U3:U196&lt;&gt;"Yes"),'Medical Sales'!F3:F196))</f>
        <v>517.97448782373408</v>
      </c>
      <c r="H9" s="133" cm="1">
        <f t="array" ref="H9">IF(B9=0,"-",SUMPRODUCT((LEFT('Medical Sales'!D3:D196,4)="2020")*('Medical Sales'!U3:U196&lt;&gt;"Yes")*('Medical Sales'!G3:G196))/B9)</f>
        <v>5619.1428571428569</v>
      </c>
      <c r="I9" s="134" cm="1">
        <f t="array" ref="I9">MIN(IF((LEFT('Medical Sales'!D3:D196,4)="2020")*('Medical Sales'!U3:U196&lt;&gt;"Yes"),'Medical Sales'!E3:E196))</f>
        <v>400000</v>
      </c>
      <c r="J9" s="141" cm="1">
        <f t="array" ref="J9">MAX(IF((LEFT('Medical Sales'!D3:D196,4)="2020")*('Medical Sales'!U3:U196&lt;&gt;"Yes"),'Medical Sales'!E3:E196))</f>
        <v>5300000</v>
      </c>
      <c r="K9" s="59"/>
      <c r="L9" s="59"/>
      <c r="M9" s="59"/>
      <c r="N9" s="59"/>
      <c r="O9" s="59"/>
    </row>
    <row r="10" spans="1:15">
      <c r="A10" s="59"/>
      <c r="B10" s="59"/>
      <c r="C10" s="59"/>
      <c r="D10" s="59"/>
      <c r="E10" s="59"/>
      <c r="F10" s="59"/>
      <c r="G10" s="59"/>
      <c r="H10" s="59"/>
      <c r="I10" s="59"/>
      <c r="J10" s="59"/>
      <c r="K10" s="59"/>
      <c r="L10" s="59"/>
      <c r="M10" s="71" t="s">
        <v>2</v>
      </c>
      <c r="N10" s="71" t="s">
        <v>6215</v>
      </c>
      <c r="O10" s="71" t="s">
        <v>6220</v>
      </c>
    </row>
    <row r="11" spans="1:15" ht="19">
      <c r="A11" s="55" t="s">
        <v>6255</v>
      </c>
      <c r="B11" s="73"/>
      <c r="C11" s="73"/>
      <c r="D11" s="73"/>
      <c r="E11" s="73"/>
      <c r="F11" s="73"/>
      <c r="G11" s="73"/>
      <c r="H11" s="73"/>
      <c r="I11" s="73"/>
      <c r="J11" s="73"/>
      <c r="K11" s="59"/>
      <c r="L11" s="59"/>
      <c r="M11" s="99" t="s">
        <v>33</v>
      </c>
      <c r="N11" s="99">
        <f>B13</f>
        <v>1</v>
      </c>
      <c r="O11" s="102">
        <f>G13</f>
        <v>903.81991814461117</v>
      </c>
    </row>
    <row r="12" spans="1:15">
      <c r="A12" s="136" t="s">
        <v>2</v>
      </c>
      <c r="B12" s="132" t="s">
        <v>6215</v>
      </c>
      <c r="C12" s="132" t="s">
        <v>6216</v>
      </c>
      <c r="D12" s="132" t="s">
        <v>6217</v>
      </c>
      <c r="E12" s="132" t="s">
        <v>6218</v>
      </c>
      <c r="F12" s="132" t="s">
        <v>6219</v>
      </c>
      <c r="G12" s="132" t="s">
        <v>6220</v>
      </c>
      <c r="H12" s="132" t="s">
        <v>6221</v>
      </c>
      <c r="I12" s="132" t="s">
        <v>6230</v>
      </c>
      <c r="J12" s="139" t="s">
        <v>6231</v>
      </c>
      <c r="K12" s="59"/>
      <c r="L12" s="59"/>
      <c r="M12" s="99" t="s">
        <v>20</v>
      </c>
      <c r="N12" s="99">
        <f>B14</f>
        <v>4</v>
      </c>
      <c r="O12" s="102">
        <f>G14</f>
        <v>302.91110921201346</v>
      </c>
    </row>
    <row r="13" spans="1:15">
      <c r="A13" s="137" t="s">
        <v>33</v>
      </c>
      <c r="B13" s="117" cm="1">
        <f t="array" ref="B13">SUMPRODUCT(('Medical Sales'!C3:C196="Orange")*(LEFT('Medical Sales'!D3:D196,4)="2020")*('Medical Sales'!U3:U196&lt;&gt;"Yes"))</f>
        <v>1</v>
      </c>
      <c r="C13" s="118" cm="1">
        <f t="array" ref="C13">SUMPRODUCT(('Medical Sales'!C3:C196="Orange")*(LEFT('Medical Sales'!D3:D196,4)="2020")*('Medical Sales'!U3:U196&lt;&gt;"Yes")*('Medical Sales'!E3:E196))</f>
        <v>5300000</v>
      </c>
      <c r="D13" s="118">
        <f>IF(B13=0,"-",C13/B13)</f>
        <v>5300000</v>
      </c>
      <c r="E13" s="118" cm="1">
        <f t="array" ref="E13">IFERROR(MEDIAN(IF(('Medical Sales'!C3:C196="Orange")*(LEFT('Medical Sales'!D3:D196,4)="2020")*('Medical Sales'!U3:U196&lt;&gt;"Yes"),'Medical Sales'!E3:E196)),"-")</f>
        <v>5300000</v>
      </c>
      <c r="F13" s="119" cm="1">
        <f t="array" ref="F13">IF(B13=0,"-",SUMPRODUCT(('Medical Sales'!C3:C196="Orange")*(LEFT('Medical Sales'!D3:D196,4)="2020")*('Medical Sales'!U3:U196&lt;&gt;"Yes")*('Medical Sales'!F3:F196))/B13)</f>
        <v>903.81991814461117</v>
      </c>
      <c r="G13" s="119" cm="1">
        <f t="array" ref="G13">IFERROR(MEDIAN(IF(('Medical Sales'!C3:C196="Orange")*(LEFT('Medical Sales'!D3:D196,4)="2020")*('Medical Sales'!U3:U196&lt;&gt;"Yes"),'Medical Sales'!F3:F196)),"-")</f>
        <v>903.81991814461117</v>
      </c>
      <c r="H13" s="117" cm="1">
        <f t="array" ref="H13">IF(B13=0,"-",SUMPRODUCT(('Medical Sales'!C3:C196="Orange")*(LEFT('Medical Sales'!D3:D196,4)="2020")*('Medical Sales'!U3:U196&lt;&gt;"Yes")*('Medical Sales'!G3:G196))/B13)</f>
        <v>5864</v>
      </c>
      <c r="I13" s="118" cm="1">
        <f t="array" ref="I13">IFERROR(MIN(IF(('Medical Sales'!C3:C196="Orange")*(LEFT('Medical Sales'!D3:D196,4)="2020")*('Medical Sales'!U3:U196&lt;&gt;"Yes"),'Medical Sales'!E3:E196)),"-")</f>
        <v>5300000</v>
      </c>
      <c r="J13" s="140" cm="1">
        <f t="array" ref="J13">IFERROR(MAX(IF(('Medical Sales'!C3:C196="Orange")*(LEFT('Medical Sales'!D3:D196,4)="2020")*('Medical Sales'!U3:U196&lt;&gt;"Yes"),'Medical Sales'!E3:E196)),"-")</f>
        <v>5300000</v>
      </c>
      <c r="K13" s="59"/>
      <c r="L13" s="59"/>
      <c r="M13" s="99" t="s">
        <v>678</v>
      </c>
      <c r="N13" s="99">
        <f>B15</f>
        <v>2</v>
      </c>
      <c r="O13" s="102">
        <f>G15</f>
        <v>404.01478096714982</v>
      </c>
    </row>
    <row r="14" spans="1:15">
      <c r="A14" s="137" t="s">
        <v>20</v>
      </c>
      <c r="B14" s="117" cm="1">
        <f t="array" ref="B14">SUMPRODUCT(('Medical Sales'!C3:C196="Seminole")*(LEFT('Medical Sales'!D3:D196,4)="2020")*('Medical Sales'!U3:U196&lt;&gt;"Yes"))</f>
        <v>4</v>
      </c>
      <c r="C14" s="118" cm="1">
        <f t="array" ref="C14">SUMPRODUCT(('Medical Sales'!C3:C196="Seminole")*(LEFT('Medical Sales'!D3:D196,4)="2020")*('Medical Sales'!U3:U196&lt;&gt;"Yes")*('Medical Sales'!E3:E196))</f>
        <v>4010000</v>
      </c>
      <c r="D14" s="118">
        <f>IF(B14=0,"-",C14/B14)</f>
        <v>1002500</v>
      </c>
      <c r="E14" s="118" cm="1">
        <f t="array" ref="E14">IFERROR(MEDIAN(IF(('Medical Sales'!C3:C196="Seminole")*(LEFT('Medical Sales'!D3:D196,4)="2020")*('Medical Sales'!U3:U196&lt;&gt;"Yes"),'Medical Sales'!E3:E196)),"-")</f>
        <v>1060000</v>
      </c>
      <c r="F14" s="119" cm="1">
        <f t="array" ref="F14">IF(B14=0,"-",SUMPRODUCT(('Medical Sales'!C3:C196="Seminole")*(LEFT('Medical Sales'!D3:D196,4)="2020")*('Medical Sales'!U3:U196&lt;&gt;"Yes")*('Medical Sales'!F3:F196))/B14)</f>
        <v>318.59570249306091</v>
      </c>
      <c r="G14" s="119" cm="1">
        <f t="array" ref="G14">IFERROR(MEDIAN(IF(('Medical Sales'!C3:C196="Seminole")*(LEFT('Medical Sales'!D3:D196,4)="2020")*('Medical Sales'!U3:U196&lt;&gt;"Yes"),'Medical Sales'!F3:F196)),"-")</f>
        <v>302.91110921201346</v>
      </c>
      <c r="H14" s="117" cm="1">
        <f t="array" ref="H14">IF(B14=0,"-",SUMPRODUCT(('Medical Sales'!C3:C196="Seminole")*(LEFT('Medical Sales'!D3:D196,4)="2020")*('Medical Sales'!U3:U196&lt;&gt;"Yes")*('Medical Sales'!G3:G196))/B14)</f>
        <v>6439</v>
      </c>
      <c r="I14" s="118" cm="1">
        <f t="array" ref="I14">IFERROR(MIN(IF(('Medical Sales'!C3:C196="Seminole")*(LEFT('Medical Sales'!D3:D196,4)="2020")*('Medical Sales'!U3:U196&lt;&gt;"Yes"),'Medical Sales'!E3:E196)),"-")</f>
        <v>550000</v>
      </c>
      <c r="J14" s="140" cm="1">
        <f t="array" ref="J14">IFERROR(MAX(IF(('Medical Sales'!C3:C196="Seminole")*(LEFT('Medical Sales'!D3:D196,4)="2020")*('Medical Sales'!U3:U196&lt;&gt;"Yes"),'Medical Sales'!E3:E196)),"-")</f>
        <v>1340000</v>
      </c>
      <c r="K14" s="59"/>
      <c r="L14" s="59"/>
      <c r="M14" s="99" t="s">
        <v>184</v>
      </c>
      <c r="N14" s="99">
        <f>B16</f>
        <v>0</v>
      </c>
      <c r="O14" s="102" t="str">
        <f>G16</f>
        <v>-</v>
      </c>
    </row>
    <row r="15" spans="1:15">
      <c r="A15" s="137" t="s">
        <v>678</v>
      </c>
      <c r="B15" s="117" cm="1">
        <f t="array" ref="B15">SUMPRODUCT(('Medical Sales'!C3:C196="Osceola")*(LEFT('Medical Sales'!D3:D196,4)="2020")*('Medical Sales'!U3:U196&lt;&gt;"Yes"))</f>
        <v>2</v>
      </c>
      <c r="C15" s="118" cm="1">
        <f t="array" ref="C15">SUMPRODUCT(('Medical Sales'!C3:C196="Osceola")*(LEFT('Medical Sales'!D3:D196,4)="2020")*('Medical Sales'!U3:U196&lt;&gt;"Yes")*('Medical Sales'!E3:E196))</f>
        <v>2850000</v>
      </c>
      <c r="D15" s="118">
        <f>IF(B15=0,"-",C15/B15)</f>
        <v>1425000</v>
      </c>
      <c r="E15" s="118" cm="1">
        <f t="array" ref="E15">IFERROR(MEDIAN(IF(('Medical Sales'!C3:C196="Osceola")*(LEFT('Medical Sales'!D3:D196,4)="2020")*('Medical Sales'!U3:U196&lt;&gt;"Yes"),'Medical Sales'!E3:E196)),"-")</f>
        <v>1425000</v>
      </c>
      <c r="F15" s="119" cm="1">
        <f t="array" ref="F15">IF(B15=0,"-",SUMPRODUCT(('Medical Sales'!C3:C196="Osceola")*(LEFT('Medical Sales'!D3:D196,4)="2020")*('Medical Sales'!U3:U196&lt;&gt;"Yes")*('Medical Sales'!F3:F196))/B15)</f>
        <v>404.01478096714987</v>
      </c>
      <c r="G15" s="119" cm="1">
        <f t="array" ref="G15">IFERROR(MEDIAN(IF(('Medical Sales'!C3:C196="Osceola")*(LEFT('Medical Sales'!D3:D196,4)="2020")*('Medical Sales'!U3:U196&lt;&gt;"Yes"),'Medical Sales'!F3:F196)),"-")</f>
        <v>404.01478096714982</v>
      </c>
      <c r="H15" s="117" cm="1">
        <f t="array" ref="H15">IF(B15=0,"-",SUMPRODUCT(('Medical Sales'!C3:C196="Osceola")*(LEFT('Medical Sales'!D3:D196,4)="2020")*('Medical Sales'!U3:U196&lt;&gt;"Yes")*('Medical Sales'!G3:G196))/B15)</f>
        <v>3857</v>
      </c>
      <c r="I15" s="118" cm="1">
        <f t="array" ref="I15">IFERROR(MIN(IF(('Medical Sales'!C3:C196="Osceola")*(LEFT('Medical Sales'!D3:D196,4)="2020")*('Medical Sales'!U3:U196&lt;&gt;"Yes"),'Medical Sales'!E3:E196)),"-")</f>
        <v>400000</v>
      </c>
      <c r="J15" s="140" cm="1">
        <f t="array" ref="J15">IFERROR(MAX(IF(('Medical Sales'!C3:C196="Osceola")*(LEFT('Medical Sales'!D3:D196,4)="2020")*('Medical Sales'!U3:U196&lt;&gt;"Yes"),'Medical Sales'!E3:E196)),"-")</f>
        <v>2450000</v>
      </c>
      <c r="K15" s="59"/>
      <c r="L15" s="59"/>
      <c r="M15" s="59"/>
      <c r="N15" s="59"/>
      <c r="O15" s="59"/>
    </row>
    <row r="16" spans="1:15">
      <c r="A16" s="138" t="s">
        <v>184</v>
      </c>
      <c r="B16" s="142" cm="1">
        <f t="array" ref="B16">SUMPRODUCT(('Medical Sales'!C3:C196="Lake")*(LEFT('Medical Sales'!D3:D196,4)="2020")*('Medical Sales'!U3:U196&lt;&gt;"Yes"))</f>
        <v>0</v>
      </c>
      <c r="C16" s="143" cm="1">
        <f t="array" ref="C16">SUMPRODUCT(('Medical Sales'!C3:C196="Lake")*(LEFT('Medical Sales'!D3:D196,4)="2020")*('Medical Sales'!U3:U196&lt;&gt;"Yes")*('Medical Sales'!E3:E196))</f>
        <v>0</v>
      </c>
      <c r="D16" s="143" t="str">
        <f>IF(B16=0,"-",C16/B16)</f>
        <v>-</v>
      </c>
      <c r="E16" s="143" t="str" cm="1">
        <f t="array" ref="E16">IFERROR(MEDIAN(IF(('Medical Sales'!C3:C196="Lake")*(LEFT('Medical Sales'!D3:D196,4)="2020")*('Medical Sales'!U3:U196&lt;&gt;"Yes"),'Medical Sales'!E3:E196)),"-")</f>
        <v>-</v>
      </c>
      <c r="F16" s="144" t="str" cm="1">
        <f t="array" ref="F16">IF(B16=0,"-",SUMPRODUCT(('Medical Sales'!C3:C196="Lake")*(LEFT('Medical Sales'!D3:D196,4)="2020")*('Medical Sales'!U3:U196&lt;&gt;"Yes")*('Medical Sales'!F3:F196))/B16)</f>
        <v>-</v>
      </c>
      <c r="G16" s="144" t="str" cm="1">
        <f t="array" ref="G16">IFERROR(MEDIAN(IF(('Medical Sales'!C3:C196="Lake")*(LEFT('Medical Sales'!D3:D196,4)="2020")*('Medical Sales'!U3:U196&lt;&gt;"Yes"),'Medical Sales'!F3:F196)),"-")</f>
        <v>-</v>
      </c>
      <c r="H16" s="142" t="str" cm="1">
        <f t="array" ref="H16">IF(B16=0,"-",SUMPRODUCT(('Medical Sales'!C3:C196="Lake")*(LEFT('Medical Sales'!D3:D196,4)="2020")*('Medical Sales'!U3:U196&lt;&gt;"Yes")*('Medical Sales'!G3:G196))/B16)</f>
        <v>-</v>
      </c>
      <c r="I16" s="143" cm="1">
        <f t="array" ref="I16">IFERROR(MIN(IF(('Medical Sales'!C3:C196="Lake")*(LEFT('Medical Sales'!D3:D196,4)="2020")*('Medical Sales'!U3:U196&lt;&gt;"Yes"),'Medical Sales'!E3:E196)),"-")</f>
        <v>0</v>
      </c>
      <c r="J16" s="145" cm="1">
        <f t="array" ref="J16">IFERROR(MAX(IF(('Medical Sales'!C3:C196="Lake")*(LEFT('Medical Sales'!D3:D196,4)="2020")*('Medical Sales'!U3:U196&lt;&gt;"Yes"),'Medical Sales'!E3:E196)),"-")</f>
        <v>0</v>
      </c>
      <c r="K16" s="59"/>
      <c r="L16" s="59"/>
      <c r="M16" s="59"/>
      <c r="N16" s="59"/>
      <c r="O16" s="59"/>
    </row>
    <row r="17" spans="1:15">
      <c r="A17" s="252"/>
      <c r="B17" s="62"/>
      <c r="C17" s="63"/>
      <c r="D17" s="63"/>
      <c r="E17" s="63"/>
      <c r="F17" s="61"/>
      <c r="G17" s="61"/>
      <c r="H17" s="62"/>
      <c r="I17" s="63"/>
      <c r="J17" s="63"/>
      <c r="K17" s="59"/>
      <c r="L17" s="59"/>
      <c r="M17" s="59"/>
      <c r="N17" s="59"/>
      <c r="O17" s="59"/>
    </row>
    <row r="18" spans="1:15">
      <c r="A18" s="213" t="s">
        <v>6303</v>
      </c>
      <c r="B18" s="214"/>
      <c r="C18" s="214"/>
      <c r="D18" s="214"/>
      <c r="E18" s="214"/>
      <c r="F18" s="214"/>
      <c r="G18" s="214"/>
      <c r="H18" s="214"/>
      <c r="I18" s="214"/>
      <c r="J18" s="214"/>
      <c r="K18" s="59"/>
      <c r="L18" s="59"/>
      <c r="M18" s="59"/>
      <c r="N18" s="59"/>
      <c r="O18" s="59"/>
    </row>
    <row r="19" spans="1:15">
      <c r="A19" s="216" t="s">
        <v>2</v>
      </c>
      <c r="B19" s="217" t="s">
        <v>6215</v>
      </c>
      <c r="C19" s="217" t="s">
        <v>6216</v>
      </c>
      <c r="D19" s="217" t="s">
        <v>6217</v>
      </c>
      <c r="E19" s="217" t="s">
        <v>6218</v>
      </c>
      <c r="F19" s="217" t="s">
        <v>6219</v>
      </c>
      <c r="G19" s="217" t="s">
        <v>6220</v>
      </c>
      <c r="H19" s="217" t="s">
        <v>6221</v>
      </c>
      <c r="I19" s="217" t="s">
        <v>6230</v>
      </c>
      <c r="J19" s="218" t="s">
        <v>6231</v>
      </c>
      <c r="K19" s="59"/>
      <c r="L19" s="59"/>
      <c r="M19" s="59"/>
      <c r="N19" s="59"/>
      <c r="O19" s="59"/>
    </row>
    <row r="20" spans="1:15" ht="17" thickBot="1">
      <c r="A20" s="224" t="s">
        <v>6304</v>
      </c>
      <c r="B20" s="225" cm="1">
        <f t="array" ref="B20">SUMPRODUCT(('Medical Sales'!C3:C196="Orange")*(LEFT('Medical Sales'!D3:D196,4)="2020")*('Medical Sales'!N3:N196&lt;&gt;"Hospitals")*('Medical Sales'!U3:U196&lt;&gt;"Yes"))</f>
        <v>1</v>
      </c>
      <c r="C20" s="226" cm="1">
        <f t="array" ref="C20">SUMPRODUCT(('Medical Sales'!C3:C196="Orange")*(LEFT('Medical Sales'!D3:D196,4)="2020")*('Medical Sales'!N3:N196&lt;&gt;"Hospitals")*('Medical Sales'!U3:U196&lt;&gt;"Yes")*('Medical Sales'!E3:E196))</f>
        <v>5300000</v>
      </c>
      <c r="D20" s="226">
        <f>IF(B20=0,"-",C20/B20)</f>
        <v>5300000</v>
      </c>
      <c r="E20" s="226" cm="1">
        <f t="array" ref="E20">IFERROR(MEDIAN(IF(('Medical Sales'!C3:C196="Orange")*(LEFT('Medical Sales'!D3:D196,4)="2020")*('Medical Sales'!N3:N196&lt;&gt;"Hospitals")*('Medical Sales'!U3:U196&lt;&gt;"Yes"),'Medical Sales'!E3:E196)),"-")</f>
        <v>5300000</v>
      </c>
      <c r="F20" s="227" cm="1">
        <f t="array" ref="F20">IF(B20=0,"-",SUMPRODUCT(('Medical Sales'!C3:C196="Orange")*(LEFT('Medical Sales'!D3:D196,4)="2020")*('Medical Sales'!N3:N196&lt;&gt;"Hospitals")*('Medical Sales'!U3:U196&lt;&gt;"Yes")*('Medical Sales'!F3:F196))/B20)</f>
        <v>903.81991814461117</v>
      </c>
      <c r="G20" s="227" cm="1">
        <f t="array" ref="G20">IFERROR(MEDIAN(IF(('Medical Sales'!C3:C196="Orange")*(LEFT('Medical Sales'!D3:D196,4)="2020")*('Medical Sales'!N3:N196&lt;&gt;"Hospitals")*('Medical Sales'!U3:U196&lt;&gt;"Yes"),'Medical Sales'!F3:F196)),"-")</f>
        <v>903.81991814461117</v>
      </c>
      <c r="H20" s="225" cm="1">
        <f t="array" ref="H20">IF(B20=0,"-",SUMPRODUCT(('Medical Sales'!C3:C196="Orange")*(LEFT('Medical Sales'!D3:D196,4)="2020")*('Medical Sales'!N3:N196&lt;&gt;"Hospitals")*('Medical Sales'!U3:U196&lt;&gt;"Yes")*('Medical Sales'!G3:G196))/B20)</f>
        <v>5864</v>
      </c>
      <c r="I20" s="226" cm="1">
        <f t="array" ref="I20">IFERROR(MIN(IF(('Medical Sales'!C3:C196="Orange")*(LEFT('Medical Sales'!D3:D196,4)="2020")*('Medical Sales'!N3:N196&lt;&gt;"Hospitals")*('Medical Sales'!U3:U196&lt;&gt;"Yes"),'Medical Sales'!E3:E196)),"-")</f>
        <v>5300000</v>
      </c>
      <c r="J20" s="228" cm="1">
        <f t="array" ref="J20">IFERROR(MAX(IF(('Medical Sales'!C3:C196="Orange")*(LEFT('Medical Sales'!D3:D196,4)="2020")*('Medical Sales'!N3:N196&lt;&gt;"Hospitals")*('Medical Sales'!U3:U196&lt;&gt;"Yes"),'Medical Sales'!E3:E196)),"-")</f>
        <v>5300000</v>
      </c>
      <c r="K20" s="59"/>
      <c r="L20" s="59"/>
      <c r="M20" s="59"/>
      <c r="N20" s="59"/>
      <c r="O20" s="59"/>
    </row>
    <row r="21" spans="1:15">
      <c r="A21" s="219" t="s">
        <v>6305</v>
      </c>
      <c r="B21" s="220" cm="1">
        <f t="array" ref="B21">SUMPRODUCT((LEFT('Medical Sales'!D3:D196,4)="2020")*('Medical Sales'!N3:N196&lt;&gt;"Hospitals")*('Medical Sales'!U3:U196&lt;&gt;"Yes"))</f>
        <v>6</v>
      </c>
      <c r="C21" s="221" cm="1">
        <f t="array" ref="C21">SUMPRODUCT((LEFT('Medical Sales'!D3:D196,4)="2020")*('Medical Sales'!N3:N196&lt;&gt;"Hospitals")*('Medical Sales'!U3:U196&lt;&gt;"Yes")*('Medical Sales'!E3:E196))</f>
        <v>11610000</v>
      </c>
      <c r="D21" s="221">
        <f>IF(B21=0,"-",C21/B21)</f>
        <v>1935000</v>
      </c>
      <c r="E21" s="221" cm="1">
        <f t="array" ref="E21">MEDIAN(IF((LEFT('Medical Sales'!D3:D196,4)="2020")*('Medical Sales'!N3:N196&lt;&gt;"Hospitals")*('Medical Sales'!U3:U196&lt;&gt;"Yes"),'Medical Sales'!E3:E196))</f>
        <v>1340000</v>
      </c>
      <c r="F21" s="222" cm="1">
        <f t="array" ref="F21">IF(B21=0,"-",SUMPRODUCT((LEFT('Medical Sales'!D3:D196,4)="2020")*('Medical Sales'!N3:N196&lt;&gt;"Hospitals")*('Medical Sales'!U3:U196&lt;&gt;"Yes")*('Medical Sales'!F3:F196))/B21)</f>
        <v>490.15458540940432</v>
      </c>
      <c r="G21" s="222" cm="1">
        <f t="array" ref="G21">MEDIAN(IF((LEFT('Medical Sales'!D3:D196,4)="2020")*('Medical Sales'!N3:N196&lt;&gt;"Hospitals")*('Medical Sales'!U3:U196&lt;&gt;"Yes"),'Medical Sales'!F3:F196))</f>
        <v>570.6151508886112</v>
      </c>
      <c r="H21" s="220" cm="1">
        <f t="array" ref="H21">IF(B21=0,"-",SUMPRODUCT((LEFT('Medical Sales'!D3:D196,4)="2020")*('Medical Sales'!N3:N196&lt;&gt;"Hospitals")*('Medical Sales'!U3:U196&lt;&gt;"Yes")*('Medical Sales'!G3:G196))/B21)</f>
        <v>4532.333333333333</v>
      </c>
      <c r="I21" s="221" cm="1">
        <f t="array" ref="I21">MIN(IF((LEFT('Medical Sales'!D3:D196,4)="2020")*('Medical Sales'!N3:N196&lt;&gt;"Hospitals")*('Medical Sales'!U3:U196&lt;&gt;"Yes"),'Medical Sales'!E3:E196))</f>
        <v>400000</v>
      </c>
      <c r="J21" s="223" cm="1">
        <f t="array" ref="J21">MAX(IF((LEFT('Medical Sales'!D3:D196,4)="2020")*('Medical Sales'!N3:N196&lt;&gt;"Hospitals")*('Medical Sales'!U3:U196&lt;&gt;"Yes"),'Medical Sales'!E3:E196))</f>
        <v>5300000</v>
      </c>
      <c r="K21" s="59"/>
      <c r="L21" s="59"/>
      <c r="M21" s="59"/>
      <c r="N21" s="59"/>
      <c r="O21" s="59"/>
    </row>
    <row r="22" spans="1:15">
      <c r="A22" s="215" t="s">
        <v>6306</v>
      </c>
      <c r="K22" s="59"/>
      <c r="L22" s="59"/>
      <c r="M22" s="59"/>
      <c r="N22" s="59"/>
      <c r="O22" s="59"/>
    </row>
    <row r="23" spans="1:15">
      <c r="A23" s="59"/>
      <c r="B23" s="59"/>
      <c r="C23" s="59"/>
      <c r="D23" s="59"/>
      <c r="E23" s="59"/>
      <c r="F23" s="59"/>
      <c r="G23" s="59"/>
      <c r="H23" s="59"/>
      <c r="I23" s="59"/>
      <c r="J23" s="59"/>
      <c r="K23" s="59"/>
      <c r="L23" s="59"/>
      <c r="M23" s="71" t="s">
        <v>6313</v>
      </c>
      <c r="N23" s="71" t="s">
        <v>6220</v>
      </c>
      <c r="O23" s="71" t="s">
        <v>6215</v>
      </c>
    </row>
    <row r="24" spans="1:15" ht="20" thickBot="1">
      <c r="A24" s="84" t="s">
        <v>6256</v>
      </c>
      <c r="B24" s="85"/>
      <c r="C24" s="85"/>
      <c r="D24" s="85"/>
      <c r="E24" s="85"/>
      <c r="F24" s="85"/>
      <c r="G24" s="85"/>
      <c r="H24" s="59"/>
      <c r="I24" s="59"/>
      <c r="J24" s="59"/>
      <c r="K24" s="59"/>
      <c r="L24" s="59"/>
      <c r="M24" s="103" t="s">
        <v>6280</v>
      </c>
      <c r="N24" s="102">
        <f>B30</f>
        <v>623.25581395348843</v>
      </c>
      <c r="O24" s="102">
        <f>B26</f>
        <v>5</v>
      </c>
    </row>
    <row r="25" spans="1:15">
      <c r="A25" s="86" t="s">
        <v>6257</v>
      </c>
      <c r="B25" s="59"/>
      <c r="C25" s="59"/>
      <c r="D25" s="264" t="s">
        <v>6285</v>
      </c>
      <c r="E25" s="160"/>
      <c r="F25" s="160"/>
      <c r="G25" s="265"/>
      <c r="H25" s="59"/>
      <c r="I25" s="59"/>
      <c r="J25" s="59"/>
      <c r="K25" s="59"/>
      <c r="L25" s="59"/>
      <c r="M25" s="251" t="s">
        <v>6314</v>
      </c>
      <c r="N25" s="102">
        <f>B49</f>
        <v>87.84773060029282</v>
      </c>
      <c r="O25" s="102">
        <f>B45</f>
        <v>1</v>
      </c>
    </row>
    <row r="26" spans="1:15">
      <c r="A26" s="146" t="s">
        <v>6258</v>
      </c>
      <c r="B26" s="149" cm="1">
        <f t="array" ref="B26">SUMPRODUCT((LEFT('Medical Sales'!D3:D196,4)="2020")*('Medical Sales'!G3:G196&lt;6000)*('Medical Sales'!G3:G196&gt;0)*('Medical Sales'!U3:U196&lt;&gt;"Yes"))</f>
        <v>5</v>
      </c>
      <c r="C26" s="59"/>
      <c r="D26" s="163" t="s">
        <v>6286</v>
      </c>
      <c r="E26" s="108"/>
      <c r="F26" s="108"/>
      <c r="G26" s="167"/>
      <c r="H26" s="59"/>
      <c r="I26" s="59"/>
      <c r="J26" s="59"/>
      <c r="K26" s="59"/>
      <c r="L26" s="59"/>
      <c r="M26" s="104" t="s">
        <v>6281</v>
      </c>
      <c r="N26" s="102">
        <f>B69</f>
        <v>45.304777594728172</v>
      </c>
      <c r="O26" s="99">
        <f>B65</f>
        <v>1</v>
      </c>
    </row>
    <row r="27" spans="1:15">
      <c r="A27" s="147" t="s">
        <v>6216</v>
      </c>
      <c r="B27" s="150" cm="1">
        <f t="array" ref="B27">SUMPRODUCT((LEFT('Medical Sales'!D3:D196,4)="2020")*('Medical Sales'!G3:G196&lt;6000)*('Medical Sales'!G3:G196&gt;0)*('Medical Sales'!U3:U196&lt;&gt;"Yes")*('Medical Sales'!E3:E196))</f>
        <v>10830000</v>
      </c>
      <c r="C27" s="59"/>
      <c r="D27" s="164"/>
      <c r="E27" s="108"/>
      <c r="F27" s="108"/>
      <c r="G27" s="167"/>
      <c r="H27" s="59"/>
      <c r="I27" s="59"/>
      <c r="J27" s="59"/>
      <c r="K27" s="59"/>
      <c r="L27" s="59"/>
      <c r="M27" s="59"/>
      <c r="N27" s="59"/>
      <c r="O27" s="59"/>
    </row>
    <row r="28" spans="1:15">
      <c r="A28" s="147" t="s">
        <v>6218</v>
      </c>
      <c r="B28" s="150" cm="1">
        <f t="array" ref="B28">MEDIAN(IF((LEFT('Medical Sales'!D3:D196,4)="2020")*('Medical Sales'!G3:G196&lt;6000)*('Medical Sales'!G3:G196&gt;0)*('Medical Sales'!U3:U196&lt;&gt;"Yes"),'Medical Sales'!E3:E196))</f>
        <v>1340000</v>
      </c>
      <c r="C28" s="59"/>
      <c r="D28" s="163" t="s">
        <v>6321</v>
      </c>
      <c r="E28" s="108"/>
      <c r="F28" s="108"/>
      <c r="G28" s="167"/>
      <c r="H28" s="59"/>
      <c r="I28" s="59"/>
      <c r="J28" s="59"/>
      <c r="K28" s="59"/>
      <c r="L28" s="59"/>
      <c r="M28" s="71" t="s">
        <v>6233</v>
      </c>
      <c r="N28" s="71" t="s">
        <v>6215</v>
      </c>
      <c r="O28" s="71" t="s">
        <v>6219</v>
      </c>
    </row>
    <row r="29" spans="1:15">
      <c r="A29" s="147" t="s">
        <v>6259</v>
      </c>
      <c r="B29" s="150">
        <f>IF(B26=0,"-",B27/B26)</f>
        <v>2166000</v>
      </c>
      <c r="C29" s="59"/>
      <c r="D29" s="163" t="s">
        <v>6322</v>
      </c>
      <c r="E29" s="108"/>
      <c r="F29" s="108"/>
      <c r="G29" s="167"/>
      <c r="H29" s="59"/>
      <c r="I29" s="59"/>
      <c r="J29" s="59"/>
      <c r="K29" s="59"/>
      <c r="L29" s="59"/>
      <c r="M29" s="99" t="s">
        <v>6659</v>
      </c>
      <c r="N29" s="99" cm="1">
        <f t="array" ref="N29">SUMPRODUCT((LEFT('Medical Sales'!D3:D196,4)="2020")*('Medical Sales'!G3:G196&lt;3000)*('Medical Sales'!G3:G196&gt;0)*('Medical Sales'!U3:U196&lt;&gt;"Yes"))</f>
        <v>2</v>
      </c>
      <c r="O29" s="102" cm="1">
        <f t="array" ref="O29">IF(N29=0,0,SUMPRODUCT((LEFT('Medical Sales'!D3:D196,4)="2020")*('Medical Sales'!G3:G196&lt;3000)*('Medical Sales'!G3:G196&gt;0)*('Medical Sales'!U3:U196&lt;&gt;"Yes")*('Medical Sales'!F3:F196))/N29)</f>
        <v>570.6151508886112</v>
      </c>
    </row>
    <row r="30" spans="1:15">
      <c r="A30" s="147" t="s">
        <v>6220</v>
      </c>
      <c r="B30" s="151" cm="1">
        <f t="array" ref="B30">MEDIAN(IF((LEFT('Medical Sales'!D3:D196,4)="2020")*('Medical Sales'!G3:G196&lt;6000)*('Medical Sales'!G3:G196&gt;0)*('Medical Sales'!U3:U196&lt;&gt;"Yes"),'Medical Sales'!F3:F196))</f>
        <v>623.25581395348843</v>
      </c>
      <c r="C30" s="59"/>
      <c r="D30" s="163" t="s">
        <v>6323</v>
      </c>
      <c r="E30" s="108"/>
      <c r="F30" s="108"/>
      <c r="G30" s="167"/>
      <c r="H30" s="59"/>
      <c r="I30" s="59"/>
      <c r="J30" s="59"/>
      <c r="K30" s="59"/>
      <c r="L30" s="59"/>
      <c r="M30" s="99" t="s">
        <v>6658</v>
      </c>
      <c r="N30" s="99" cm="1">
        <f t="array" ref="N30">SUMPRODUCT((LEFT('Medical Sales'!D3:D196,4)="2020")*('Medical Sales'!G3:G196&gt;=3000)*('Medical Sales'!G3:G196&lt;6000)*('Medical Sales'!U3:U196&lt;&gt;"Yes"))</f>
        <v>3</v>
      </c>
      <c r="O30" s="102" cm="1">
        <f t="array" ref="O30">IF(N30=0,0,SUMPRODUCT((LEFT('Medical Sales'!D3:D196,4)="2020")*('Medical Sales'!G3:G196&gt;=3000)*('Medical Sales'!G3:G196&lt;6000)*('Medical Sales'!U3:U196&lt;&gt;"Yes")*('Medical Sales'!F3:F196))/N30)</f>
        <v>570.61649335963693</v>
      </c>
    </row>
    <row r="31" spans="1:15">
      <c r="A31" s="147" t="s">
        <v>6260</v>
      </c>
      <c r="B31" s="151" cm="1">
        <f t="array" ref="B31">IF(B26=0,"-",SUMPRODUCT((LEFT('Medical Sales'!D3:D196,4)="2020")*('Medical Sales'!G3:G196&lt;6000)*('Medical Sales'!G3:G196&gt;0)*('Medical Sales'!U3:U196&lt;&gt;"Yes")*('Medical Sales'!F3:F196))/B26)</f>
        <v>570.61595637122662</v>
      </c>
      <c r="C31" s="59"/>
      <c r="D31" s="163" t="s">
        <v>6324</v>
      </c>
      <c r="E31" s="108"/>
      <c r="F31" s="108"/>
      <c r="G31" s="167"/>
      <c r="H31" s="59"/>
      <c r="I31" s="59"/>
      <c r="J31" s="59"/>
      <c r="K31" s="59"/>
      <c r="L31" s="59"/>
      <c r="M31" s="99" t="s">
        <v>6657</v>
      </c>
      <c r="N31" s="99" cm="1">
        <f t="array" ref="N31">SUMPRODUCT((LEFT('Medical Sales'!D3:D196,4)="2020")*('Medical Sales'!G3:G196&gt;=6000)*('Medical Sales'!G3:G196&lt;10000)*('Medical Sales'!U3:U196&lt;&gt;"Yes"))</f>
        <v>1</v>
      </c>
      <c r="O31" s="102" cm="1">
        <f t="array" ref="O31">IF(N31=0,0,SUMPRODUCT((LEFT('Medical Sales'!D3:D196,4)="2020")*('Medical Sales'!G3:G196&gt;=6000)*('Medical Sales'!G3:G196&lt;10000)*('Medical Sales'!U3:U196&lt;&gt;"Yes")*('Medical Sales'!F3:F196))/N31)</f>
        <v>87.84773060029282</v>
      </c>
    </row>
    <row r="32" spans="1:15">
      <c r="A32" s="147" t="s">
        <v>6261</v>
      </c>
      <c r="B32" s="152" cm="1">
        <f t="array" ref="B32">IF(B26=0,"-",SUMPRODUCT((LEFT('Medical Sales'!D3:D196,4)="2020")*('Medical Sales'!G3:G196&lt;6000)*('Medical Sales'!G3:G196&gt;0)*('Medical Sales'!U3:U196&lt;&gt;"Yes")*('Medical Sales'!G3:G196))/B26)</f>
        <v>3663</v>
      </c>
      <c r="C32" s="59"/>
      <c r="D32" s="163" t="s">
        <v>6287</v>
      </c>
      <c r="E32" s="108"/>
      <c r="F32" s="108"/>
      <c r="G32" s="167"/>
      <c r="H32" s="59"/>
      <c r="I32" s="59"/>
      <c r="J32" s="59"/>
      <c r="K32" s="59"/>
      <c r="L32" s="59"/>
      <c r="M32" s="99" t="s">
        <v>6655</v>
      </c>
      <c r="N32" s="99" cm="1">
        <f t="array" ref="N32">SUMPRODUCT((LEFT('Medical Sales'!D3:D196,4)="2020")*('Medical Sales'!G3:G196&gt;=10000)*('Medical Sales'!G3:G196&lt;20000)*('Medical Sales'!U3:U196&lt;&gt;"Yes"))</f>
        <v>1</v>
      </c>
      <c r="O32" s="102" cm="1">
        <f t="array" ref="O32">IF(N32=0,0,SUMPRODUCT((LEFT('Medical Sales'!D3:D196,4)="2020")*('Medical Sales'!G3:G196&gt;=10000)*('Medical Sales'!G3:G196&lt;20000)*('Medical Sales'!U3:U196&lt;&gt;"Yes")*('Medical Sales'!F3:F196))/N32)</f>
        <v>45.304777594728172</v>
      </c>
    </row>
    <row r="33" spans="1:15">
      <c r="A33" s="147" t="s">
        <v>6262</v>
      </c>
      <c r="B33" s="150" cm="1">
        <f t="array" ref="B33">MIN(IF((LEFT('Medical Sales'!D3:D196,4)="2020")*('Medical Sales'!G3:G196&lt;6000)*('Medical Sales'!G3:G196&gt;0)*('Medical Sales'!U3:U196&lt;&gt;"Yes"),'Medical Sales'!E3:E196))</f>
        <v>400000</v>
      </c>
      <c r="C33" s="59"/>
      <c r="D33" s="163" t="s">
        <v>6325</v>
      </c>
      <c r="E33" s="108"/>
      <c r="F33" s="108"/>
      <c r="G33" s="167"/>
      <c r="H33" s="59"/>
      <c r="I33" s="59"/>
      <c r="J33" s="59"/>
      <c r="K33" s="59"/>
      <c r="L33" s="59"/>
      <c r="M33" s="99" t="s">
        <v>6656</v>
      </c>
      <c r="N33" s="99" cm="1">
        <f t="array" ref="N33">SUMPRODUCT((LEFT('Medical Sales'!D3:D196,4)="2020")*('Medical Sales'!G3:G196&gt;=20000)*('Medical Sales'!U3:U196&lt;&gt;"Yes"))</f>
        <v>0</v>
      </c>
      <c r="O33" s="102" cm="1">
        <f t="array" ref="O33">IF(N33=0,0,SUMPRODUCT((LEFT('Medical Sales'!D3:D196,4)="2020")*('Medical Sales'!G3:G196&gt;=20000)*('Medical Sales'!U3:U196&lt;&gt;"Yes")*('Medical Sales'!F3:F196))/N33)</f>
        <v>0</v>
      </c>
    </row>
    <row r="34" spans="1:15" ht="17" thickBot="1">
      <c r="A34" s="148" t="s">
        <v>6263</v>
      </c>
      <c r="B34" s="153" cm="1">
        <f t="array" ref="B34">MAX(IF((LEFT('Medical Sales'!D3:D196,4)="2020")*('Medical Sales'!G3:G196&lt;6000)*('Medical Sales'!G3:G196&gt;0)*('Medical Sales'!U3:U196&lt;&gt;"Yes"),'Medical Sales'!E3:E196))</f>
        <v>5300000</v>
      </c>
      <c r="C34" s="59"/>
      <c r="D34" s="266"/>
      <c r="E34" s="161"/>
      <c r="F34" s="161"/>
      <c r="G34" s="267"/>
      <c r="H34" s="59"/>
      <c r="I34" s="59"/>
      <c r="J34" s="59"/>
      <c r="K34" s="59"/>
      <c r="L34" s="59"/>
      <c r="M34" s="59"/>
      <c r="N34" s="59"/>
      <c r="O34" s="59"/>
    </row>
    <row r="35" spans="1:15">
      <c r="A35" s="59"/>
      <c r="B35" s="59"/>
      <c r="C35" s="59"/>
      <c r="D35" s="59"/>
      <c r="E35" s="59"/>
      <c r="F35" s="59"/>
      <c r="G35" s="59"/>
      <c r="H35" s="59"/>
      <c r="I35" s="59"/>
      <c r="J35" s="59"/>
      <c r="K35" s="59"/>
      <c r="L35" s="59"/>
      <c r="M35" s="59"/>
      <c r="N35" s="59"/>
      <c r="O35" s="59"/>
    </row>
    <row r="36" spans="1:15">
      <c r="A36" s="86" t="s">
        <v>6264</v>
      </c>
      <c r="B36" s="59"/>
      <c r="C36" s="59"/>
      <c r="D36" s="59"/>
      <c r="E36" s="59"/>
      <c r="F36" s="59"/>
      <c r="G36" s="59"/>
      <c r="H36" s="59"/>
      <c r="I36" s="59"/>
      <c r="J36" s="59"/>
      <c r="K36" s="59"/>
      <c r="L36" s="59"/>
      <c r="M36" s="59"/>
      <c r="N36" s="59"/>
      <c r="O36" s="59"/>
    </row>
    <row r="37" spans="1:15">
      <c r="A37" s="156" t="s">
        <v>2</v>
      </c>
      <c r="B37" s="154" t="s">
        <v>6215</v>
      </c>
      <c r="C37" s="154" t="s">
        <v>6218</v>
      </c>
      <c r="D37" s="154" t="s">
        <v>6220</v>
      </c>
      <c r="E37" s="154" t="s">
        <v>6221</v>
      </c>
      <c r="F37" s="154" t="s">
        <v>6230</v>
      </c>
      <c r="G37" s="155" t="s">
        <v>6231</v>
      </c>
      <c r="H37" s="59"/>
      <c r="I37" s="59"/>
      <c r="J37" s="59"/>
      <c r="K37" s="59"/>
      <c r="L37" s="59"/>
      <c r="M37" s="59"/>
      <c r="N37" s="59"/>
      <c r="O37" s="59"/>
    </row>
    <row r="38" spans="1:15">
      <c r="A38" s="137" t="s">
        <v>33</v>
      </c>
      <c r="B38" s="117" cm="1">
        <f t="array" ref="B38">SUMPRODUCT(('Medical Sales'!C3:C196="Orange")*(LEFT('Medical Sales'!D3:D196,4)="2020")*('Medical Sales'!G3:G196&lt;6000)*('Medical Sales'!G3:G196&gt;0)*('Medical Sales'!U3:U196&lt;&gt;"Yes"))</f>
        <v>1</v>
      </c>
      <c r="C38" s="118" cm="1">
        <f t="array" ref="C38">IFERROR(MEDIAN(IF(('Medical Sales'!C3:C196="Orange")*(LEFT('Medical Sales'!D3:D196,4)="2020")*('Medical Sales'!G3:G196&lt;6000)*('Medical Sales'!G3:G196&gt;0)*('Medical Sales'!U3:U196&lt;&gt;"Yes"),'Medical Sales'!E3:E196)),"-")</f>
        <v>5300000</v>
      </c>
      <c r="D38" s="119" cm="1">
        <f t="array" ref="D38">IFERROR(MEDIAN(IF(('Medical Sales'!C3:C196="Orange")*(LEFT('Medical Sales'!D3:D196,4)="2020")*('Medical Sales'!G3:G196&lt;6000)*('Medical Sales'!G3:G196&gt;0)*('Medical Sales'!U3:U196&lt;&gt;"Yes"),'Medical Sales'!F3:F196)),"-")</f>
        <v>903.81991814461117</v>
      </c>
      <c r="E38" s="117" cm="1">
        <f t="array" ref="E38">IF(B38=0,"-",SUMPRODUCT(('Medical Sales'!C3:C196="Orange")*(LEFT('Medical Sales'!D3:D196,4)="2020")*('Medical Sales'!G3:G196&lt;6000)*('Medical Sales'!G3:G196&gt;0)*('Medical Sales'!U3:U196&lt;&gt;"Yes")*('Medical Sales'!G3:G196))/B38)</f>
        <v>5864</v>
      </c>
      <c r="F38" s="118" cm="1">
        <f t="array" ref="F38">IFERROR(MIN(IF(('Medical Sales'!C3:C196="Orange")*(LEFT('Medical Sales'!D3:D196,4)="2020")*('Medical Sales'!G3:G196&lt;6000)*('Medical Sales'!G3:G196&gt;0)*('Medical Sales'!U3:U196&lt;&gt;"Yes"),'Medical Sales'!E3:E196)),"-")</f>
        <v>5300000</v>
      </c>
      <c r="G38" s="140" cm="1">
        <f t="array" ref="G38">IFERROR(MAX(IF(('Medical Sales'!C3:C196="Orange")*(LEFT('Medical Sales'!D3:D196,4)="2020")*('Medical Sales'!G3:G196&lt;6000)*('Medical Sales'!G3:G196&gt;0)*('Medical Sales'!U3:U196&lt;&gt;"Yes"),'Medical Sales'!E3:E196)),"-")</f>
        <v>5300000</v>
      </c>
      <c r="H38" s="59"/>
      <c r="I38" s="59"/>
      <c r="J38" s="59"/>
      <c r="K38" s="59"/>
      <c r="L38" s="59"/>
      <c r="M38" s="59"/>
      <c r="N38" s="59"/>
      <c r="O38" s="59"/>
    </row>
    <row r="39" spans="1:15">
      <c r="A39" s="137" t="s">
        <v>20</v>
      </c>
      <c r="B39" s="117" cm="1">
        <f t="array" ref="B39">SUMPRODUCT(('Medical Sales'!C3:C196="Seminole")*(LEFT('Medical Sales'!D3:D196,4)="2020")*('Medical Sales'!G3:G196&lt;6000)*('Medical Sales'!G3:G196&gt;0)*('Medical Sales'!U3:U196&lt;&gt;"Yes"))</f>
        <v>2</v>
      </c>
      <c r="C39" s="118" cm="1">
        <f t="array" ref="C39">IFERROR(MEDIAN(IF(('Medical Sales'!C3:C196="Seminole")*(LEFT('Medical Sales'!D3:D196,4)="2020")*('Medical Sales'!G3:G196&lt;6000)*('Medical Sales'!G3:G196&gt;0)*('Medical Sales'!U3:U196&lt;&gt;"Yes"),'Medical Sales'!E3:E196)),"-")</f>
        <v>1340000</v>
      </c>
      <c r="D39" s="119" cm="1">
        <f t="array" ref="D39">IFERROR(MEDIAN(IF(('Medical Sales'!C3:C196="Seminole")*(LEFT('Medical Sales'!D3:D196,4)="2020")*('Medical Sales'!G3:G196&lt;6000)*('Medical Sales'!G3:G196&gt;0)*('Medical Sales'!U3:U196&lt;&gt;"Yes"),'Medical Sales'!F3:F196)),"-")</f>
        <v>570.6151508886112</v>
      </c>
      <c r="E39" s="117" cm="1">
        <f t="array" ref="E39">IF(B39=0,"-",SUMPRODUCT(('Medical Sales'!C3:C196="Seminole")*(LEFT('Medical Sales'!D3:D196,4)="2020")*('Medical Sales'!G3:G196&lt;6000)*('Medical Sales'!G3:G196&gt;0)*('Medical Sales'!U3:U196&lt;&gt;"Yes")*('Medical Sales'!G3:G196))/B39)</f>
        <v>2368.5</v>
      </c>
      <c r="F39" s="118" cm="1">
        <f t="array" ref="F39">IFERROR(MIN(IF(('Medical Sales'!C3:C196="Seminole")*(LEFT('Medical Sales'!D3:D196,4)="2020")*('Medical Sales'!G3:G196&lt;6000)*('Medical Sales'!G3:G196&gt;0)*('Medical Sales'!U3:U196&lt;&gt;"Yes"),'Medical Sales'!E3:E196)),"-")</f>
        <v>1340000</v>
      </c>
      <c r="G39" s="140" cm="1">
        <f t="array" ref="G39">IFERROR(MAX(IF(('Medical Sales'!C3:C196="Seminole")*(LEFT('Medical Sales'!D3:D196,4)="2020")*('Medical Sales'!G3:G196&lt;6000)*('Medical Sales'!G3:G196&gt;0)*('Medical Sales'!U3:U196&lt;&gt;"Yes"),'Medical Sales'!E3:E196)),"-")</f>
        <v>1340000</v>
      </c>
      <c r="H39" s="59"/>
      <c r="I39" s="59"/>
      <c r="J39" s="59"/>
      <c r="K39" s="59"/>
      <c r="L39" s="59"/>
      <c r="M39" s="59"/>
      <c r="N39" s="59"/>
      <c r="O39" s="59"/>
    </row>
    <row r="40" spans="1:15">
      <c r="A40" s="137" t="s">
        <v>678</v>
      </c>
      <c r="B40" s="117" cm="1">
        <f t="array" ref="B40">SUMPRODUCT(('Medical Sales'!C3:C196="Osceola")*(LEFT('Medical Sales'!D3:D196,4)="2020")*('Medical Sales'!G3:G196&lt;6000)*('Medical Sales'!G3:G196&gt;0)*('Medical Sales'!U3:U196&lt;&gt;"Yes"))</f>
        <v>2</v>
      </c>
      <c r="C40" s="118" cm="1">
        <f t="array" ref="C40">IFERROR(MEDIAN(IF(('Medical Sales'!C3:C196="Osceola")*(LEFT('Medical Sales'!D3:D196,4)="2020")*('Medical Sales'!G3:G196&lt;6000)*('Medical Sales'!G3:G196&gt;0)*('Medical Sales'!U3:U196&lt;&gt;"Yes"),'Medical Sales'!E3:E196)),"-")</f>
        <v>1425000</v>
      </c>
      <c r="D40" s="119" cm="1">
        <f t="array" ref="D40">IFERROR(MEDIAN(IF(('Medical Sales'!C3:C196="Osceola")*(LEFT('Medical Sales'!D3:D196,4)="2020")*('Medical Sales'!G3:G196&lt;6000)*('Medical Sales'!G3:G196&gt;0)*('Medical Sales'!U3:U196&lt;&gt;"Yes"),'Medical Sales'!F3:F196)),"-")</f>
        <v>404.01478096714982</v>
      </c>
      <c r="E40" s="117" cm="1">
        <f t="array" ref="E40">IF(B40=0,"-",SUMPRODUCT(('Medical Sales'!C3:C196="Osceola")*(LEFT('Medical Sales'!D3:D196,4)="2020")*('Medical Sales'!G3:G196&lt;6000)*('Medical Sales'!G3:G196&gt;0)*('Medical Sales'!U3:U196&lt;&gt;"Yes")*('Medical Sales'!G3:G196))/B40)</f>
        <v>3857</v>
      </c>
      <c r="F40" s="118" cm="1">
        <f t="array" ref="F40">IFERROR(MIN(IF(('Medical Sales'!C3:C196="Osceola")*(LEFT('Medical Sales'!D3:D196,4)="2020")*('Medical Sales'!G3:G196&lt;6000)*('Medical Sales'!G3:G196&gt;0)*('Medical Sales'!U3:U196&lt;&gt;"Yes"),'Medical Sales'!E3:E196)),"-")</f>
        <v>400000</v>
      </c>
      <c r="G40" s="140" cm="1">
        <f t="array" ref="G40">IFERROR(MAX(IF(('Medical Sales'!C3:C196="Osceola")*(LEFT('Medical Sales'!D3:D196,4)="2020")*('Medical Sales'!G3:G196&lt;6000)*('Medical Sales'!G3:G196&gt;0)*('Medical Sales'!U3:U196&lt;&gt;"Yes"),'Medical Sales'!E3:E196)),"-")</f>
        <v>2450000</v>
      </c>
      <c r="H40" s="59"/>
      <c r="I40" s="59"/>
      <c r="J40" s="59"/>
      <c r="K40" s="59"/>
      <c r="L40" s="59"/>
      <c r="M40" s="59"/>
      <c r="N40" s="59"/>
      <c r="O40" s="59"/>
    </row>
    <row r="41" spans="1:15">
      <c r="A41" s="138" t="s">
        <v>184</v>
      </c>
      <c r="B41" s="142" cm="1">
        <f t="array" ref="B41">SUMPRODUCT(('Medical Sales'!C3:C196="Lake")*(LEFT('Medical Sales'!D3:D196,4)="2020")*('Medical Sales'!G3:G196&lt;6000)*('Medical Sales'!G3:G196&gt;0)*('Medical Sales'!U3:U196&lt;&gt;"Yes"))</f>
        <v>0</v>
      </c>
      <c r="C41" s="143" t="str" cm="1">
        <f t="array" ref="C41">IFERROR(MEDIAN(IF(('Medical Sales'!C3:C196="Lake")*(LEFT('Medical Sales'!D3:D196,4)="2020")*('Medical Sales'!G3:G196&lt;6000)*('Medical Sales'!G3:G196&gt;0)*('Medical Sales'!U3:U196&lt;&gt;"Yes"),'Medical Sales'!E3:E196)),"-")</f>
        <v>-</v>
      </c>
      <c r="D41" s="144" t="str" cm="1">
        <f t="array" ref="D41">IFERROR(MEDIAN(IF(('Medical Sales'!C3:C196="Lake")*(LEFT('Medical Sales'!D3:D196,4)="2020")*('Medical Sales'!G3:G196&lt;6000)*('Medical Sales'!G3:G196&gt;0)*('Medical Sales'!U3:U196&lt;&gt;"Yes"),'Medical Sales'!F3:F196)),"-")</f>
        <v>-</v>
      </c>
      <c r="E41" s="142" t="str" cm="1">
        <f t="array" ref="E41">IF(B41=0,"-",SUMPRODUCT(('Medical Sales'!C3:C196="Lake")*(LEFT('Medical Sales'!D3:D196,4)="2020")*('Medical Sales'!G3:G196&lt;6000)*('Medical Sales'!G3:G196&gt;0)*('Medical Sales'!U3:U196&lt;&gt;"Yes")*('Medical Sales'!G3:G196))/B41)</f>
        <v>-</v>
      </c>
      <c r="F41" s="143" cm="1">
        <f t="array" ref="F41">IFERROR(MIN(IF(('Medical Sales'!C3:C196="Lake")*(LEFT('Medical Sales'!D3:D196,4)="2020")*('Medical Sales'!G3:G196&lt;6000)*('Medical Sales'!G3:G196&gt;0)*('Medical Sales'!U3:U196&lt;&gt;"Yes"),'Medical Sales'!E3:E196)),"-")</f>
        <v>0</v>
      </c>
      <c r="G41" s="145" cm="1">
        <f t="array" ref="G41">IFERROR(MAX(IF(('Medical Sales'!C3:C196="Lake")*(LEFT('Medical Sales'!D3:D196,4)="2020")*('Medical Sales'!G3:G196&lt;6000)*('Medical Sales'!G3:G196&gt;0)*('Medical Sales'!U3:U196&lt;&gt;"Yes"),'Medical Sales'!E3:E196)),"-")</f>
        <v>0</v>
      </c>
      <c r="H41" s="59"/>
      <c r="I41" s="59"/>
      <c r="J41" s="59"/>
      <c r="K41" s="59"/>
      <c r="L41" s="59"/>
      <c r="M41" s="59"/>
      <c r="N41" s="59"/>
      <c r="O41" s="59"/>
    </row>
    <row r="42" spans="1:15" ht="17" thickBot="1">
      <c r="A42" s="59"/>
      <c r="B42" s="59"/>
      <c r="C42" s="59"/>
      <c r="D42" s="59"/>
      <c r="E42" s="59"/>
      <c r="F42" s="59"/>
      <c r="G42" s="59"/>
      <c r="H42" s="59"/>
      <c r="I42" s="59"/>
      <c r="J42" s="59"/>
      <c r="K42" s="59"/>
      <c r="L42" s="59"/>
      <c r="M42" s="59"/>
      <c r="N42" s="59"/>
      <c r="O42" s="59"/>
    </row>
    <row r="43" spans="1:15" ht="19">
      <c r="A43" s="181" t="s">
        <v>6290</v>
      </c>
      <c r="B43" s="182"/>
      <c r="C43" s="182"/>
      <c r="D43" s="260" t="s">
        <v>6294</v>
      </c>
      <c r="E43" s="207"/>
      <c r="F43" s="207"/>
      <c r="G43" s="261"/>
      <c r="H43" s="180"/>
      <c r="I43" s="180"/>
      <c r="J43" s="180"/>
      <c r="K43" s="180"/>
      <c r="L43" s="180"/>
      <c r="M43" s="180"/>
      <c r="N43" s="180"/>
      <c r="O43" s="180"/>
    </row>
    <row r="44" spans="1:15">
      <c r="A44" s="183" t="s">
        <v>6291</v>
      </c>
      <c r="B44" s="180"/>
      <c r="C44" s="180"/>
      <c r="D44" s="209" t="s">
        <v>6295</v>
      </c>
      <c r="E44" s="206"/>
      <c r="F44" s="206"/>
      <c r="G44" s="211"/>
      <c r="H44" s="180"/>
      <c r="I44" s="180"/>
      <c r="J44" s="180"/>
      <c r="K44" s="180"/>
      <c r="L44" s="180"/>
      <c r="M44" s="180"/>
      <c r="N44" s="180"/>
      <c r="O44" s="180"/>
    </row>
    <row r="45" spans="1:15">
      <c r="A45" s="185" t="s">
        <v>6292</v>
      </c>
      <c r="B45" s="188" cm="1">
        <f t="array" ref="B45">SUMPRODUCT((LEFT('Medical Sales'!D3:D196,4)="2020")*('Medical Sales'!G3:G196&gt;=6000)*('Medical Sales'!G3:G196&lt;10000)*('Medical Sales'!U3:U196&lt;&gt;"Yes"))</f>
        <v>1</v>
      </c>
      <c r="C45" s="180"/>
      <c r="D45" s="210"/>
      <c r="E45" s="206"/>
      <c r="F45" s="206"/>
      <c r="G45" s="211"/>
      <c r="H45" s="180"/>
      <c r="I45" s="180"/>
      <c r="J45" s="180"/>
      <c r="K45" s="180"/>
      <c r="L45" s="180"/>
      <c r="M45" s="180"/>
      <c r="N45" s="180"/>
      <c r="O45" s="180"/>
    </row>
    <row r="46" spans="1:15">
      <c r="A46" s="186" t="s">
        <v>6216</v>
      </c>
      <c r="B46" s="189" cm="1">
        <f t="array" ref="B46">SUMPRODUCT((LEFT('Medical Sales'!D3:D196,4)="2020")*('Medical Sales'!G3:G196&gt;=6000)*('Medical Sales'!G3:G196&lt;10000)*('Medical Sales'!U3:U196&lt;&gt;"Yes")*('Medical Sales'!E3:E196))</f>
        <v>780000</v>
      </c>
      <c r="C46" s="180"/>
      <c r="D46" s="209" t="s">
        <v>6296</v>
      </c>
      <c r="E46" s="206"/>
      <c r="F46" s="206"/>
      <c r="G46" s="211"/>
      <c r="H46" s="180"/>
      <c r="I46" s="180"/>
      <c r="J46" s="180"/>
      <c r="K46" s="180"/>
      <c r="L46" s="180"/>
      <c r="M46" s="180"/>
      <c r="N46" s="180"/>
      <c r="O46" s="180"/>
    </row>
    <row r="47" spans="1:15">
      <c r="A47" s="186" t="s">
        <v>6218</v>
      </c>
      <c r="B47" s="189" cm="1">
        <f t="array" ref="B47">MEDIAN(IF((LEFT('Medical Sales'!D3:D196,4)="2020")*('Medical Sales'!G3:G196&gt;=6000)*('Medical Sales'!G3:G196&lt;10000)*('Medical Sales'!U3:U196&lt;&gt;"Yes"),'Medical Sales'!E3:E196))</f>
        <v>780000</v>
      </c>
      <c r="C47" s="180"/>
      <c r="D47" s="209" t="s">
        <v>6297</v>
      </c>
      <c r="E47" s="206"/>
      <c r="F47" s="206"/>
      <c r="G47" s="211"/>
      <c r="H47" s="180"/>
      <c r="I47" s="180"/>
      <c r="J47" s="180"/>
      <c r="K47" s="180"/>
      <c r="L47" s="180"/>
      <c r="M47" s="180"/>
      <c r="N47" s="180"/>
      <c r="O47" s="180"/>
    </row>
    <row r="48" spans="1:15">
      <c r="A48" s="186" t="s">
        <v>6259</v>
      </c>
      <c r="B48" s="189">
        <f>IF(B45=0,"-",B46/B45)</f>
        <v>780000</v>
      </c>
      <c r="C48" s="180"/>
      <c r="D48" s="209" t="s">
        <v>6298</v>
      </c>
      <c r="E48" s="206"/>
      <c r="F48" s="206"/>
      <c r="G48" s="211"/>
      <c r="H48" s="180"/>
      <c r="I48" s="180"/>
      <c r="J48" s="180"/>
      <c r="K48" s="180"/>
      <c r="L48" s="180"/>
      <c r="M48" s="180"/>
      <c r="N48" s="180"/>
      <c r="O48" s="180"/>
    </row>
    <row r="49" spans="1:15">
      <c r="A49" s="186" t="s">
        <v>6220</v>
      </c>
      <c r="B49" s="190" cm="1">
        <f t="array" ref="B49">MEDIAN(IF((LEFT('Medical Sales'!D3:D196,4)="2020")*('Medical Sales'!G3:G196&gt;=6000)*('Medical Sales'!G3:G196&lt;10000)*('Medical Sales'!U3:U196&lt;&gt;"Yes"),'Medical Sales'!F3:F196))</f>
        <v>87.84773060029282</v>
      </c>
      <c r="C49" s="180"/>
      <c r="D49" s="209" t="s">
        <v>6299</v>
      </c>
      <c r="E49" s="206"/>
      <c r="F49" s="206"/>
      <c r="G49" s="211"/>
      <c r="H49" s="180"/>
      <c r="I49" s="180"/>
      <c r="J49" s="180"/>
      <c r="K49" s="180"/>
      <c r="L49" s="180"/>
      <c r="M49" s="180"/>
      <c r="N49" s="180"/>
      <c r="O49" s="180"/>
    </row>
    <row r="50" spans="1:15">
      <c r="A50" s="186" t="s">
        <v>6260</v>
      </c>
      <c r="B50" s="190" cm="1">
        <f t="array" ref="B50">IF(B45=0,"-",SUMPRODUCT((LEFT('Medical Sales'!D3:D196,4)="2020")*('Medical Sales'!G3:G196&gt;=6000)*('Medical Sales'!G3:G196&lt;10000)*('Medical Sales'!U3:U196&lt;&gt;"Yes")*('Medical Sales'!F3:F196))/B45)</f>
        <v>87.84773060029282</v>
      </c>
      <c r="C50" s="180"/>
      <c r="D50" s="209" t="s">
        <v>6300</v>
      </c>
      <c r="E50" s="206"/>
      <c r="F50" s="206"/>
      <c r="G50" s="211"/>
      <c r="H50" s="180"/>
      <c r="I50" s="180"/>
      <c r="J50" s="180"/>
      <c r="K50" s="180"/>
      <c r="L50" s="180"/>
      <c r="M50" s="180"/>
      <c r="N50" s="180"/>
      <c r="O50" s="180"/>
    </row>
    <row r="51" spans="1:15">
      <c r="A51" s="186" t="s">
        <v>6261</v>
      </c>
      <c r="B51" s="191" cm="1">
        <f t="array" ref="B51">IF(B45=0,"-",SUMPRODUCT((LEFT('Medical Sales'!D3:D196,4)="2020")*('Medical Sales'!G3:G196&gt;=6000)*('Medical Sales'!G3:G196&lt;10000)*('Medical Sales'!U3:U196&lt;&gt;"Yes")*('Medical Sales'!G3:G196))/B45)</f>
        <v>8879</v>
      </c>
      <c r="C51" s="180"/>
      <c r="D51" s="209" t="s">
        <v>6301</v>
      </c>
      <c r="E51" s="206"/>
      <c r="F51" s="206"/>
      <c r="G51" s="211"/>
      <c r="H51" s="180"/>
      <c r="I51" s="180"/>
      <c r="J51" s="180"/>
      <c r="K51" s="180"/>
      <c r="L51" s="180"/>
      <c r="M51" s="180"/>
      <c r="N51" s="180"/>
      <c r="O51" s="180"/>
    </row>
    <row r="52" spans="1:15">
      <c r="A52" s="186" t="s">
        <v>6262</v>
      </c>
      <c r="B52" s="189" cm="1">
        <f t="array" ref="B52">MIN(IF((LEFT('Medical Sales'!D3:D196,4)="2020")*('Medical Sales'!G3:G196&gt;=6000)*('Medical Sales'!G3:G196&lt;10000)*('Medical Sales'!U3:U196&lt;&gt;"Yes"),'Medical Sales'!E3:E196))</f>
        <v>780000</v>
      </c>
      <c r="C52" s="180"/>
      <c r="D52" s="210"/>
      <c r="E52" s="206"/>
      <c r="F52" s="206"/>
      <c r="G52" s="211"/>
      <c r="H52" s="180"/>
      <c r="I52" s="180"/>
      <c r="J52" s="180"/>
      <c r="K52" s="180"/>
      <c r="L52" s="180"/>
      <c r="M52" s="180"/>
      <c r="N52" s="180"/>
      <c r="O52" s="180"/>
    </row>
    <row r="53" spans="1:15" ht="17" thickBot="1">
      <c r="A53" s="187" t="s">
        <v>6263</v>
      </c>
      <c r="B53" s="192" cm="1">
        <f t="array" ref="B53">MAX(IF((LEFT('Medical Sales'!D3:D196,4)="2020")*('Medical Sales'!G3:G196&gt;=6000)*('Medical Sales'!G3:G196&lt;10000)*('Medical Sales'!U3:U196&lt;&gt;"Yes"),'Medical Sales'!E3:E196))</f>
        <v>780000</v>
      </c>
      <c r="C53" s="180"/>
      <c r="D53" s="262"/>
      <c r="E53" s="208"/>
      <c r="F53" s="208"/>
      <c r="G53" s="263"/>
      <c r="H53" s="180"/>
      <c r="I53" s="180"/>
      <c r="J53" s="180"/>
      <c r="K53" s="180"/>
      <c r="L53" s="180"/>
      <c r="M53" s="180"/>
      <c r="N53" s="180"/>
      <c r="O53" s="180"/>
    </row>
    <row r="54" spans="1:15">
      <c r="A54" s="180"/>
      <c r="B54" s="180"/>
      <c r="C54" s="180"/>
      <c r="D54" s="180"/>
      <c r="E54" s="180"/>
      <c r="F54" s="180"/>
      <c r="G54" s="180"/>
      <c r="H54" s="180"/>
      <c r="I54" s="180"/>
      <c r="J54" s="180"/>
      <c r="K54" s="180"/>
      <c r="L54" s="180"/>
      <c r="M54" s="180"/>
      <c r="N54" s="180"/>
      <c r="O54" s="180"/>
    </row>
    <row r="55" spans="1:15">
      <c r="A55" s="183" t="s">
        <v>6293</v>
      </c>
      <c r="B55" s="180"/>
      <c r="C55" s="180"/>
      <c r="D55" s="180"/>
      <c r="E55" s="180"/>
      <c r="F55" s="180"/>
      <c r="G55" s="180"/>
      <c r="H55" s="180"/>
      <c r="I55" s="180"/>
      <c r="J55" s="180"/>
      <c r="K55" s="180"/>
      <c r="L55" s="180"/>
      <c r="M55" s="180"/>
      <c r="N55" s="180"/>
      <c r="O55" s="180"/>
    </row>
    <row r="56" spans="1:15">
      <c r="A56" s="200" t="s">
        <v>2</v>
      </c>
      <c r="B56" s="196" t="s">
        <v>6215</v>
      </c>
      <c r="C56" s="196" t="s">
        <v>6218</v>
      </c>
      <c r="D56" s="196" t="s">
        <v>6220</v>
      </c>
      <c r="E56" s="196" t="s">
        <v>6221</v>
      </c>
      <c r="F56" s="196" t="s">
        <v>6230</v>
      </c>
      <c r="G56" s="203" t="s">
        <v>6231</v>
      </c>
      <c r="H56" s="180"/>
      <c r="I56" s="180"/>
      <c r="J56" s="180"/>
      <c r="K56" s="180"/>
      <c r="L56" s="180"/>
      <c r="M56" s="180"/>
      <c r="N56" s="180"/>
      <c r="O56" s="180"/>
    </row>
    <row r="57" spans="1:15">
      <c r="A57" s="201" t="s">
        <v>33</v>
      </c>
      <c r="B57" s="193" cm="1">
        <f t="array" ref="B57">SUMPRODUCT(('Medical Sales'!C3:C196="Orange")*(LEFT('Medical Sales'!D3:D196,4)="2020")*('Medical Sales'!G3:G196&gt;=6000)*('Medical Sales'!G3:G196&lt;10000)*('Medical Sales'!U3:U196&lt;&gt;"Yes"))</f>
        <v>0</v>
      </c>
      <c r="C57" s="194" t="str" cm="1">
        <f t="array" ref="C57">IFERROR(MEDIAN(IF(('Medical Sales'!C3:C196="Orange")*(LEFT('Medical Sales'!D3:D196,4)="2020")*('Medical Sales'!G3:G196&gt;=6000)*('Medical Sales'!G3:G196&lt;10000)*('Medical Sales'!U3:U196&lt;&gt;"Yes"),'Medical Sales'!E3:E196)),"-")</f>
        <v>-</v>
      </c>
      <c r="D57" s="195" t="str" cm="1">
        <f t="array" ref="D57">IFERROR(MEDIAN(IF(('Medical Sales'!C3:C196="Orange")*(LEFT('Medical Sales'!D3:D196,4)="2020")*('Medical Sales'!G3:G196&gt;=6000)*('Medical Sales'!G3:G196&lt;10000)*('Medical Sales'!U3:U196&lt;&gt;"Yes"),'Medical Sales'!F3:F196)),"-")</f>
        <v>-</v>
      </c>
      <c r="E57" s="193" t="str" cm="1">
        <f t="array" ref="E57">IF(B57=0,"-",SUMPRODUCT(('Medical Sales'!C3:C196="Orange")*(LEFT('Medical Sales'!D3:D196,4)="2020")*('Medical Sales'!G3:G196&gt;=6000)*('Medical Sales'!G3:G196&lt;10000)*('Medical Sales'!U3:U196&lt;&gt;"Yes")*('Medical Sales'!G3:G196))/B57)</f>
        <v>-</v>
      </c>
      <c r="F57" s="194" t="str" cm="1">
        <f t="array" ref="F57">IF(B57=0,"-",MIN(IF(('Medical Sales'!C3:C196="Orange")*(LEFT('Medical Sales'!D3:D196,4)="2020")*('Medical Sales'!G3:G196&gt;=6000)*('Medical Sales'!G3:G196&lt;10000)*('Medical Sales'!U3:U196&lt;&gt;"Yes"),'Medical Sales'!E3:E196)))</f>
        <v>-</v>
      </c>
      <c r="G57" s="204" t="str" cm="1">
        <f t="array" ref="G57">IF(B57=0,"-",MAX(IF(('Medical Sales'!C3:C196="Orange")*(LEFT('Medical Sales'!D3:D196,4)="2020")*('Medical Sales'!G3:G196&gt;=6000)*('Medical Sales'!G3:G196&lt;10000)*('Medical Sales'!U3:U196&lt;&gt;"Yes"),'Medical Sales'!E3:E196)))</f>
        <v>-</v>
      </c>
      <c r="H57" s="180"/>
      <c r="I57" s="180"/>
      <c r="J57" s="180"/>
      <c r="K57" s="180"/>
      <c r="L57" s="180"/>
      <c r="M57" s="180"/>
      <c r="N57" s="180"/>
      <c r="O57" s="180"/>
    </row>
    <row r="58" spans="1:15">
      <c r="A58" s="201" t="s">
        <v>20</v>
      </c>
      <c r="B58" s="193" cm="1">
        <f t="array" ref="B58">SUMPRODUCT(('Medical Sales'!C3:C196="Seminole")*(LEFT('Medical Sales'!D3:D196,4)="2020")*('Medical Sales'!G3:G196&gt;=6000)*('Medical Sales'!G3:G196&lt;10000)*('Medical Sales'!U3:U196&lt;&gt;"Yes"))</f>
        <v>1</v>
      </c>
      <c r="C58" s="194" cm="1">
        <f t="array" ref="C58">IFERROR(MEDIAN(IF(('Medical Sales'!C3:C196="Seminole")*(LEFT('Medical Sales'!D3:D196,4)="2020")*('Medical Sales'!G3:G196&gt;=6000)*('Medical Sales'!G3:G196&lt;10000)*('Medical Sales'!U3:U196&lt;&gt;"Yes"),'Medical Sales'!E3:E196)),"-")</f>
        <v>780000</v>
      </c>
      <c r="D58" s="195" cm="1">
        <f t="array" ref="D58">IFERROR(MEDIAN(IF(('Medical Sales'!C3:C196="Seminole")*(LEFT('Medical Sales'!D3:D196,4)="2020")*('Medical Sales'!G3:G196&gt;=6000)*('Medical Sales'!G3:G196&lt;10000)*('Medical Sales'!U3:U196&lt;&gt;"Yes"),'Medical Sales'!F3:F196)),"-")</f>
        <v>87.84773060029282</v>
      </c>
      <c r="E58" s="193" cm="1">
        <f t="array" ref="E58">IF(B58=0,"-",SUMPRODUCT(('Medical Sales'!C3:C196="Seminole")*(LEFT('Medical Sales'!D3:D196,4)="2020")*('Medical Sales'!G3:G196&gt;=6000)*('Medical Sales'!G3:G196&lt;10000)*('Medical Sales'!U3:U196&lt;&gt;"Yes")*('Medical Sales'!G3:G196))/B58)</f>
        <v>8879</v>
      </c>
      <c r="F58" s="194" cm="1">
        <f t="array" ref="F58">IF(B58=0,"-",MIN(IF(('Medical Sales'!C3:C196="Seminole")*(LEFT('Medical Sales'!D3:D196,4)="2020")*('Medical Sales'!G3:G196&gt;=6000)*('Medical Sales'!G3:G196&lt;10000)*('Medical Sales'!U3:U196&lt;&gt;"Yes"),'Medical Sales'!E3:E196)))</f>
        <v>780000</v>
      </c>
      <c r="G58" s="204" cm="1">
        <f t="array" ref="G58">IF(B58=0,"-",MAX(IF(('Medical Sales'!C3:C196="Seminole")*(LEFT('Medical Sales'!D3:D196,4)="2020")*('Medical Sales'!G3:G196&gt;=6000)*('Medical Sales'!G3:G196&lt;10000)*('Medical Sales'!U3:U196&lt;&gt;"Yes"),'Medical Sales'!E3:E196)))</f>
        <v>780000</v>
      </c>
      <c r="H58" s="180"/>
      <c r="I58" s="180"/>
      <c r="J58" s="180"/>
      <c r="K58" s="180"/>
      <c r="L58" s="180"/>
      <c r="M58" s="180"/>
      <c r="N58" s="180"/>
      <c r="O58" s="180"/>
    </row>
    <row r="59" spans="1:15">
      <c r="A59" s="201" t="s">
        <v>678</v>
      </c>
      <c r="B59" s="193" cm="1">
        <f t="array" ref="B59">SUMPRODUCT(('Medical Sales'!C3:C196="Osceola")*(LEFT('Medical Sales'!D3:D196,4)="2020")*('Medical Sales'!G3:G196&gt;=6000)*('Medical Sales'!G3:G196&lt;10000)*('Medical Sales'!U3:U196&lt;&gt;"Yes"))</f>
        <v>0</v>
      </c>
      <c r="C59" s="194" t="str" cm="1">
        <f t="array" ref="C59">IFERROR(MEDIAN(IF(('Medical Sales'!C3:C196="Osceola")*(LEFT('Medical Sales'!D3:D196,4)="2020")*('Medical Sales'!G3:G196&gt;=6000)*('Medical Sales'!G3:G196&lt;10000)*('Medical Sales'!U3:U196&lt;&gt;"Yes"),'Medical Sales'!E3:E196)),"-")</f>
        <v>-</v>
      </c>
      <c r="D59" s="195" t="str" cm="1">
        <f t="array" ref="D59">IFERROR(MEDIAN(IF(('Medical Sales'!C3:C196="Osceola")*(LEFT('Medical Sales'!D3:D196,4)="2020")*('Medical Sales'!G3:G196&gt;=6000)*('Medical Sales'!G3:G196&lt;10000)*('Medical Sales'!U3:U196&lt;&gt;"Yes"),'Medical Sales'!F3:F196)),"-")</f>
        <v>-</v>
      </c>
      <c r="E59" s="193" t="str" cm="1">
        <f t="array" ref="E59">IF(B59=0,"-",SUMPRODUCT(('Medical Sales'!C3:C196="Osceola")*(LEFT('Medical Sales'!D3:D196,4)="2020")*('Medical Sales'!G3:G196&gt;=6000)*('Medical Sales'!G3:G196&lt;10000)*('Medical Sales'!U3:U196&lt;&gt;"Yes")*('Medical Sales'!G3:G196))/B59)</f>
        <v>-</v>
      </c>
      <c r="F59" s="194" t="str" cm="1">
        <f t="array" ref="F59">IF(B59=0,"-",MIN(IF(('Medical Sales'!C3:C196="Osceola")*(LEFT('Medical Sales'!D3:D196,4)="2020")*('Medical Sales'!G3:G196&gt;=6000)*('Medical Sales'!G3:G196&lt;10000)*('Medical Sales'!U3:U196&lt;&gt;"Yes"),'Medical Sales'!E3:E196)))</f>
        <v>-</v>
      </c>
      <c r="G59" s="204" t="str" cm="1">
        <f t="array" ref="G59">IF(B59=0,"-",MAX(IF(('Medical Sales'!C3:C196="Osceola")*(LEFT('Medical Sales'!D3:D196,4)="2020")*('Medical Sales'!G3:G196&gt;=6000)*('Medical Sales'!G3:G196&lt;10000)*('Medical Sales'!U3:U196&lt;&gt;"Yes"),'Medical Sales'!E3:E196)))</f>
        <v>-</v>
      </c>
      <c r="H59" s="180"/>
      <c r="I59" s="180"/>
      <c r="J59" s="180"/>
      <c r="K59" s="180"/>
      <c r="L59" s="180"/>
      <c r="M59" s="180"/>
      <c r="N59" s="180"/>
      <c r="O59" s="180"/>
    </row>
    <row r="60" spans="1:15">
      <c r="A60" s="202" t="s">
        <v>184</v>
      </c>
      <c r="B60" s="197" cm="1">
        <f t="array" ref="B60">SUMPRODUCT(('Medical Sales'!C3:C196="Lake")*(LEFT('Medical Sales'!D3:D196,4)="2020")*('Medical Sales'!G3:G196&gt;=6000)*('Medical Sales'!G3:G196&lt;10000)*('Medical Sales'!U3:U196&lt;&gt;"Yes"))</f>
        <v>0</v>
      </c>
      <c r="C60" s="198" t="str" cm="1">
        <f t="array" ref="C60">IFERROR(MEDIAN(IF(('Medical Sales'!C3:C196="Lake")*(LEFT('Medical Sales'!D3:D196,4)="2020")*('Medical Sales'!G3:G196&gt;=6000)*('Medical Sales'!G3:G196&lt;10000)*('Medical Sales'!U3:U196&lt;&gt;"Yes"),'Medical Sales'!E3:E196)),"-")</f>
        <v>-</v>
      </c>
      <c r="D60" s="199" t="str" cm="1">
        <f t="array" ref="D60">IFERROR(MEDIAN(IF(('Medical Sales'!C3:C196="Lake")*(LEFT('Medical Sales'!D3:D196,4)="2020")*('Medical Sales'!G3:G196&gt;=6000)*('Medical Sales'!G3:G196&lt;10000)*('Medical Sales'!U3:U196&lt;&gt;"Yes"),'Medical Sales'!F3:F196)),"-")</f>
        <v>-</v>
      </c>
      <c r="E60" s="197" t="str" cm="1">
        <f t="array" ref="E60">IF(B60=0,"-",SUMPRODUCT(('Medical Sales'!C3:C196="Lake")*(LEFT('Medical Sales'!D3:D196,4)="2020")*('Medical Sales'!G3:G196&gt;=6000)*('Medical Sales'!G3:G196&lt;10000)*('Medical Sales'!U3:U196&lt;&gt;"Yes")*('Medical Sales'!G3:G196))/B60)</f>
        <v>-</v>
      </c>
      <c r="F60" s="198" t="str" cm="1">
        <f t="array" ref="F60">IF(B60=0,"-",MIN(IF(('Medical Sales'!C3:C196="Lake")*(LEFT('Medical Sales'!D3:D196,4)="2020")*('Medical Sales'!G3:G196&gt;=6000)*('Medical Sales'!G3:G196&lt;10000)*('Medical Sales'!U3:U196&lt;&gt;"Yes"),'Medical Sales'!E3:E196)))</f>
        <v>-</v>
      </c>
      <c r="G60" s="205" t="str" cm="1">
        <f t="array" ref="G60">IF(B60=0,"-",MAX(IF(('Medical Sales'!C3:C196="Lake")*(LEFT('Medical Sales'!D3:D196,4)="2020")*('Medical Sales'!G3:G196&gt;=6000)*('Medical Sales'!G3:G196&lt;10000)*('Medical Sales'!U3:U196&lt;&gt;"Yes"),'Medical Sales'!E3:E196)))</f>
        <v>-</v>
      </c>
      <c r="H60" s="180"/>
      <c r="I60" s="180"/>
      <c r="J60" s="180"/>
      <c r="K60" s="180"/>
      <c r="L60" s="180"/>
      <c r="M60" s="180"/>
      <c r="N60" s="180"/>
      <c r="O60" s="180"/>
    </row>
    <row r="61" spans="1:15">
      <c r="A61" s="180"/>
      <c r="B61" s="180"/>
      <c r="C61" s="180"/>
      <c r="D61" s="180"/>
      <c r="E61" s="180"/>
      <c r="F61" s="180"/>
      <c r="G61" s="180"/>
      <c r="H61" s="180"/>
      <c r="I61" s="180"/>
      <c r="J61" s="180"/>
      <c r="K61" s="180"/>
      <c r="L61" s="180"/>
      <c r="M61" s="180"/>
      <c r="N61" s="180"/>
      <c r="O61" s="180"/>
    </row>
    <row r="62" spans="1:15">
      <c r="A62" s="180"/>
      <c r="B62" s="180"/>
      <c r="C62" s="180"/>
      <c r="D62" s="180"/>
      <c r="E62" s="180"/>
      <c r="F62" s="180"/>
      <c r="G62" s="180"/>
      <c r="H62" s="180"/>
      <c r="I62" s="180"/>
      <c r="J62" s="180"/>
      <c r="K62" s="180"/>
      <c r="L62" s="180"/>
      <c r="M62" s="180"/>
      <c r="N62" s="180"/>
      <c r="O62" s="180"/>
    </row>
    <row r="63" spans="1:15" ht="20" thickBot="1">
      <c r="A63" s="87" t="s">
        <v>6265</v>
      </c>
      <c r="B63" s="88"/>
      <c r="C63" s="88"/>
      <c r="D63" s="88"/>
      <c r="E63" s="88"/>
      <c r="F63" s="88"/>
      <c r="G63" s="88"/>
      <c r="H63" s="59"/>
      <c r="I63" s="59"/>
      <c r="J63" s="59"/>
      <c r="K63" s="59"/>
      <c r="L63" s="59"/>
      <c r="M63" s="59"/>
      <c r="N63" s="59"/>
      <c r="O63" s="59"/>
    </row>
    <row r="64" spans="1:15">
      <c r="A64" s="89" t="s">
        <v>6266</v>
      </c>
      <c r="B64" s="59"/>
      <c r="C64" s="59"/>
      <c r="D64" s="256" t="s">
        <v>6288</v>
      </c>
      <c r="E64" s="170"/>
      <c r="F64" s="170"/>
      <c r="G64" s="257"/>
      <c r="H64" s="59"/>
      <c r="I64" s="59"/>
      <c r="J64" s="59"/>
      <c r="K64" s="59"/>
      <c r="L64" s="59"/>
      <c r="M64" s="59"/>
      <c r="N64" s="59"/>
      <c r="O64" s="59"/>
    </row>
    <row r="65" spans="1:15">
      <c r="A65" s="146" t="s">
        <v>6267</v>
      </c>
      <c r="B65" s="149" cm="1">
        <f t="array" ref="B65">SUMPRODUCT((LEFT('Medical Sales'!D3:D196,4)="2020")*('Medical Sales'!G3:G196&gt;=10000)*('Medical Sales'!U3:U196&lt;&gt;"Yes"))</f>
        <v>1</v>
      </c>
      <c r="C65" s="59"/>
      <c r="D65" s="173" t="s">
        <v>6289</v>
      </c>
      <c r="E65" s="111"/>
      <c r="F65" s="111"/>
      <c r="G65" s="177"/>
      <c r="H65" s="59"/>
      <c r="I65" s="59"/>
      <c r="J65" s="59"/>
      <c r="K65" s="59"/>
      <c r="L65" s="59"/>
      <c r="M65" s="59"/>
      <c r="N65" s="59"/>
      <c r="O65" s="59"/>
    </row>
    <row r="66" spans="1:15">
      <c r="A66" s="147" t="s">
        <v>6216</v>
      </c>
      <c r="B66" s="150" cm="1">
        <f t="array" ref="B66">SUMPRODUCT((LEFT('Medical Sales'!D3:D196,4)="2020")*('Medical Sales'!G3:G196&gt;=10000)*('Medical Sales'!U3:U196&lt;&gt;"Yes")*('Medical Sales'!E3:E196))</f>
        <v>550000</v>
      </c>
      <c r="C66" s="59"/>
      <c r="D66" s="174"/>
      <c r="E66" s="111"/>
      <c r="F66" s="111"/>
      <c r="G66" s="177"/>
      <c r="H66" s="59"/>
      <c r="I66" s="59"/>
      <c r="J66" s="59"/>
      <c r="K66" s="59"/>
      <c r="L66" s="59"/>
      <c r="M66" s="59"/>
      <c r="N66" s="59"/>
      <c r="O66" s="59"/>
    </row>
    <row r="67" spans="1:15">
      <c r="A67" s="147" t="s">
        <v>6218</v>
      </c>
      <c r="B67" s="150" cm="1">
        <f t="array" ref="B67">IFERROR(MEDIAN(IF((LEFT('Medical Sales'!D3:D196,4)="2020")*('Medical Sales'!G3:G196&gt;=10000)*('Medical Sales'!U3:U196&lt;&gt;"Yes"),'Medical Sales'!E3:E196)),"-")</f>
        <v>550000</v>
      </c>
      <c r="C67" s="59"/>
      <c r="D67" s="173" t="s">
        <v>6326</v>
      </c>
      <c r="E67" s="111"/>
      <c r="F67" s="111"/>
      <c r="G67" s="177"/>
      <c r="H67" s="59"/>
      <c r="I67" s="59"/>
      <c r="J67" s="59"/>
      <c r="K67" s="59"/>
      <c r="L67" s="59"/>
      <c r="M67" s="59"/>
      <c r="N67" s="59"/>
      <c r="O67" s="59"/>
    </row>
    <row r="68" spans="1:15">
      <c r="A68" s="147" t="s">
        <v>6259</v>
      </c>
      <c r="B68" s="150">
        <f>IF(B65=0,"-",B66/B65)</f>
        <v>550000</v>
      </c>
      <c r="C68" s="59"/>
      <c r="D68" s="173" t="s">
        <v>6327</v>
      </c>
      <c r="E68" s="111"/>
      <c r="F68" s="111"/>
      <c r="G68" s="177"/>
      <c r="H68" s="59"/>
      <c r="I68" s="59"/>
      <c r="J68" s="59"/>
      <c r="K68" s="59"/>
      <c r="L68" s="59"/>
      <c r="M68" s="59"/>
      <c r="N68" s="59"/>
      <c r="O68" s="59"/>
    </row>
    <row r="69" spans="1:15">
      <c r="A69" s="147" t="s">
        <v>6220</v>
      </c>
      <c r="B69" s="151" cm="1">
        <f t="array" ref="B69">IFERROR(MEDIAN(IF((LEFT('Medical Sales'!D3:D196,4)="2020")*('Medical Sales'!G3:G196&gt;=10000)*('Medical Sales'!U3:U196&lt;&gt;"Yes"),'Medical Sales'!F3:F196)),"-")</f>
        <v>45.304777594728172</v>
      </c>
      <c r="C69" s="59"/>
      <c r="D69" s="173" t="s">
        <v>6328</v>
      </c>
      <c r="E69" s="111"/>
      <c r="F69" s="111"/>
      <c r="G69" s="177"/>
      <c r="H69" s="59"/>
      <c r="I69" s="59"/>
      <c r="J69" s="59"/>
      <c r="K69" s="59"/>
      <c r="L69" s="59"/>
      <c r="M69" s="59"/>
      <c r="N69" s="59"/>
      <c r="O69" s="59"/>
    </row>
    <row r="70" spans="1:15">
      <c r="A70" s="147" t="s">
        <v>6260</v>
      </c>
      <c r="B70" s="151" cm="1">
        <f t="array" ref="B70">IF(B65=0,"-",SUMPRODUCT((LEFT('Medical Sales'!D3:D196,4)="2020")*('Medical Sales'!G3:G196&gt;=10000)*('Medical Sales'!U3:U196&lt;&gt;"Yes")*('Medical Sales'!F3:F196))/B65)</f>
        <v>45.304777594728172</v>
      </c>
      <c r="C70" s="59"/>
      <c r="D70" s="173" t="s">
        <v>6329</v>
      </c>
      <c r="E70" s="111"/>
      <c r="F70" s="111"/>
      <c r="G70" s="177"/>
      <c r="H70" s="59"/>
      <c r="I70" s="59"/>
      <c r="J70" s="59"/>
      <c r="K70" s="59"/>
      <c r="L70" s="59"/>
      <c r="M70" s="59"/>
      <c r="N70" s="59"/>
      <c r="O70" s="59"/>
    </row>
    <row r="71" spans="1:15">
      <c r="A71" s="147" t="s">
        <v>6261</v>
      </c>
      <c r="B71" s="152" cm="1">
        <f t="array" ref="B71">IF(B65=0,"-",SUMPRODUCT((LEFT('Medical Sales'!D3:D196,4)="2020")*('Medical Sales'!G3:G196&gt;=10000)*('Medical Sales'!U3:U196&lt;&gt;"Yes")*('Medical Sales'!G3:G196))/B65)</f>
        <v>12140</v>
      </c>
      <c r="C71" s="59"/>
      <c r="D71" s="173" t="s">
        <v>6330</v>
      </c>
      <c r="E71" s="111"/>
      <c r="F71" s="111"/>
      <c r="G71" s="177"/>
      <c r="H71" s="59"/>
      <c r="I71" s="59"/>
      <c r="J71" s="59"/>
      <c r="K71" s="59"/>
      <c r="L71" s="59"/>
      <c r="M71" s="59"/>
      <c r="N71" s="59"/>
      <c r="O71" s="59"/>
    </row>
    <row r="72" spans="1:15">
      <c r="A72" s="147" t="s">
        <v>6262</v>
      </c>
      <c r="B72" s="150" cm="1">
        <f t="array" ref="B72">IFERROR(MIN(IF((LEFT('Medical Sales'!D3:D196,4)="2020")*('Medical Sales'!G3:G196&gt;=10000)*('Medical Sales'!U3:U196&lt;&gt;"Yes"),'Medical Sales'!E3:E196)),"-")</f>
        <v>550000</v>
      </c>
      <c r="C72" s="59"/>
      <c r="D72" s="173" t="s">
        <v>6331</v>
      </c>
      <c r="E72" s="111"/>
      <c r="F72" s="111"/>
      <c r="G72" s="177"/>
      <c r="H72" s="59"/>
      <c r="I72" s="59"/>
      <c r="J72" s="59"/>
      <c r="K72" s="59"/>
      <c r="L72" s="59"/>
      <c r="M72" s="59"/>
      <c r="N72" s="59"/>
      <c r="O72" s="59"/>
    </row>
    <row r="73" spans="1:15" ht="17" thickBot="1">
      <c r="A73" s="148" t="s">
        <v>6263</v>
      </c>
      <c r="B73" s="153" cm="1">
        <f t="array" ref="B73">IFERROR(MAX(IF((LEFT('Medical Sales'!D3:D196,4)="2020")*('Medical Sales'!G3:G196&gt;=10000)*('Medical Sales'!U3:U196&lt;&gt;"Yes"),'Medical Sales'!E3:E196)),"-")</f>
        <v>550000</v>
      </c>
      <c r="C73" s="59"/>
      <c r="D73" s="258"/>
      <c r="E73" s="171"/>
      <c r="F73" s="171"/>
      <c r="G73" s="259"/>
      <c r="H73" s="59"/>
      <c r="I73" s="59"/>
      <c r="J73" s="59"/>
      <c r="K73" s="59"/>
      <c r="L73" s="59"/>
      <c r="M73" s="59"/>
      <c r="N73" s="59"/>
      <c r="O73" s="59"/>
    </row>
    <row r="74" spans="1:15">
      <c r="A74" s="59"/>
      <c r="B74" s="59"/>
      <c r="C74" s="59"/>
      <c r="D74" s="59"/>
      <c r="E74" s="59"/>
      <c r="F74" s="59"/>
      <c r="G74" s="59"/>
      <c r="H74" s="59"/>
      <c r="I74" s="59"/>
      <c r="J74" s="59"/>
      <c r="K74" s="59"/>
      <c r="L74" s="59"/>
      <c r="M74" s="59"/>
      <c r="N74" s="59"/>
      <c r="O74" s="59"/>
    </row>
    <row r="75" spans="1:15">
      <c r="A75" s="89" t="s">
        <v>6268</v>
      </c>
      <c r="B75" s="59"/>
      <c r="C75" s="59"/>
      <c r="D75" s="59"/>
      <c r="E75" s="59"/>
      <c r="F75" s="59"/>
      <c r="G75" s="59"/>
      <c r="H75" s="59"/>
      <c r="I75" s="59"/>
      <c r="J75" s="59"/>
      <c r="K75" s="59"/>
      <c r="L75" s="59"/>
      <c r="M75" s="59"/>
      <c r="N75" s="59"/>
      <c r="O75" s="59"/>
    </row>
    <row r="76" spans="1:15">
      <c r="A76" s="158" t="s">
        <v>2</v>
      </c>
      <c r="B76" s="157" t="s">
        <v>6215</v>
      </c>
      <c r="C76" s="157" t="s">
        <v>6218</v>
      </c>
      <c r="D76" s="157" t="s">
        <v>6220</v>
      </c>
      <c r="E76" s="157" t="s">
        <v>6221</v>
      </c>
      <c r="F76" s="157" t="s">
        <v>6230</v>
      </c>
      <c r="G76" s="159" t="s">
        <v>6231</v>
      </c>
      <c r="H76" s="59"/>
      <c r="I76" s="59"/>
      <c r="J76" s="59"/>
      <c r="K76" s="59"/>
      <c r="L76" s="59"/>
      <c r="M76" s="59"/>
      <c r="N76" s="59"/>
      <c r="O76" s="59"/>
    </row>
    <row r="77" spans="1:15">
      <c r="A77" s="137" t="s">
        <v>33</v>
      </c>
      <c r="B77" s="117" cm="1">
        <f t="array" ref="B77">SUMPRODUCT(('Medical Sales'!C3:C196="Orange")*(LEFT('Medical Sales'!D3:D196,4)="2020")*('Medical Sales'!G3:G196&gt;=10000)*('Medical Sales'!U3:U196&lt;&gt;"Yes"))</f>
        <v>0</v>
      </c>
      <c r="C77" s="118" t="str" cm="1">
        <f t="array" ref="C77">IFERROR(MEDIAN(IF(('Medical Sales'!C3:C196="Orange")*(LEFT('Medical Sales'!D3:D196,4)="2020")*('Medical Sales'!G3:G196&gt;=10000)*('Medical Sales'!U3:U196&lt;&gt;"Yes"),'Medical Sales'!E3:E196)),"-")</f>
        <v>-</v>
      </c>
      <c r="D77" s="119" t="str" cm="1">
        <f t="array" ref="D77">IFERROR(MEDIAN(IF(('Medical Sales'!C3:C196="Orange")*(LEFT('Medical Sales'!D3:D196,4)="2020")*('Medical Sales'!G3:G196&gt;=10000)*('Medical Sales'!U3:U196&lt;&gt;"Yes"),'Medical Sales'!F3:F196)),"-")</f>
        <v>-</v>
      </c>
      <c r="E77" s="117" t="str" cm="1">
        <f t="array" ref="E77">IF(B77=0,"-",SUMPRODUCT(('Medical Sales'!C3:C196="Orange")*(LEFT('Medical Sales'!D3:D196,4)="2020")*('Medical Sales'!G3:G196&gt;=10000)*('Medical Sales'!U3:U196&lt;&gt;"Yes")*('Medical Sales'!G3:G196))/B77)</f>
        <v>-</v>
      </c>
      <c r="F77" s="118" t="str" cm="1">
        <f t="array" ref="F77">IF(B77=0,"-",MIN(IF(('Medical Sales'!C3:C196="Orange")*(LEFT('Medical Sales'!D3:D196,4)="2020")*('Medical Sales'!G3:G196&gt;=10000)*('Medical Sales'!U3:U196&lt;&gt;"Yes"),'Medical Sales'!E3:E196)))</f>
        <v>-</v>
      </c>
      <c r="G77" s="140" t="str" cm="1">
        <f t="array" ref="G77">IF(B77=0,"-",MAX(IF(('Medical Sales'!C3:C196="Orange")*(LEFT('Medical Sales'!D3:D196,4)="2020")*('Medical Sales'!G3:G196&gt;=10000)*('Medical Sales'!U3:U196&lt;&gt;"Yes"),'Medical Sales'!E3:E196)))</f>
        <v>-</v>
      </c>
      <c r="H77" s="59"/>
      <c r="I77" s="59"/>
      <c r="J77" s="59"/>
      <c r="K77" s="59"/>
      <c r="L77" s="59"/>
      <c r="M77" s="59"/>
      <c r="N77" s="59"/>
      <c r="O77" s="59"/>
    </row>
    <row r="78" spans="1:15">
      <c r="A78" s="137" t="s">
        <v>20</v>
      </c>
      <c r="B78" s="117" cm="1">
        <f t="array" ref="B78">SUMPRODUCT(('Medical Sales'!C3:C196="Seminole")*(LEFT('Medical Sales'!D3:D196,4)="2020")*('Medical Sales'!G3:G196&gt;=10000)*('Medical Sales'!U3:U196&lt;&gt;"Yes"))</f>
        <v>1</v>
      </c>
      <c r="C78" s="118" cm="1">
        <f t="array" ref="C78">IFERROR(MEDIAN(IF(('Medical Sales'!C3:C196="Seminole")*(LEFT('Medical Sales'!D3:D196,4)="2020")*('Medical Sales'!G3:G196&gt;=10000)*('Medical Sales'!U3:U196&lt;&gt;"Yes"),'Medical Sales'!E3:E196)),"-")</f>
        <v>550000</v>
      </c>
      <c r="D78" s="119" cm="1">
        <f t="array" ref="D78">IFERROR(MEDIAN(IF(('Medical Sales'!C3:C196="Seminole")*(LEFT('Medical Sales'!D3:D196,4)="2020")*('Medical Sales'!G3:G196&gt;=10000)*('Medical Sales'!U3:U196&lt;&gt;"Yes"),'Medical Sales'!F3:F196)),"-")</f>
        <v>45.304777594728172</v>
      </c>
      <c r="E78" s="117" cm="1">
        <f t="array" ref="E78">IF(B78=0,"-",SUMPRODUCT(('Medical Sales'!C3:C196="Seminole")*(LEFT('Medical Sales'!D3:D196,4)="2020")*('Medical Sales'!G3:G196&gt;=10000)*('Medical Sales'!U3:U196&lt;&gt;"Yes")*('Medical Sales'!G3:G196))/B78)</f>
        <v>12140</v>
      </c>
      <c r="F78" s="118" cm="1">
        <f t="array" ref="F78">IF(B78=0,"-",MIN(IF(('Medical Sales'!C3:C196="Seminole")*(LEFT('Medical Sales'!D3:D196,4)="2020")*('Medical Sales'!G3:G196&gt;=10000)*('Medical Sales'!U3:U196&lt;&gt;"Yes"),'Medical Sales'!E3:E196)))</f>
        <v>550000</v>
      </c>
      <c r="G78" s="140" cm="1">
        <f t="array" ref="G78">IF(B78=0,"-",MAX(IF(('Medical Sales'!C3:C196="Seminole")*(LEFT('Medical Sales'!D3:D196,4)="2020")*('Medical Sales'!G3:G196&gt;=10000)*('Medical Sales'!U3:U196&lt;&gt;"Yes"),'Medical Sales'!E3:E196)))</f>
        <v>550000</v>
      </c>
      <c r="H78" s="59"/>
      <c r="I78" s="59"/>
      <c r="J78" s="59"/>
      <c r="K78" s="59"/>
      <c r="L78" s="59"/>
      <c r="M78" s="59"/>
      <c r="N78" s="59"/>
      <c r="O78" s="59"/>
    </row>
    <row r="79" spans="1:15">
      <c r="A79" s="137" t="s">
        <v>678</v>
      </c>
      <c r="B79" s="117" cm="1">
        <f t="array" ref="B79">SUMPRODUCT(('Medical Sales'!C3:C196="Osceola")*(LEFT('Medical Sales'!D3:D196,4)="2020")*('Medical Sales'!G3:G196&gt;=10000)*('Medical Sales'!U3:U196&lt;&gt;"Yes"))</f>
        <v>0</v>
      </c>
      <c r="C79" s="118" t="str" cm="1">
        <f t="array" ref="C79">IFERROR(MEDIAN(IF(('Medical Sales'!C3:C196="Osceola")*(LEFT('Medical Sales'!D3:D196,4)="2020")*('Medical Sales'!G3:G196&gt;=10000)*('Medical Sales'!U3:U196&lt;&gt;"Yes"),'Medical Sales'!E3:E196)),"-")</f>
        <v>-</v>
      </c>
      <c r="D79" s="119" t="str" cm="1">
        <f t="array" ref="D79">IFERROR(MEDIAN(IF(('Medical Sales'!C3:C196="Osceola")*(LEFT('Medical Sales'!D3:D196,4)="2020")*('Medical Sales'!G3:G196&gt;=10000)*('Medical Sales'!U3:U196&lt;&gt;"Yes"),'Medical Sales'!F3:F196)),"-")</f>
        <v>-</v>
      </c>
      <c r="E79" s="117" t="str" cm="1">
        <f t="array" ref="E79">IF(B79=0,"-",SUMPRODUCT(('Medical Sales'!C3:C196="Osceola")*(LEFT('Medical Sales'!D3:D196,4)="2020")*('Medical Sales'!G3:G196&gt;=10000)*('Medical Sales'!U3:U196&lt;&gt;"Yes")*('Medical Sales'!G3:G196))/B79)</f>
        <v>-</v>
      </c>
      <c r="F79" s="118" t="str" cm="1">
        <f t="array" ref="F79">IF(B79=0,"-",MIN(IF(('Medical Sales'!C3:C196="Osceola")*(LEFT('Medical Sales'!D3:D196,4)="2020")*('Medical Sales'!G3:G196&gt;=10000)*('Medical Sales'!U3:U196&lt;&gt;"Yes"),'Medical Sales'!E3:E196)))</f>
        <v>-</v>
      </c>
      <c r="G79" s="140" t="str" cm="1">
        <f t="array" ref="G79">IF(B79=0,"-",MAX(IF(('Medical Sales'!C3:C196="Osceola")*(LEFT('Medical Sales'!D3:D196,4)="2020")*('Medical Sales'!G3:G196&gt;=10000)*('Medical Sales'!U3:U196&lt;&gt;"Yes"),'Medical Sales'!E3:E196)))</f>
        <v>-</v>
      </c>
      <c r="H79" s="59"/>
      <c r="I79" s="59"/>
      <c r="J79" s="59"/>
      <c r="K79" s="59"/>
      <c r="L79" s="59"/>
      <c r="M79" s="59"/>
      <c r="N79" s="59"/>
      <c r="O79" s="59"/>
    </row>
    <row r="80" spans="1:15">
      <c r="A80" s="138" t="s">
        <v>184</v>
      </c>
      <c r="B80" s="142">
        <f>COUNTIFS('Medical Sales'!C:C,"Lake",'Medical Sales'!D:D,"2020*",'Medical Sales'!G:G,"&gt;=10000")</f>
        <v>1</v>
      </c>
      <c r="C80" s="143" cm="1">
        <f t="array" ref="C80">IFERROR(MEDIAN(IF(('Medical Sales'!C3:C196="Lake")*(LEFT('Medical Sales'!D3:D196,4)="2020")*('Medical Sales'!G3:G196&gt;=10000),'Medical Sales'!E3:E196)),"-")</f>
        <v>1340800</v>
      </c>
      <c r="D80" s="144" cm="1">
        <f t="array" ref="D80">IFERROR(MEDIAN(IF(('Medical Sales'!C3:C196="Lake")*(LEFT('Medical Sales'!D3:D196,4)="2020")*('Medical Sales'!G3:G196&gt;=10000),'Medical Sales'!F3:F196)),"-")</f>
        <v>111.71471421429762</v>
      </c>
      <c r="E80" s="142" cm="1">
        <f t="array" ref="E80">IF(B80=0,"-",SUMPRODUCT(('Medical Sales'!C3:C196="Lake")*(LEFT('Medical Sales'!D3:D196,4)="2020")*('Medical Sales'!G3:G196&gt;=10000)*('Medical Sales'!G3:G196))/B80)</f>
        <v>12002</v>
      </c>
      <c r="F80" s="143" cm="1">
        <f t="array" ref="F80">IFERROR(MIN(IF(('Medical Sales'!C3:C196="Lake")*(LEFT('Medical Sales'!D3:D196,4)="2020")*('Medical Sales'!G3:G196&gt;=10000),'Medical Sales'!E3:E196)),"-")</f>
        <v>1340800</v>
      </c>
      <c r="G80" s="145" cm="1">
        <f t="array" ref="G80">IFERROR(MAX(IF(('Medical Sales'!C3:C196="Lake")*(LEFT('Medical Sales'!D3:D196,4)="2020")*('Medical Sales'!G3:G196&gt;=10000),'Medical Sales'!E3:E196)),"-")</f>
        <v>1340800</v>
      </c>
      <c r="H80" s="59"/>
      <c r="I80" s="59"/>
      <c r="J80" s="59"/>
      <c r="K80" s="59"/>
      <c r="L80" s="59"/>
      <c r="M80" s="59"/>
      <c r="N80" s="59"/>
      <c r="O80" s="59"/>
    </row>
    <row r="81" spans="1:15">
      <c r="A81" s="59"/>
      <c r="B81" s="59"/>
      <c r="C81" s="59"/>
      <c r="D81" s="59"/>
      <c r="E81" s="59"/>
      <c r="F81" s="59"/>
      <c r="G81" s="59"/>
      <c r="H81" s="59"/>
      <c r="I81" s="59"/>
      <c r="J81" s="59"/>
      <c r="K81" s="59"/>
      <c r="L81" s="59"/>
      <c r="M81" s="59"/>
      <c r="N81" s="59"/>
      <c r="O81" s="59"/>
    </row>
    <row r="82" spans="1:15">
      <c r="A82" s="89" t="s">
        <v>6269</v>
      </c>
      <c r="B82" s="59"/>
      <c r="C82" s="59"/>
      <c r="D82" s="59"/>
      <c r="E82" s="59"/>
      <c r="F82" s="59"/>
      <c r="G82" s="59"/>
      <c r="H82" s="59"/>
      <c r="I82" s="59"/>
      <c r="J82" s="59"/>
      <c r="K82" s="59"/>
      <c r="L82" s="59"/>
      <c r="M82" s="59"/>
      <c r="N82" s="59"/>
      <c r="O82" s="59"/>
    </row>
    <row r="83" spans="1:15">
      <c r="A83" s="158" t="s">
        <v>6214</v>
      </c>
      <c r="B83" s="157" t="s">
        <v>6215</v>
      </c>
      <c r="C83" s="157" t="s">
        <v>6216</v>
      </c>
      <c r="D83" s="157" t="s">
        <v>6218</v>
      </c>
      <c r="E83" s="157" t="s">
        <v>6220</v>
      </c>
      <c r="F83" s="157" t="s">
        <v>6221</v>
      </c>
      <c r="G83" s="159" t="s">
        <v>6231</v>
      </c>
      <c r="H83" s="59"/>
      <c r="I83" s="59"/>
      <c r="J83" s="59"/>
      <c r="K83" s="59"/>
      <c r="L83" s="59"/>
      <c r="M83" s="59"/>
      <c r="N83" s="59"/>
      <c r="O83" s="59"/>
    </row>
    <row r="84" spans="1:15">
      <c r="A84" s="137" t="s">
        <v>26</v>
      </c>
      <c r="B84" s="117" cm="1">
        <f t="array" ref="B84">SUMPRODUCT(('Medical Sales'!N3:N196="Medical")*(LEFT('Medical Sales'!D3:D196,4)="2020")*('Medical Sales'!G3:G196&gt;=10000)*('Medical Sales'!U3:U196&lt;&gt;"Yes"))</f>
        <v>0</v>
      </c>
      <c r="C84" s="118" t="str" cm="1">
        <f t="array" ref="C84">IF(B84=0,"-",SUMPRODUCT(('Medical Sales'!N3:N196="Medical")*(LEFT('Medical Sales'!D3:D196,4)="2020")*('Medical Sales'!G3:G196&gt;=10000)*('Medical Sales'!U3:U196&lt;&gt;"Yes")*('Medical Sales'!E3:E196)))</f>
        <v>-</v>
      </c>
      <c r="D84" s="118" t="str" cm="1">
        <f t="array" ref="D84">IFERROR(MEDIAN(IF(('Medical Sales'!N3:N196="Medical")*(LEFT('Medical Sales'!D3:D196,4)="2020")*('Medical Sales'!G3:G196&gt;=10000)*('Medical Sales'!U3:U196&lt;&gt;"Yes"),'Medical Sales'!E3:E196)),"-")</f>
        <v>-</v>
      </c>
      <c r="E84" s="119" t="str" cm="1">
        <f t="array" ref="E84">IFERROR(MEDIAN(IF(('Medical Sales'!N3:N196="Medical")*(LEFT('Medical Sales'!D3:D196,4)="2020")*('Medical Sales'!G3:G196&gt;=10000)*('Medical Sales'!U3:U196&lt;&gt;"Yes"),'Medical Sales'!F3:F196)),"-")</f>
        <v>-</v>
      </c>
      <c r="F84" s="117" t="str" cm="1">
        <f t="array" ref="F84">IF(B84=0,"-",SUMPRODUCT(('Medical Sales'!N3:N196="Medical")*(LEFT('Medical Sales'!D3:D196,4)="2020")*('Medical Sales'!G3:G196&gt;=10000)*('Medical Sales'!U3:U196&lt;&gt;"Yes")*('Medical Sales'!G3:G196))/B84)</f>
        <v>-</v>
      </c>
      <c r="G84" s="140" cm="1">
        <f t="array" ref="G84">IFERROR(MAX(IF(('Medical Sales'!N3:N196="Medical")*(LEFT('Medical Sales'!D3:D196,4)="2020")*('Medical Sales'!G3:G196&gt;=10000)*('Medical Sales'!U3:U196&lt;&gt;"Yes"),'Medical Sales'!E3:E196)),"-")</f>
        <v>0</v>
      </c>
      <c r="H84" s="59"/>
      <c r="I84" s="59"/>
      <c r="J84" s="59"/>
      <c r="K84" s="59"/>
      <c r="L84" s="59"/>
      <c r="M84" s="59"/>
      <c r="N84" s="59"/>
      <c r="O84" s="59"/>
    </row>
    <row r="85" spans="1:15">
      <c r="A85" s="137" t="s">
        <v>1519</v>
      </c>
      <c r="B85" s="117" cm="1">
        <f t="array" ref="B85">SUMPRODUCT(('Medical Sales'!N3:N196="Multi-Tenant Medical")*(LEFT('Medical Sales'!D3:D196,4)="2020")*('Medical Sales'!G3:G196&gt;=10000)*('Medical Sales'!U3:U196&lt;&gt;"Yes"))</f>
        <v>0</v>
      </c>
      <c r="C85" s="118" t="str" cm="1">
        <f t="array" ref="C85">IF(B85=0,"-",SUMPRODUCT(('Medical Sales'!N3:N196="Multi-Tenant Medical")*(LEFT('Medical Sales'!D3:D196,4)="2020")*('Medical Sales'!G3:G196&gt;=10000)*('Medical Sales'!U3:U196&lt;&gt;"Yes")*('Medical Sales'!E3:E196)))</f>
        <v>-</v>
      </c>
      <c r="D85" s="118" t="str" cm="1">
        <f t="array" ref="D85">IFERROR(MEDIAN(IF(('Medical Sales'!N3:N196="Multi-Tenant Medical")*(LEFT('Medical Sales'!D3:D196,4)="2020")*('Medical Sales'!G3:G196&gt;=10000)*('Medical Sales'!U3:U196&lt;&gt;"Yes"),'Medical Sales'!E3:E196)),"-")</f>
        <v>-</v>
      </c>
      <c r="E85" s="119" t="str" cm="1">
        <f t="array" ref="E85">IFERROR(MEDIAN(IF(('Medical Sales'!N3:N196="Multi-Tenant Medical")*(LEFT('Medical Sales'!D3:D196,4)="2020")*('Medical Sales'!G3:G196&gt;=10000)*('Medical Sales'!U3:U196&lt;&gt;"Yes"),'Medical Sales'!F3:F196)),"-")</f>
        <v>-</v>
      </c>
      <c r="F85" s="117" t="str" cm="1">
        <f t="array" ref="F85">IF(B85=0,"-",SUMPRODUCT(('Medical Sales'!N3:N196="Multi-Tenant Medical")*(LEFT('Medical Sales'!D3:D196,4)="2020")*('Medical Sales'!G3:G196&gt;=10000)*('Medical Sales'!U3:U196&lt;&gt;"Yes")*('Medical Sales'!G3:G196))/B85)</f>
        <v>-</v>
      </c>
      <c r="G85" s="140" cm="1">
        <f t="array" ref="G85">IFERROR(MAX(IF(('Medical Sales'!N3:N196="Multi-Tenant Medical")*(LEFT('Medical Sales'!D3:D196,4)="2020")*('Medical Sales'!G3:G196&gt;=10000)*('Medical Sales'!U3:U196&lt;&gt;"Yes"),'Medical Sales'!E3:E196)),"-")</f>
        <v>0</v>
      </c>
      <c r="H85" s="59"/>
      <c r="I85" s="59"/>
      <c r="J85" s="59"/>
      <c r="K85" s="59"/>
      <c r="L85" s="59"/>
      <c r="M85" s="59"/>
      <c r="N85" s="59"/>
      <c r="O85" s="59"/>
    </row>
    <row r="86" spans="1:15">
      <c r="A86" s="138" t="s">
        <v>6212</v>
      </c>
      <c r="B86" s="142" cm="1">
        <f t="array" ref="B86">SUMPRODUCT(('Medical Sales'!N3:N196="Hospitals")*(LEFT('Medical Sales'!D3:D196,4)="2020")*('Medical Sales'!G3:G196&gt;=10000)*('Medical Sales'!U3:U196&lt;&gt;"Yes"))</f>
        <v>1</v>
      </c>
      <c r="C86" s="143" cm="1">
        <f t="array" ref="C86">IF(B86=0,"-",SUMPRODUCT(('Medical Sales'!N3:N196="Hospitals")*(LEFT('Medical Sales'!D3:D196,4)="2020")*('Medical Sales'!G3:G196&gt;=10000)*('Medical Sales'!U3:U196&lt;&gt;"Yes")*('Medical Sales'!E3:E196)))</f>
        <v>550000</v>
      </c>
      <c r="D86" s="143" cm="1">
        <f t="array" ref="D86">IFERROR(MEDIAN(IF(('Medical Sales'!N3:N196="Hospitals")*(LEFT('Medical Sales'!D3:D196,4)="2020")*('Medical Sales'!G3:G196&gt;=10000)*('Medical Sales'!U3:U196&lt;&gt;"Yes"),'Medical Sales'!E3:E196)),"-")</f>
        <v>550000</v>
      </c>
      <c r="E86" s="144" cm="1">
        <f t="array" ref="E86">IFERROR(MEDIAN(IF(('Medical Sales'!N3:N196="Hospitals")*(LEFT('Medical Sales'!D3:D196,4)="2020")*('Medical Sales'!G3:G196&gt;=10000)*('Medical Sales'!U3:U196&lt;&gt;"Yes"),'Medical Sales'!F3:F196)),"-")</f>
        <v>45.304777594728172</v>
      </c>
      <c r="F86" s="142" cm="1">
        <f t="array" ref="F86">IF(B86=0,"-",SUMPRODUCT(('Medical Sales'!N3:N196="Hospitals")*(LEFT('Medical Sales'!D3:D196,4)="2020")*('Medical Sales'!G3:G196&gt;=10000)*('Medical Sales'!U3:U196&lt;&gt;"Yes")*('Medical Sales'!G3:G196))/B86)</f>
        <v>12140</v>
      </c>
      <c r="G86" s="145" cm="1">
        <f t="array" ref="G86">IFERROR(MAX(IF(('Medical Sales'!N3:N196="Hospitals")*(LEFT('Medical Sales'!D3:D196,4)="2020")*('Medical Sales'!G3:G196&gt;=10000)*('Medical Sales'!U3:U196&lt;&gt;"Yes"),'Medical Sales'!E3:E196)),"-")</f>
        <v>550000</v>
      </c>
      <c r="H86" s="59"/>
      <c r="I86" s="59"/>
      <c r="J86" s="59"/>
      <c r="K86" s="59"/>
      <c r="L86" s="59"/>
      <c r="M86" s="59"/>
      <c r="N86" s="59"/>
      <c r="O86" s="59"/>
    </row>
    <row r="87" spans="1:15">
      <c r="A87" s="59"/>
      <c r="B87" s="59"/>
      <c r="C87" s="59"/>
      <c r="D87" s="59"/>
      <c r="E87" s="59"/>
      <c r="F87" s="59"/>
      <c r="G87" s="59"/>
      <c r="H87" s="59"/>
      <c r="I87" s="59"/>
      <c r="J87" s="59"/>
      <c r="K87" s="59"/>
      <c r="L87" s="59"/>
      <c r="M87" s="59"/>
      <c r="N87" s="59"/>
      <c r="O87" s="59"/>
    </row>
    <row r="88" spans="1:15" ht="19">
      <c r="A88" s="229" t="s">
        <v>6307</v>
      </c>
      <c r="B88" s="230"/>
      <c r="C88" s="230"/>
      <c r="D88" s="230"/>
      <c r="E88" s="230"/>
      <c r="F88" s="230"/>
      <c r="G88" s="230"/>
      <c r="H88" s="230"/>
      <c r="M88" s="71" t="s">
        <v>6199</v>
      </c>
      <c r="N88" s="71" t="s">
        <v>6220</v>
      </c>
      <c r="O88" s="71" t="s">
        <v>6215</v>
      </c>
    </row>
    <row r="89" spans="1:15">
      <c r="A89" s="243" t="s">
        <v>6199</v>
      </c>
      <c r="B89" s="239" t="s">
        <v>6215</v>
      </c>
      <c r="C89" s="239" t="s">
        <v>6216</v>
      </c>
      <c r="D89" s="239" t="s">
        <v>6218</v>
      </c>
      <c r="E89" s="239" t="s">
        <v>6220</v>
      </c>
      <c r="F89" s="239" t="s">
        <v>6219</v>
      </c>
      <c r="G89" s="239" t="s">
        <v>6221</v>
      </c>
      <c r="H89" s="247" t="s">
        <v>6308</v>
      </c>
      <c r="M89" s="99" t="s">
        <v>6311</v>
      </c>
      <c r="N89" s="102">
        <f>E90</f>
        <v>87.84773060029282</v>
      </c>
      <c r="O89" s="99">
        <f>B90</f>
        <v>3</v>
      </c>
    </row>
    <row r="90" spans="1:15">
      <c r="A90" s="244" t="s">
        <v>6227</v>
      </c>
      <c r="B90" s="233" cm="1">
        <f t="array" ref="B90">SUMPRODUCT((LEFT('Medical Sales'!D3:D196,4)="2020")*('Medical Sales'!T3:T196="New")*('Medical Sales'!U3:U196&lt;&gt;"Yes"))</f>
        <v>3</v>
      </c>
      <c r="C90" s="234" cm="1">
        <f t="array" ref="C90">SUMPRODUCT((LEFT('Medical Sales'!D3:D196,4)="2020")*('Medical Sales'!T3:T196="New")*('Medical Sales'!U3:U196&lt;&gt;"Yes")*('Medical Sales'!E3:E196))</f>
        <v>6630000</v>
      </c>
      <c r="D90" s="234" cm="1">
        <f t="array" ref="D90">IFERROR(MEDIAN(IF((LEFT('Medical Sales'!D3:D196,4)="2020")*('Medical Sales'!T3:T196="New")*('Medical Sales'!U3:U196&lt;&gt;"Yes"),'Medical Sales'!E3:E196)),"-")</f>
        <v>780000</v>
      </c>
      <c r="E90" s="235" cm="1">
        <f t="array" ref="E90">IFERROR(MEDIAN(IF((LEFT('Medical Sales'!D3:D196,4)="2020")*('Medical Sales'!T3:T196="New")*('Medical Sales'!U3:U196&lt;&gt;"Yes"),'Medical Sales'!F3:F196)),"-")</f>
        <v>87.84773060029282</v>
      </c>
      <c r="F90" s="235" cm="1">
        <f t="array" ref="F90">IF(B90=0,"-",SUMPRODUCT((LEFT('Medical Sales'!D3:D196,4)="2020")*('Medical Sales'!T3:T196="New")*('Medical Sales'!U3:U196&lt;&gt;"Yes")*('Medical Sales'!F3:F196))/B90)</f>
        <v>345.65747544654408</v>
      </c>
      <c r="G90" s="233" cm="1">
        <f t="array" ref="G90">IF(B90=0,"-",SUMPRODUCT((LEFT('Medical Sales'!D3:D196,4)="2020")*('Medical Sales'!T3:T196="New")*('Medical Sales'!U3:U196&lt;&gt;"Yes")*('Medical Sales'!G3:G196))/B90)</f>
        <v>8961</v>
      </c>
      <c r="H90" s="248">
        <f>IF(OR(E92=0,E90=0),"-",(E90-E92)/E92)</f>
        <v>-0.78256307754384935</v>
      </c>
      <c r="M90" s="99" t="s">
        <v>6312</v>
      </c>
      <c r="N90" s="102">
        <f>E91</f>
        <v>570.6151508886112</v>
      </c>
      <c r="O90" s="99">
        <f>B91</f>
        <v>2</v>
      </c>
    </row>
    <row r="91" spans="1:15">
      <c r="A91" s="245" t="s">
        <v>6228</v>
      </c>
      <c r="B91" s="236" cm="1">
        <f t="array" ref="B91">SUMPRODUCT((LEFT('Medical Sales'!D3:D196,4)="2020")*('Medical Sales'!T3:T196="Normal")*('Medical Sales'!U3:U196&lt;&gt;"Yes"))</f>
        <v>2</v>
      </c>
      <c r="C91" s="237" cm="1">
        <f t="array" ref="C91">SUMPRODUCT((LEFT('Medical Sales'!D3:D196,4)="2020")*('Medical Sales'!T3:T196="Normal")*('Medical Sales'!U3:U196&lt;&gt;"Yes")*('Medical Sales'!E3:E196))</f>
        <v>2680000</v>
      </c>
      <c r="D91" s="237" cm="1">
        <f t="array" ref="D91">IFERROR(MEDIAN(IF((LEFT('Medical Sales'!D3:D196,4)="2020")*('Medical Sales'!T3:T196="Normal")*('Medical Sales'!U3:U196&lt;&gt;"Yes"),'Medical Sales'!E3:E196)),"-")</f>
        <v>1340000</v>
      </c>
      <c r="E91" s="238" cm="1">
        <f t="array" ref="E91">IFERROR(MEDIAN(IF((LEFT('Medical Sales'!D3:D196,4)="2020")*('Medical Sales'!T3:T196="Normal")*('Medical Sales'!U3:U196&lt;&gt;"Yes"),'Medical Sales'!F3:F196)),"-")</f>
        <v>570.6151508886112</v>
      </c>
      <c r="F91" s="238" cm="1">
        <f t="array" ref="F91">IF(B91=0,"-",SUMPRODUCT((LEFT('Medical Sales'!D3:D196,4)="2020")*('Medical Sales'!T3:T196="Normal")*('Medical Sales'!U3:U196&lt;&gt;"Yes")*('Medical Sales'!F3:F196))/B91)</f>
        <v>570.6151508886112</v>
      </c>
      <c r="G91" s="236" cm="1">
        <f t="array" ref="G91">IF(B91=0,"-",SUMPRODUCT((LEFT('Medical Sales'!D3:D196,4)="2020")*('Medical Sales'!T3:T196="Normal")*('Medical Sales'!U3:U196&lt;&gt;"Yes")*('Medical Sales'!G3:G196))/B91)</f>
        <v>2368.5</v>
      </c>
      <c r="H91" s="249">
        <f>IF(OR(E92=0,E91=0),"-",(E91-E92)/E92)</f>
        <v>0.41236206636461537</v>
      </c>
      <c r="M91" s="99" t="s">
        <v>6229</v>
      </c>
      <c r="N91" s="102">
        <f>E92</f>
        <v>404.01478096714982</v>
      </c>
      <c r="O91" s="99">
        <f>B92</f>
        <v>2</v>
      </c>
    </row>
    <row r="92" spans="1:15">
      <c r="A92" s="246" t="s">
        <v>6229</v>
      </c>
      <c r="B92" s="240" cm="1">
        <f t="array" ref="B92">SUMPRODUCT((LEFT('Medical Sales'!D3:D196,4)="2020")*('Medical Sales'!T3:T196="Old")*('Medical Sales'!U3:U196&lt;&gt;"Yes"))</f>
        <v>2</v>
      </c>
      <c r="C92" s="241" cm="1">
        <f t="array" ref="C92">SUMPRODUCT((LEFT('Medical Sales'!D3:D196,4)="2020")*('Medical Sales'!T3:T196="Old")*('Medical Sales'!U3:U196&lt;&gt;"Yes")*('Medical Sales'!E3:E196))</f>
        <v>2850000</v>
      </c>
      <c r="D92" s="241" cm="1">
        <f t="array" ref="D92">IFERROR(MEDIAN(IF((LEFT('Medical Sales'!D3:D196,4)="2020")*('Medical Sales'!T3:T196="Old")*('Medical Sales'!U3:U196&lt;&gt;"Yes"),'Medical Sales'!E3:E196)),"-")</f>
        <v>1425000</v>
      </c>
      <c r="E92" s="242" cm="1">
        <f t="array" ref="E92">IFERROR(MEDIAN(IF((LEFT('Medical Sales'!D3:D196,4)="2020")*('Medical Sales'!T3:T196="Old")*('Medical Sales'!U3:U196&lt;&gt;"Yes"),'Medical Sales'!F3:F196)),"-")</f>
        <v>404.01478096714982</v>
      </c>
      <c r="F92" s="242" cm="1">
        <f t="array" ref="F92">IF(B92=0,"-",SUMPRODUCT((LEFT('Medical Sales'!D3:D196,4)="2020")*('Medical Sales'!T3:T196="Old")*('Medical Sales'!U3:U196&lt;&gt;"Yes")*('Medical Sales'!F3:F196))/B92)</f>
        <v>404.01478096714987</v>
      </c>
      <c r="G92" s="240" cm="1">
        <f t="array" ref="G92">IF(B92=0,"-",SUMPRODUCT((LEFT('Medical Sales'!D3:D196,4)="2020")*('Medical Sales'!T3:T196="Old")*('Medical Sales'!U3:U196&lt;&gt;"Yes")*('Medical Sales'!G3:G196))/B92)</f>
        <v>3857</v>
      </c>
      <c r="H92" s="250" t="s">
        <v>6309</v>
      </c>
    </row>
    <row r="94" spans="1:15">
      <c r="A94" s="231" t="s">
        <v>6310</v>
      </c>
    </row>
    <row r="95" spans="1:15">
      <c r="A95" s="254" t="s">
        <v>6332</v>
      </c>
    </row>
    <row r="96" spans="1:15">
      <c r="A96" s="251" t="s">
        <v>6333</v>
      </c>
    </row>
    <row r="99" spans="1:15" ht="19">
      <c r="A99" s="55" t="s">
        <v>6270</v>
      </c>
      <c r="B99" s="55"/>
      <c r="C99" s="55"/>
      <c r="D99" s="55"/>
      <c r="E99" s="55"/>
      <c r="F99" s="55"/>
      <c r="G99" s="55"/>
      <c r="H99" s="55"/>
      <c r="I99" s="55"/>
      <c r="J99" s="55"/>
      <c r="K99" s="73"/>
      <c r="L99" s="73"/>
      <c r="M99" s="73"/>
      <c r="N99" s="59"/>
      <c r="O99" s="59"/>
    </row>
    <row r="100" spans="1:15">
      <c r="A100" s="56" t="s">
        <v>6271</v>
      </c>
      <c r="B100" s="56" t="s">
        <v>2</v>
      </c>
      <c r="C100" s="56" t="s">
        <v>6272</v>
      </c>
      <c r="D100" s="56" t="s">
        <v>4</v>
      </c>
      <c r="E100" s="56" t="s">
        <v>5</v>
      </c>
      <c r="F100" s="56" t="s">
        <v>6273</v>
      </c>
      <c r="G100" s="56" t="s">
        <v>6214</v>
      </c>
      <c r="H100" s="56" t="s">
        <v>15</v>
      </c>
      <c r="I100" s="56" t="s">
        <v>6274</v>
      </c>
      <c r="J100" s="56" t="s">
        <v>6199</v>
      </c>
      <c r="K100" s="56" t="s">
        <v>6317</v>
      </c>
      <c r="L100" s="56" t="s">
        <v>6319</v>
      </c>
      <c r="M100" s="56" t="s">
        <v>6528</v>
      </c>
      <c r="N100" s="59"/>
      <c r="O100" s="59"/>
    </row>
    <row r="101" spans="1:15">
      <c r="A101" s="59" t="s">
        <v>1276</v>
      </c>
      <c r="B101" s="60" t="s">
        <v>20</v>
      </c>
      <c r="C101" s="60" t="s">
        <v>330</v>
      </c>
      <c r="D101" s="63">
        <v>550000</v>
      </c>
      <c r="E101" s="61">
        <v>45.304777594728201</v>
      </c>
      <c r="F101" s="62">
        <v>12140</v>
      </c>
      <c r="G101" s="60" t="s">
        <v>6212</v>
      </c>
      <c r="H101" s="60" t="s">
        <v>6334</v>
      </c>
      <c r="I101" s="91">
        <v>2023</v>
      </c>
      <c r="J101" s="60" t="s">
        <v>6277</v>
      </c>
      <c r="K101" s="60" t="s">
        <v>6318</v>
      </c>
      <c r="L101" s="365" t="s">
        <v>6535</v>
      </c>
      <c r="M101" s="366" t="s">
        <v>6534</v>
      </c>
      <c r="N101" s="59"/>
      <c r="O101" s="59"/>
    </row>
    <row r="102" spans="1:15">
      <c r="A102" s="92" t="s">
        <v>1504</v>
      </c>
      <c r="B102" s="93" t="s">
        <v>20</v>
      </c>
      <c r="C102" s="93" t="s">
        <v>1418</v>
      </c>
      <c r="D102" s="94">
        <v>780000</v>
      </c>
      <c r="E102" s="95">
        <v>87.847730600292806</v>
      </c>
      <c r="F102" s="96">
        <v>8879</v>
      </c>
      <c r="G102" s="93" t="s">
        <v>26</v>
      </c>
      <c r="H102" s="93" t="s">
        <v>1507</v>
      </c>
      <c r="I102" s="97">
        <v>2023</v>
      </c>
      <c r="J102" s="93" t="s">
        <v>6277</v>
      </c>
      <c r="K102" s="60" t="s">
        <v>6318</v>
      </c>
      <c r="L102" s="365" t="s">
        <v>6535</v>
      </c>
      <c r="M102" s="366" t="s">
        <v>6536</v>
      </c>
      <c r="N102" s="59"/>
      <c r="O102" s="59"/>
    </row>
    <row r="103" spans="1:15">
      <c r="A103" s="59" t="s">
        <v>1453</v>
      </c>
      <c r="B103" s="60" t="s">
        <v>678</v>
      </c>
      <c r="C103" s="60" t="s">
        <v>170</v>
      </c>
      <c r="D103" s="63">
        <v>400000</v>
      </c>
      <c r="E103" s="61">
        <v>93.327111525898303</v>
      </c>
      <c r="F103" s="62">
        <v>4286</v>
      </c>
      <c r="G103" s="60" t="s">
        <v>26</v>
      </c>
      <c r="H103" s="60" t="s">
        <v>1456</v>
      </c>
      <c r="I103" s="91">
        <v>1945</v>
      </c>
      <c r="J103" s="60" t="s">
        <v>6275</v>
      </c>
      <c r="K103" s="60" t="s">
        <v>6318</v>
      </c>
      <c r="L103" s="365" t="s">
        <v>6537</v>
      </c>
      <c r="M103" s="366" t="s">
        <v>6538</v>
      </c>
      <c r="N103" s="59"/>
      <c r="O103" s="59"/>
    </row>
    <row r="104" spans="1:15">
      <c r="A104" s="92" t="s">
        <v>1161</v>
      </c>
      <c r="B104" s="93" t="s">
        <v>184</v>
      </c>
      <c r="C104" s="93" t="s">
        <v>307</v>
      </c>
      <c r="D104" s="94">
        <v>210000</v>
      </c>
      <c r="E104" s="95">
        <v>108.63942058975699</v>
      </c>
      <c r="F104" s="96">
        <v>1933</v>
      </c>
      <c r="G104" s="93" t="s">
        <v>26</v>
      </c>
      <c r="H104" s="93" t="s">
        <v>1165</v>
      </c>
      <c r="I104" s="97">
        <v>1955</v>
      </c>
      <c r="J104" s="93" t="s">
        <v>6275</v>
      </c>
      <c r="K104" s="60"/>
      <c r="L104" s="365"/>
      <c r="M104" s="59"/>
      <c r="N104" s="59"/>
      <c r="O104" s="59"/>
    </row>
    <row r="105" spans="1:15">
      <c r="A105" s="92" t="s">
        <v>1194</v>
      </c>
      <c r="B105" s="93" t="s">
        <v>184</v>
      </c>
      <c r="C105" s="93" t="s">
        <v>307</v>
      </c>
      <c r="D105" s="94">
        <v>1340800</v>
      </c>
      <c r="E105" s="95">
        <v>111.714714214298</v>
      </c>
      <c r="F105" s="96">
        <v>12002</v>
      </c>
      <c r="G105" s="93" t="s">
        <v>6212</v>
      </c>
      <c r="H105" s="93" t="s">
        <v>6335</v>
      </c>
      <c r="I105" s="97">
        <v>2021</v>
      </c>
      <c r="J105" s="93" t="s">
        <v>6277</v>
      </c>
      <c r="K105" s="60"/>
      <c r="L105" s="365"/>
      <c r="M105" s="59"/>
      <c r="N105" s="59"/>
      <c r="O105" s="59"/>
    </row>
    <row r="106" spans="1:15">
      <c r="A106" s="59" t="s">
        <v>183</v>
      </c>
      <c r="B106" s="60" t="s">
        <v>184</v>
      </c>
      <c r="C106" s="60" t="s">
        <v>185</v>
      </c>
      <c r="D106" s="63">
        <v>670000</v>
      </c>
      <c r="E106" s="61">
        <v>135.408245755861</v>
      </c>
      <c r="F106" s="62">
        <v>4948</v>
      </c>
      <c r="G106" s="60" t="s">
        <v>26</v>
      </c>
      <c r="H106" s="60" t="s">
        <v>189</v>
      </c>
      <c r="I106" s="91">
        <v>1977</v>
      </c>
      <c r="J106" s="60" t="s">
        <v>6275</v>
      </c>
      <c r="K106" s="60"/>
      <c r="L106" s="365"/>
      <c r="M106" s="59"/>
      <c r="N106" s="59"/>
      <c r="O106" s="59"/>
    </row>
    <row r="107" spans="1:15">
      <c r="A107" s="92" t="s">
        <v>1435</v>
      </c>
      <c r="B107" s="93" t="s">
        <v>33</v>
      </c>
      <c r="C107" s="93" t="s">
        <v>686</v>
      </c>
      <c r="D107" s="94">
        <v>625000</v>
      </c>
      <c r="E107" s="95">
        <v>138.396811337467</v>
      </c>
      <c r="F107" s="96">
        <v>4516</v>
      </c>
      <c r="G107" s="93" t="s">
        <v>26</v>
      </c>
      <c r="H107" s="93" t="s">
        <v>1438</v>
      </c>
      <c r="I107" s="97">
        <v>2021</v>
      </c>
      <c r="J107" s="93" t="s">
        <v>6277</v>
      </c>
      <c r="K107" s="60"/>
      <c r="L107" s="365"/>
      <c r="M107" s="59"/>
      <c r="N107" s="59"/>
      <c r="O107" s="59"/>
    </row>
    <row r="108" spans="1:15">
      <c r="A108" s="92" t="s">
        <v>1242</v>
      </c>
      <c r="B108" s="93" t="s">
        <v>20</v>
      </c>
      <c r="C108" s="93" t="s">
        <v>686</v>
      </c>
      <c r="D108" s="94">
        <v>400000</v>
      </c>
      <c r="E108" s="95">
        <v>166.666666666667</v>
      </c>
      <c r="F108" s="96">
        <v>2400</v>
      </c>
      <c r="G108" s="93" t="s">
        <v>26</v>
      </c>
      <c r="H108" s="93" t="s">
        <v>6336</v>
      </c>
      <c r="I108" s="97">
        <v>1995</v>
      </c>
      <c r="J108" s="93" t="s">
        <v>6276</v>
      </c>
      <c r="K108" s="60"/>
      <c r="L108" s="365"/>
      <c r="M108" s="59"/>
      <c r="N108" s="59"/>
      <c r="O108" s="59"/>
    </row>
    <row r="109" spans="1:15">
      <c r="A109" s="92" t="s">
        <v>1522</v>
      </c>
      <c r="B109" s="93" t="s">
        <v>33</v>
      </c>
      <c r="C109" s="93" t="s">
        <v>1441</v>
      </c>
      <c r="D109" s="94">
        <v>5600000</v>
      </c>
      <c r="E109" s="95">
        <v>171.09162567596499</v>
      </c>
      <c r="F109" s="96">
        <v>32731</v>
      </c>
      <c r="G109" s="93" t="s">
        <v>1519</v>
      </c>
      <c r="H109" s="93" t="s">
        <v>1526</v>
      </c>
      <c r="I109" s="97">
        <v>2000</v>
      </c>
      <c r="J109" s="93" t="s">
        <v>6276</v>
      </c>
      <c r="K109" s="60"/>
      <c r="L109" s="365"/>
      <c r="M109" s="59"/>
      <c r="N109" s="59"/>
      <c r="O109" s="59"/>
    </row>
    <row r="110" spans="1:15">
      <c r="A110" s="59" t="s">
        <v>650</v>
      </c>
      <c r="B110" s="60" t="s">
        <v>33</v>
      </c>
      <c r="C110" s="60" t="s">
        <v>330</v>
      </c>
      <c r="D110" s="63">
        <v>1410000</v>
      </c>
      <c r="E110" s="61">
        <v>206.29114850036601</v>
      </c>
      <c r="F110" s="62">
        <v>6835</v>
      </c>
      <c r="G110" s="60" t="s">
        <v>26</v>
      </c>
      <c r="H110" s="60" t="s">
        <v>6337</v>
      </c>
      <c r="I110" s="91">
        <v>1954</v>
      </c>
      <c r="J110" s="60" t="s">
        <v>6275</v>
      </c>
      <c r="K110" s="60"/>
      <c r="L110" s="365"/>
      <c r="M110" s="59"/>
      <c r="N110" s="59"/>
      <c r="O110" s="59"/>
    </row>
    <row r="111" spans="1:15">
      <c r="A111" s="92" t="s">
        <v>685</v>
      </c>
      <c r="B111" s="93" t="s">
        <v>678</v>
      </c>
      <c r="C111" s="93" t="s">
        <v>686</v>
      </c>
      <c r="D111" s="94">
        <v>1250000</v>
      </c>
      <c r="E111" s="95">
        <v>207.952087838962</v>
      </c>
      <c r="F111" s="96">
        <v>6011</v>
      </c>
      <c r="G111" s="93" t="s">
        <v>26</v>
      </c>
      <c r="H111" s="93" t="s">
        <v>6338</v>
      </c>
      <c r="I111" s="97">
        <v>2010</v>
      </c>
      <c r="J111" s="93" t="s">
        <v>6277</v>
      </c>
      <c r="K111" s="60"/>
      <c r="L111" s="365"/>
      <c r="M111" s="59"/>
      <c r="N111" s="59"/>
      <c r="O111" s="59"/>
    </row>
    <row r="112" spans="1:15">
      <c r="A112" s="59" t="s">
        <v>169</v>
      </c>
      <c r="B112" s="60" t="s">
        <v>20</v>
      </c>
      <c r="C112" s="60" t="s">
        <v>170</v>
      </c>
      <c r="D112" s="63">
        <v>2375000</v>
      </c>
      <c r="E112" s="61">
        <v>220.33583820391499</v>
      </c>
      <c r="F112" s="62">
        <v>10779</v>
      </c>
      <c r="G112" s="60" t="s">
        <v>1519</v>
      </c>
      <c r="H112" s="60"/>
      <c r="I112" s="91">
        <v>2007</v>
      </c>
      <c r="J112" s="60" t="s">
        <v>6276</v>
      </c>
      <c r="K112" s="60"/>
      <c r="L112" s="365"/>
      <c r="M112" s="59"/>
      <c r="N112" s="59"/>
      <c r="O112" s="59"/>
    </row>
    <row r="113" spans="1:15">
      <c r="A113" s="59" t="s">
        <v>1371</v>
      </c>
      <c r="B113" s="60" t="s">
        <v>20</v>
      </c>
      <c r="C113" s="60" t="s">
        <v>307</v>
      </c>
      <c r="D113" s="63">
        <v>533000</v>
      </c>
      <c r="E113" s="61">
        <v>221.16182572614099</v>
      </c>
      <c r="F113" s="62">
        <v>2410</v>
      </c>
      <c r="G113" s="60" t="s">
        <v>26</v>
      </c>
      <c r="H113" s="60" t="s">
        <v>1374</v>
      </c>
      <c r="I113" s="91">
        <v>2001</v>
      </c>
      <c r="J113" s="60" t="s">
        <v>6276</v>
      </c>
      <c r="K113" s="60"/>
      <c r="L113" s="365"/>
      <c r="M113" s="59"/>
      <c r="N113" s="59"/>
      <c r="O113" s="59"/>
    </row>
    <row r="114" spans="1:15" ht="32">
      <c r="A114" s="92" t="s">
        <v>1025</v>
      </c>
      <c r="B114" s="93" t="s">
        <v>20</v>
      </c>
      <c r="C114" s="93" t="s">
        <v>307</v>
      </c>
      <c r="D114" s="94">
        <v>535200</v>
      </c>
      <c r="E114" s="95">
        <v>227.06830717013199</v>
      </c>
      <c r="F114" s="96">
        <v>2357</v>
      </c>
      <c r="G114" s="93" t="s">
        <v>26</v>
      </c>
      <c r="H114" s="98" t="s">
        <v>1028</v>
      </c>
      <c r="I114" s="97">
        <v>1989</v>
      </c>
      <c r="J114" s="93" t="s">
        <v>6275</v>
      </c>
      <c r="K114" s="60"/>
      <c r="L114" s="365"/>
      <c r="M114" s="59"/>
      <c r="N114" s="59"/>
      <c r="O114" s="59"/>
    </row>
    <row r="115" spans="1:15">
      <c r="A115" s="59" t="s">
        <v>610</v>
      </c>
      <c r="B115" s="60" t="s">
        <v>33</v>
      </c>
      <c r="C115" s="60" t="s">
        <v>611</v>
      </c>
      <c r="D115" s="63">
        <v>1270100</v>
      </c>
      <c r="E115" s="61">
        <v>257.41791649777099</v>
      </c>
      <c r="F115" s="62">
        <v>4934</v>
      </c>
      <c r="G115" s="60" t="s">
        <v>26</v>
      </c>
      <c r="H115" s="60" t="s">
        <v>6339</v>
      </c>
      <c r="I115" s="91">
        <v>1983</v>
      </c>
      <c r="J115" s="60" t="s">
        <v>6275</v>
      </c>
      <c r="K115" s="60"/>
      <c r="L115" s="365"/>
      <c r="M115" s="59"/>
      <c r="N115" s="59"/>
      <c r="O115" s="59"/>
    </row>
    <row r="116" spans="1:15">
      <c r="A116" s="59" t="s">
        <v>772</v>
      </c>
      <c r="B116" s="60" t="s">
        <v>678</v>
      </c>
      <c r="C116" s="60" t="s">
        <v>170</v>
      </c>
      <c r="D116" s="63">
        <v>1186500</v>
      </c>
      <c r="E116" s="61">
        <v>263.37402885682599</v>
      </c>
      <c r="F116" s="62">
        <v>4505</v>
      </c>
      <c r="G116" s="60" t="s">
        <v>26</v>
      </c>
      <c r="H116" s="60" t="s">
        <v>775</v>
      </c>
      <c r="I116" s="91">
        <v>1991</v>
      </c>
      <c r="J116" s="60" t="s">
        <v>6275</v>
      </c>
      <c r="K116" s="60"/>
      <c r="L116" s="365"/>
      <c r="M116" s="59"/>
      <c r="N116" s="59"/>
      <c r="O116" s="59"/>
    </row>
    <row r="117" spans="1:15">
      <c r="A117" s="92" t="s">
        <v>953</v>
      </c>
      <c r="B117" s="93" t="s">
        <v>20</v>
      </c>
      <c r="C117" s="93" t="s">
        <v>954</v>
      </c>
      <c r="D117" s="94">
        <v>1150000</v>
      </c>
      <c r="E117" s="95">
        <v>275.64717162032599</v>
      </c>
      <c r="F117" s="96">
        <v>4172</v>
      </c>
      <c r="G117" s="93" t="s">
        <v>26</v>
      </c>
      <c r="H117" s="93" t="s">
        <v>957</v>
      </c>
      <c r="I117" s="97">
        <v>2017</v>
      </c>
      <c r="J117" s="93" t="s">
        <v>6277</v>
      </c>
      <c r="K117" s="60"/>
      <c r="L117" s="365"/>
      <c r="M117" s="59"/>
      <c r="N117" s="59"/>
      <c r="O117" s="59"/>
    </row>
    <row r="118" spans="1:15">
      <c r="A118" s="92" t="s">
        <v>547</v>
      </c>
      <c r="B118" s="93" t="s">
        <v>33</v>
      </c>
      <c r="C118" s="93" t="s">
        <v>185</v>
      </c>
      <c r="D118" s="94">
        <v>1987500</v>
      </c>
      <c r="E118" s="95">
        <v>311.08154640788899</v>
      </c>
      <c r="F118" s="96">
        <v>6389</v>
      </c>
      <c r="G118" s="93" t="s">
        <v>26</v>
      </c>
      <c r="H118" s="93" t="s">
        <v>550</v>
      </c>
      <c r="I118" s="97">
        <v>1994</v>
      </c>
      <c r="J118" s="93" t="s">
        <v>6275</v>
      </c>
      <c r="K118" s="60"/>
      <c r="L118" s="365"/>
      <c r="M118" s="59"/>
      <c r="N118" s="59"/>
      <c r="O118" s="59"/>
    </row>
    <row r="119" spans="1:15">
      <c r="A119" s="59" t="s">
        <v>1055</v>
      </c>
      <c r="B119" s="60" t="s">
        <v>184</v>
      </c>
      <c r="C119" s="60" t="s">
        <v>450</v>
      </c>
      <c r="D119" s="63">
        <v>810000</v>
      </c>
      <c r="E119" s="61">
        <v>322.96650717703398</v>
      </c>
      <c r="F119" s="62">
        <v>2508</v>
      </c>
      <c r="G119" s="60" t="s">
        <v>26</v>
      </c>
      <c r="H119" s="60" t="s">
        <v>1059</v>
      </c>
      <c r="I119" s="91">
        <v>1988</v>
      </c>
      <c r="J119" s="60" t="s">
        <v>6275</v>
      </c>
      <c r="K119" s="60"/>
      <c r="L119" s="365"/>
      <c r="M119" s="59"/>
      <c r="N119" s="59"/>
      <c r="O119" s="59"/>
    </row>
    <row r="120" spans="1:15">
      <c r="A120" s="59" t="s">
        <v>918</v>
      </c>
      <c r="B120" s="60" t="s">
        <v>20</v>
      </c>
      <c r="C120" s="60" t="s">
        <v>611</v>
      </c>
      <c r="D120" s="63">
        <v>2900000</v>
      </c>
      <c r="E120" s="61">
        <v>385.22848034006398</v>
      </c>
      <c r="F120" s="62">
        <v>7528</v>
      </c>
      <c r="G120" s="60" t="s">
        <v>26</v>
      </c>
      <c r="H120" s="60" t="s">
        <v>6340</v>
      </c>
      <c r="I120" s="91">
        <v>2005</v>
      </c>
      <c r="J120" s="60" t="s">
        <v>6276</v>
      </c>
      <c r="K120" s="60"/>
      <c r="L120" s="365"/>
      <c r="M120" s="59"/>
      <c r="N120" s="59"/>
      <c r="O120" s="59"/>
    </row>
    <row r="121" spans="1:15">
      <c r="A121" s="92" t="s">
        <v>1548</v>
      </c>
      <c r="B121" s="93" t="s">
        <v>33</v>
      </c>
      <c r="C121" s="93" t="s">
        <v>170</v>
      </c>
      <c r="D121" s="94">
        <v>5100000</v>
      </c>
      <c r="E121" s="95">
        <v>389.312977099237</v>
      </c>
      <c r="F121" s="96">
        <v>13100</v>
      </c>
      <c r="G121" s="93" t="s">
        <v>1519</v>
      </c>
      <c r="H121" s="93" t="s">
        <v>1546</v>
      </c>
      <c r="I121" s="97">
        <v>2010</v>
      </c>
      <c r="J121" s="93" t="s">
        <v>6277</v>
      </c>
      <c r="K121" s="60"/>
      <c r="L121" s="365"/>
      <c r="M121" s="59"/>
      <c r="N121" s="59"/>
      <c r="O121" s="59"/>
    </row>
    <row r="122" spans="1:15">
      <c r="A122" s="59" t="s">
        <v>1551</v>
      </c>
      <c r="B122" s="60" t="s">
        <v>33</v>
      </c>
      <c r="C122" s="60" t="s">
        <v>170</v>
      </c>
      <c r="D122" s="63">
        <v>5610000</v>
      </c>
      <c r="E122" s="61">
        <v>395.90684544813001</v>
      </c>
      <c r="F122" s="62">
        <v>14170</v>
      </c>
      <c r="G122" s="60" t="s">
        <v>1519</v>
      </c>
      <c r="H122" s="60" t="s">
        <v>1546</v>
      </c>
      <c r="I122" s="91">
        <v>2010</v>
      </c>
      <c r="J122" s="60" t="s">
        <v>6277</v>
      </c>
      <c r="K122" s="60"/>
      <c r="L122" s="365"/>
      <c r="M122" s="59"/>
      <c r="N122" s="59"/>
      <c r="O122" s="59"/>
    </row>
    <row r="123" spans="1:15">
      <c r="A123" s="59" t="s">
        <v>1554</v>
      </c>
      <c r="B123" s="60" t="s">
        <v>33</v>
      </c>
      <c r="C123" s="60" t="s">
        <v>170</v>
      </c>
      <c r="D123" s="63">
        <v>3570000</v>
      </c>
      <c r="E123" s="61">
        <v>399.41821436562998</v>
      </c>
      <c r="F123" s="62">
        <v>8938</v>
      </c>
      <c r="G123" s="60" t="s">
        <v>1519</v>
      </c>
      <c r="H123" s="60" t="s">
        <v>1546</v>
      </c>
      <c r="I123" s="91">
        <v>2010</v>
      </c>
      <c r="J123" s="60" t="s">
        <v>6277</v>
      </c>
      <c r="K123" s="60"/>
      <c r="L123" s="365"/>
      <c r="M123" s="59"/>
      <c r="N123" s="59"/>
      <c r="O123" s="59"/>
    </row>
    <row r="124" spans="1:15">
      <c r="A124" s="92" t="s">
        <v>1543</v>
      </c>
      <c r="B124" s="93" t="s">
        <v>33</v>
      </c>
      <c r="C124" s="93" t="s">
        <v>170</v>
      </c>
      <c r="D124" s="94">
        <v>2720000</v>
      </c>
      <c r="E124" s="95">
        <v>408.89957907396303</v>
      </c>
      <c r="F124" s="96">
        <v>6652</v>
      </c>
      <c r="G124" s="93" t="s">
        <v>1519</v>
      </c>
      <c r="H124" s="93" t="s">
        <v>1546</v>
      </c>
      <c r="I124" s="97">
        <v>2010</v>
      </c>
      <c r="J124" s="93" t="s">
        <v>6277</v>
      </c>
      <c r="K124" s="60"/>
      <c r="L124" s="365"/>
      <c r="M124" s="59"/>
      <c r="N124" s="59"/>
      <c r="O124" s="59"/>
    </row>
    <row r="125" spans="1:15">
      <c r="A125" s="59" t="s">
        <v>848</v>
      </c>
      <c r="B125" s="60" t="s">
        <v>678</v>
      </c>
      <c r="C125" s="60" t="s">
        <v>686</v>
      </c>
      <c r="D125" s="63">
        <v>2450000</v>
      </c>
      <c r="E125" s="61">
        <v>418.946648426813</v>
      </c>
      <c r="F125" s="62">
        <v>5848</v>
      </c>
      <c r="G125" s="60" t="s">
        <v>26</v>
      </c>
      <c r="H125" s="60" t="s">
        <v>6341</v>
      </c>
      <c r="I125" s="91">
        <v>1995</v>
      </c>
      <c r="J125" s="60" t="s">
        <v>6276</v>
      </c>
      <c r="K125" s="60"/>
      <c r="L125" s="365"/>
      <c r="M125" s="59"/>
      <c r="N125" s="59"/>
      <c r="O125" s="59"/>
    </row>
    <row r="126" spans="1:15">
      <c r="A126" s="92" t="s">
        <v>148</v>
      </c>
      <c r="B126" s="93" t="s">
        <v>33</v>
      </c>
      <c r="C126" s="93" t="s">
        <v>149</v>
      </c>
      <c r="D126" s="94">
        <v>3325000</v>
      </c>
      <c r="E126" s="95">
        <v>433.95980161837599</v>
      </c>
      <c r="F126" s="96">
        <v>7662</v>
      </c>
      <c r="G126" s="93" t="s">
        <v>26</v>
      </c>
      <c r="H126" s="93" t="s">
        <v>154</v>
      </c>
      <c r="I126" s="97">
        <v>1945</v>
      </c>
      <c r="J126" s="93" t="s">
        <v>6275</v>
      </c>
      <c r="K126" s="60"/>
      <c r="L126" s="365"/>
      <c r="M126" s="59"/>
      <c r="N126" s="59"/>
      <c r="O126" s="59"/>
    </row>
    <row r="127" spans="1:15">
      <c r="A127" s="92" t="s">
        <v>901</v>
      </c>
      <c r="B127" s="93" t="s">
        <v>20</v>
      </c>
      <c r="C127" s="93" t="s">
        <v>450</v>
      </c>
      <c r="D127" s="94">
        <v>1340000</v>
      </c>
      <c r="E127" s="95">
        <v>517.97448782373397</v>
      </c>
      <c r="F127" s="96">
        <v>2587</v>
      </c>
      <c r="G127" s="93" t="s">
        <v>26</v>
      </c>
      <c r="H127" s="93" t="s">
        <v>6530</v>
      </c>
      <c r="I127" s="97">
        <v>2007</v>
      </c>
      <c r="J127" s="93" t="s">
        <v>6276</v>
      </c>
      <c r="K127" s="60" t="s">
        <v>6318</v>
      </c>
      <c r="L127" s="365" t="s">
        <v>6509</v>
      </c>
      <c r="M127" s="366" t="s">
        <v>6539</v>
      </c>
      <c r="N127" s="59"/>
      <c r="O127" s="59"/>
    </row>
    <row r="128" spans="1:15">
      <c r="A128" s="59" t="s">
        <v>1459</v>
      </c>
      <c r="B128" s="60" t="s">
        <v>20</v>
      </c>
      <c r="C128" s="60" t="s">
        <v>450</v>
      </c>
      <c r="D128" s="63">
        <v>1340000</v>
      </c>
      <c r="E128" s="61">
        <v>623.25581395348797</v>
      </c>
      <c r="F128" s="62">
        <v>2150</v>
      </c>
      <c r="G128" s="60" t="s">
        <v>26</v>
      </c>
      <c r="H128" s="60" t="s">
        <v>6531</v>
      </c>
      <c r="I128" s="91">
        <v>2007</v>
      </c>
      <c r="J128" s="60" t="s">
        <v>6276</v>
      </c>
      <c r="K128" s="60" t="s">
        <v>6318</v>
      </c>
      <c r="L128" s="365" t="s">
        <v>6509</v>
      </c>
      <c r="M128" s="366" t="s">
        <v>6540</v>
      </c>
      <c r="N128" s="59"/>
      <c r="O128" s="59"/>
    </row>
    <row r="129" spans="1:15">
      <c r="A129" s="59" t="s">
        <v>836</v>
      </c>
      <c r="B129" s="60" t="s">
        <v>678</v>
      </c>
      <c r="C129" s="60" t="s">
        <v>686</v>
      </c>
      <c r="D129" s="63">
        <v>2450000</v>
      </c>
      <c r="E129" s="61">
        <v>714.70245040840098</v>
      </c>
      <c r="F129" s="62">
        <v>3428</v>
      </c>
      <c r="G129" s="60" t="s">
        <v>26</v>
      </c>
      <c r="H129" s="60" t="s">
        <v>6342</v>
      </c>
      <c r="I129" s="91">
        <v>1989</v>
      </c>
      <c r="J129" s="60" t="s">
        <v>6275</v>
      </c>
      <c r="K129" s="60" t="s">
        <v>6318</v>
      </c>
      <c r="L129" s="365" t="s">
        <v>6542</v>
      </c>
      <c r="M129" s="366" t="s">
        <v>6541</v>
      </c>
      <c r="N129" s="59"/>
      <c r="O129" s="59"/>
    </row>
    <row r="130" spans="1:15">
      <c r="A130" s="59" t="s">
        <v>528</v>
      </c>
      <c r="B130" s="60" t="s">
        <v>33</v>
      </c>
      <c r="C130" s="60" t="s">
        <v>170</v>
      </c>
      <c r="D130" s="63">
        <v>5300000</v>
      </c>
      <c r="E130" s="61">
        <v>903.81991814461105</v>
      </c>
      <c r="F130" s="62">
        <v>5864</v>
      </c>
      <c r="G130" s="60" t="s">
        <v>26</v>
      </c>
      <c r="H130" s="60" t="s">
        <v>6343</v>
      </c>
      <c r="I130" s="91">
        <v>2021</v>
      </c>
      <c r="J130" s="60" t="s">
        <v>6277</v>
      </c>
      <c r="K130" s="60" t="s">
        <v>6318</v>
      </c>
      <c r="L130" s="59" t="s">
        <v>6543</v>
      </c>
      <c r="M130" s="366" t="s">
        <v>6544</v>
      </c>
      <c r="N130" s="59"/>
      <c r="O130" s="59"/>
    </row>
    <row r="131" spans="1:15">
      <c r="A131" s="59"/>
      <c r="B131" s="59"/>
      <c r="C131" s="59"/>
      <c r="D131" s="59"/>
      <c r="E131" s="59"/>
      <c r="F131" s="59"/>
      <c r="G131" s="59"/>
      <c r="H131" s="59"/>
      <c r="I131" s="59"/>
      <c r="J131" s="59"/>
      <c r="K131" s="59"/>
      <c r="M131" s="59"/>
      <c r="N131" s="59"/>
      <c r="O131" s="59"/>
    </row>
    <row r="132" spans="1:15">
      <c r="A132" s="71"/>
      <c r="B132" s="59"/>
      <c r="C132" s="59"/>
      <c r="D132" s="59"/>
      <c r="E132" s="59"/>
      <c r="F132" s="59"/>
      <c r="G132" s="59"/>
      <c r="H132" s="59"/>
      <c r="I132" s="59"/>
      <c r="J132" s="59"/>
      <c r="K132" s="59"/>
      <c r="L132" s="59"/>
      <c r="M132" s="59"/>
      <c r="N132" s="59"/>
      <c r="O132" s="59"/>
    </row>
    <row r="133" spans="1:15">
      <c r="A133" s="103"/>
      <c r="B133" s="59"/>
      <c r="C133" s="59"/>
      <c r="D133" s="59"/>
      <c r="E133" s="59"/>
      <c r="F133" s="59"/>
      <c r="G133" s="59"/>
      <c r="H133" s="59"/>
      <c r="I133" s="59"/>
      <c r="J133" s="59"/>
      <c r="K133" s="59"/>
      <c r="L133" s="59"/>
      <c r="M133" s="59"/>
      <c r="N133" s="59"/>
      <c r="O133" s="59"/>
    </row>
    <row r="134" spans="1:15">
      <c r="A134" s="212"/>
      <c r="B134" s="59"/>
      <c r="C134" s="59"/>
      <c r="D134" s="59"/>
      <c r="E134" s="59"/>
      <c r="F134" s="59"/>
      <c r="G134" s="59"/>
      <c r="H134" s="59"/>
      <c r="I134" s="59"/>
      <c r="J134" s="59"/>
      <c r="K134" s="59"/>
      <c r="L134" s="59"/>
      <c r="M134" s="59"/>
      <c r="N134" s="59"/>
      <c r="O134" s="59"/>
    </row>
    <row r="135" spans="1:15">
      <c r="A135" s="105"/>
      <c r="B135" s="59"/>
      <c r="C135" s="59"/>
      <c r="D135" s="59"/>
      <c r="E135" s="59"/>
      <c r="F135" s="59"/>
      <c r="G135" s="59"/>
      <c r="H135" s="59"/>
      <c r="I135" s="59"/>
      <c r="J135" s="59"/>
      <c r="K135" s="59"/>
      <c r="L135" s="59"/>
      <c r="M135" s="59"/>
      <c r="N135" s="59"/>
      <c r="O135" s="59"/>
    </row>
    <row r="136" spans="1:15">
      <c r="A136" s="99"/>
      <c r="B136" s="59"/>
      <c r="C136" s="59"/>
      <c r="D136" s="59"/>
      <c r="E136" s="59"/>
      <c r="F136" s="59"/>
      <c r="G136" s="59"/>
      <c r="H136" s="59"/>
      <c r="I136" s="59"/>
      <c r="J136" s="59"/>
      <c r="K136" s="59"/>
      <c r="L136" s="59"/>
      <c r="M136" s="59"/>
      <c r="N136" s="59"/>
      <c r="O136" s="59"/>
    </row>
    <row r="137" spans="1:15">
      <c r="A137" s="59"/>
      <c r="B137" s="59"/>
      <c r="C137" s="59"/>
      <c r="D137" s="59"/>
      <c r="E137" s="59"/>
      <c r="F137" s="59"/>
      <c r="G137" s="59"/>
      <c r="H137" s="59"/>
      <c r="I137" s="59"/>
      <c r="J137" s="59"/>
      <c r="K137" s="59"/>
      <c r="L137" s="59"/>
      <c r="M137" s="59"/>
      <c r="N137" s="59"/>
      <c r="O137" s="59"/>
    </row>
  </sheetData>
  <autoFilter ref="A100:M100" xr:uid="{5BE782F6-451A-4C4E-9412-90378A74294C}">
    <sortState xmlns:xlrd2="http://schemas.microsoft.com/office/spreadsheetml/2017/richdata2" ref="A101:M130">
      <sortCondition ref="E100:E130"/>
    </sortState>
  </autoFilter>
  <conditionalFormatting sqref="A101:K130">
    <cfRule type="expression" dxfId="44" priority="10">
      <formula>$K101="Yes"</formula>
    </cfRule>
    <cfRule type="expression" dxfId="43" priority="11" stopIfTrue="1">
      <formula>$K101="Yes"</formula>
    </cfRule>
    <cfRule type="expression" dxfId="42" priority="12">
      <formula>AND($F101&lt;6000,$F101&gt;0,$K101&lt;&gt;"Yes")</formula>
    </cfRule>
    <cfRule type="expression" dxfId="41" priority="13">
      <formula>AND($F101&gt;=6000,$F101&lt;10000,$K101&lt;&gt;"Yes")</formula>
    </cfRule>
    <cfRule type="expression" dxfId="40" priority="14">
      <formula>AND($F101&gt;=10000,$K101&lt;&gt;"Yes")</formula>
    </cfRule>
  </conditionalFormatting>
  <conditionalFormatting sqref="B13:B17">
    <cfRule type="dataBar" priority="3">
      <dataBar>
        <cfvo type="min"/>
        <cfvo type="max"/>
        <color rgb="FF4D93D9"/>
      </dataBar>
      <extLst>
        <ext xmlns:x14="http://schemas.microsoft.com/office/spreadsheetml/2009/9/main" uri="{B025F937-C7B1-47D3-B67F-A62EFF666E3E}">
          <x14:id>{2E2D7416-FD1A-4A4C-9406-CCD89F5D81CA}</x14:id>
        </ext>
      </extLst>
    </cfRule>
  </conditionalFormatting>
  <conditionalFormatting sqref="B38:B41">
    <cfRule type="dataBar" priority="4">
      <dataBar>
        <cfvo type="min"/>
        <cfvo type="max"/>
        <color rgb="FF4CAF50"/>
      </dataBar>
      <extLst>
        <ext xmlns:x14="http://schemas.microsoft.com/office/spreadsheetml/2009/9/main" uri="{B025F937-C7B1-47D3-B67F-A62EFF666E3E}">
          <x14:id>{AC362DDE-F1AD-7245-A40E-6332C3089E5A}</x14:id>
        </ext>
      </extLst>
    </cfRule>
  </conditionalFormatting>
  <conditionalFormatting sqref="D38:D41">
    <cfRule type="colorScale" priority="5">
      <colorScale>
        <cfvo type="min"/>
        <cfvo type="percentile" val="50"/>
        <cfvo type="max"/>
        <color rgb="FF4CAF50"/>
        <color rgb="FFFFF9C4"/>
        <color rgb="FFE53935"/>
      </colorScale>
    </cfRule>
  </conditionalFormatting>
  <conditionalFormatting sqref="D101:D130">
    <cfRule type="dataBar" priority="7">
      <dataBar>
        <cfvo type="min"/>
        <cfvo type="max"/>
        <color rgb="FF215C98"/>
      </dataBar>
      <extLst>
        <ext xmlns:x14="http://schemas.microsoft.com/office/spreadsheetml/2009/9/main" uri="{B025F937-C7B1-47D3-B67F-A62EFF666E3E}">
          <x14:id>{1C7F22DB-C145-1C4C-9F07-C30B3A51E75B}</x14:id>
        </ext>
      </extLst>
    </cfRule>
    <cfRule type="dataBar" priority="16">
      <dataBar>
        <cfvo type="min"/>
        <cfvo type="max"/>
        <color rgb="FF215C98"/>
      </dataBar>
      <extLst>
        <ext xmlns:x14="http://schemas.microsoft.com/office/spreadsheetml/2009/9/main" uri="{B025F937-C7B1-47D3-B67F-A62EFF666E3E}">
          <x14:id>{6327DEDF-9DED-E343-A1D7-7E2F269B5FFC}</x14:id>
        </ext>
      </extLst>
    </cfRule>
  </conditionalFormatting>
  <conditionalFormatting sqref="E13:E17">
    <cfRule type="colorScale" priority="2">
      <colorScale>
        <cfvo type="min"/>
        <cfvo type="percentile" val="50"/>
        <cfvo type="max"/>
        <color rgb="FF4CAF50"/>
        <color rgb="FFFFF9C4"/>
        <color rgb="FFE53935"/>
      </colorScale>
    </cfRule>
  </conditionalFormatting>
  <conditionalFormatting sqref="E101:E130">
    <cfRule type="colorScale" priority="9">
      <colorScale>
        <cfvo type="min"/>
        <cfvo type="percentile" val="50"/>
        <cfvo type="max"/>
        <color rgb="FFE8F5E9"/>
        <color rgb="FFFFF9C4"/>
        <color rgb="FFFFCDD2"/>
      </colorScale>
    </cfRule>
    <cfRule type="colorScale" priority="15">
      <colorScale>
        <cfvo type="min"/>
        <cfvo type="percentile" val="50"/>
        <cfvo type="max"/>
        <color rgb="FFE8F5E9"/>
        <color rgb="FFFFF9C4"/>
        <color rgb="FFFFCDD2"/>
      </colorScale>
    </cfRule>
  </conditionalFormatting>
  <conditionalFormatting sqref="G13:G17">
    <cfRule type="colorScale" priority="1">
      <colorScale>
        <cfvo type="min"/>
        <cfvo type="percentile" val="50"/>
        <cfvo type="max"/>
        <color rgb="FF4CAF50"/>
        <color rgb="FFFFF9C4"/>
        <color rgb="FFE53935"/>
      </colorScale>
    </cfRule>
  </conditionalFormatting>
  <hyperlinks>
    <hyperlink ref="M101" r:id="rId1" xr:uid="{F5335379-F49D-3B47-B9F0-7B57B317344A}"/>
    <hyperlink ref="M102" r:id="rId2" xr:uid="{289CD979-DC01-624A-87A6-89EC6FB6DF12}"/>
    <hyperlink ref="M127" r:id="rId3" xr:uid="{251BF4A4-9D37-0847-B0A5-CD3AEC7F4C53}"/>
    <hyperlink ref="M128" r:id="rId4" xr:uid="{8DFB23B6-302A-3640-AABE-66E9352D468B}"/>
    <hyperlink ref="M129" r:id="rId5" xr:uid="{1D9DFDD7-81FA-734D-9749-616896D4D46F}"/>
    <hyperlink ref="M130" r:id="rId6" xr:uid="{72CE131E-408B-334D-9E3B-8369AF79E852}"/>
  </hyperlinks>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x14:cfRule type="dataBar" id="{2E2D7416-FD1A-4A4C-9406-CCD89F5D81CA}">
            <x14:dataBar minLength="0" maxLength="100" direction="leftToRight" negativeBarColorSameAsPositive="1" axisPosition="none">
              <x14:cfvo type="min"/>
              <x14:cfvo type="max"/>
            </x14:dataBar>
          </x14:cfRule>
          <xm:sqref>B13:B17</xm:sqref>
        </x14:conditionalFormatting>
        <x14:conditionalFormatting xmlns:xm="http://schemas.microsoft.com/office/excel/2006/main">
          <x14:cfRule type="dataBar" id="{AC362DDE-F1AD-7245-A40E-6332C3089E5A}">
            <x14:dataBar minLength="0" maxLength="100" direction="leftToRight" negativeBarColorSameAsPositive="1" axisPosition="none">
              <x14:cfvo type="min"/>
              <x14:cfvo type="max"/>
            </x14:dataBar>
          </x14:cfRule>
          <xm:sqref>B38:B41</xm:sqref>
        </x14:conditionalFormatting>
        <x14:conditionalFormatting xmlns:xm="http://schemas.microsoft.com/office/excel/2006/main">
          <x14:cfRule type="dataBar" id="{1C7F22DB-C145-1C4C-9F07-C30B3A51E75B}">
            <x14:dataBar minLength="0" maxLength="100" direction="leftToRight" negativeBarColorSameAsPositive="1" axisPosition="none">
              <x14:cfvo type="min"/>
              <x14:cfvo type="max"/>
            </x14:dataBar>
          </x14:cfRule>
          <x14:cfRule type="dataBar" id="{6327DEDF-9DED-E343-A1D7-7E2F269B5FFC}">
            <x14:dataBar minLength="0" maxLength="100" direction="leftToRight" negativeBarColorSameAsPositive="1" axisPosition="none">
              <x14:cfvo type="min"/>
              <x14:cfvo type="max"/>
            </x14:dataBar>
          </x14:cfRule>
          <xm:sqref>D101:D130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9143-08A1-2A4C-8911-5F21B309639F}">
  <dimension ref="A1:O200"/>
  <sheetViews>
    <sheetView zoomScale="89" workbookViewId="0">
      <pane ySplit="2" topLeftCell="A92" activePane="bottomLeft" state="frozen"/>
      <selection activeCell="B1" sqref="B1"/>
      <selection pane="bottomLeft" activeCell="L119" sqref="L119"/>
    </sheetView>
  </sheetViews>
  <sheetFormatPr baseColWidth="10" defaultRowHeight="16" outlineLevelCol="1"/>
  <cols>
    <col min="1" max="1" width="46.6640625" customWidth="1"/>
    <col min="2" max="11" width="18.33203125" customWidth="1"/>
    <col min="12" max="12" width="30.33203125" customWidth="1"/>
    <col min="13" max="15" width="10.83203125" outlineLevel="1"/>
  </cols>
  <sheetData>
    <row r="1" spans="1:15" ht="24">
      <c r="A1" s="53" t="s">
        <v>6344</v>
      </c>
      <c r="B1" s="53"/>
      <c r="C1" s="53"/>
      <c r="D1" s="53"/>
      <c r="E1" s="53"/>
      <c r="F1" s="53"/>
      <c r="G1" s="53"/>
      <c r="H1" s="53"/>
      <c r="I1" s="53"/>
      <c r="J1" s="53"/>
      <c r="K1" s="53"/>
    </row>
    <row r="2" spans="1:15">
      <c r="A2" s="54" t="s">
        <v>6345</v>
      </c>
      <c r="B2" s="59"/>
      <c r="C2" s="59"/>
      <c r="D2" s="59"/>
      <c r="E2" s="59"/>
      <c r="F2" s="59"/>
      <c r="G2" s="59"/>
      <c r="H2" s="59"/>
      <c r="I2" s="59"/>
      <c r="J2" s="59"/>
      <c r="K2" s="59"/>
    </row>
    <row r="3" spans="1:15">
      <c r="A3" s="59"/>
      <c r="B3" s="59"/>
      <c r="C3" s="59"/>
      <c r="D3" s="59"/>
      <c r="E3" s="59"/>
      <c r="F3" s="59"/>
      <c r="G3" s="59"/>
      <c r="H3" s="59"/>
      <c r="I3" s="59"/>
      <c r="J3" s="59"/>
      <c r="K3" s="59"/>
    </row>
    <row r="4" spans="1:15" ht="19">
      <c r="A4" s="55" t="s">
        <v>6346</v>
      </c>
      <c r="B4" s="55"/>
      <c r="C4" s="55"/>
      <c r="D4" s="55"/>
      <c r="E4" s="55"/>
      <c r="F4" s="55"/>
      <c r="G4" s="55"/>
      <c r="H4" s="55"/>
      <c r="I4" s="55"/>
      <c r="J4" s="55"/>
      <c r="K4" s="55"/>
      <c r="M4" s="69" t="s">
        <v>6214</v>
      </c>
      <c r="N4" s="69" t="s">
        <v>6215</v>
      </c>
      <c r="O4" s="69" t="s">
        <v>6216</v>
      </c>
    </row>
    <row r="5" spans="1:15">
      <c r="A5" s="56" t="s">
        <v>6214</v>
      </c>
      <c r="B5" s="56" t="s">
        <v>6215</v>
      </c>
      <c r="C5" s="56" t="s">
        <v>6216</v>
      </c>
      <c r="D5" s="56" t="s">
        <v>6217</v>
      </c>
      <c r="E5" s="56" t="s">
        <v>6218</v>
      </c>
      <c r="F5" s="56" t="s">
        <v>6219</v>
      </c>
      <c r="G5" s="56" t="s">
        <v>6220</v>
      </c>
      <c r="H5" s="56" t="s">
        <v>6221</v>
      </c>
      <c r="I5" s="56" t="s">
        <v>6230</v>
      </c>
      <c r="J5" s="56" t="s">
        <v>6231</v>
      </c>
      <c r="K5" s="56"/>
      <c r="M5" s="70" t="s">
        <v>26</v>
      </c>
      <c r="N5" s="232">
        <f t="shared" ref="N5:O7" si="0">B6</f>
        <v>4</v>
      </c>
      <c r="O5" s="295">
        <f t="shared" si="0"/>
        <v>4070000</v>
      </c>
    </row>
    <row r="6" spans="1:15">
      <c r="A6" s="57" t="s">
        <v>26</v>
      </c>
      <c r="B6" s="62" cm="1">
        <f t="array" ref="B6">SUMPRODUCT(('Medical Sales'!N3:N196="Medical")*(LEFT('Medical Sales'!D3:D196,4)="2021")*('Medical Sales'!U3:U196&lt;&gt;"Yes"))</f>
        <v>4</v>
      </c>
      <c r="C6" s="63" cm="1">
        <f t="array" ref="C6">SUMPRODUCT(('Medical Sales'!N3:N196="Medical")*(LEFT('Medical Sales'!D3:D196,4)="2021")*('Medical Sales'!U3:U196&lt;&gt;"Yes")*('Medical Sales'!E3:E196))</f>
        <v>4070000</v>
      </c>
      <c r="D6" s="63">
        <f>IF(B6=0,"-",C6/B6)</f>
        <v>1017500</v>
      </c>
      <c r="E6" s="63" cm="1">
        <f t="array" ref="E6">IFERROR(MEDIAN(IF(('Medical Sales'!N3:N196="Medical")*(LEFT('Medical Sales'!D3:D196,4)="2021")*('Medical Sales'!U3:U196&lt;&gt;"Yes"),'Medical Sales'!E3:E196)),"-")</f>
        <v>486650</v>
      </c>
      <c r="F6" s="61" cm="1">
        <f t="array" ref="F6">IF(B6=0,"-",SUMPRODUCT(('Medical Sales'!N3:N196="Medical")*(LEFT('Medical Sales'!D3:D196,4)="2021")*('Medical Sales'!U3:U196&lt;&gt;"Yes")*('Medical Sales'!F3:F196))/B6)</f>
        <v>225.34006863321505</v>
      </c>
      <c r="G6" s="61" cm="1">
        <f t="array" ref="G6">IFERROR(MEDIAN(IF(('Medical Sales'!N3:N196="Medical")*(LEFT('Medical Sales'!D3:D196,4)="2021")*('Medical Sales'!U3:U196&lt;&gt;"Yes"),'Medical Sales'!F3:F196)),"-")</f>
        <v>84.478495642857055</v>
      </c>
      <c r="H6" s="62" cm="1">
        <f t="array" ref="H6">IF(B6=0,"-",SUMPRODUCT(('Medical Sales'!N3:N196="Medical")*(LEFT('Medical Sales'!D3:D196,4)="2021")*('Medical Sales'!U3:U196&lt;&gt;"Yes")*('Medical Sales'!G3:G196))/B6)</f>
        <v>5355</v>
      </c>
      <c r="I6" s="63" cm="1">
        <f t="array" ref="I6">IFERROR(MIN(IF(('Medical Sales'!N3:N196="Medical")*(LEFT('Medical Sales'!D3:D196,4)="2021")*('Medical Sales'!U3:U196&lt;&gt;"Yes"),'Medical Sales'!E3:E196)),"-")</f>
        <v>243300</v>
      </c>
      <c r="J6" s="63" cm="1">
        <f t="array" ref="J6">IFERROR(MAX(IF(('Medical Sales'!N3:N196="Medical")*(LEFT('Medical Sales'!D3:D196,4)="2021")*('Medical Sales'!U3:U196&lt;&gt;"Yes"),'Medical Sales'!E3:E196)),"-")</f>
        <v>2853400</v>
      </c>
      <c r="K6" s="59"/>
      <c r="M6" s="232" t="s">
        <v>6278</v>
      </c>
      <c r="N6" s="232">
        <f t="shared" si="0"/>
        <v>2</v>
      </c>
      <c r="O6" s="295">
        <f t="shared" si="0"/>
        <v>4900000</v>
      </c>
    </row>
    <row r="7" spans="1:15">
      <c r="A7" s="57" t="s">
        <v>1519</v>
      </c>
      <c r="B7" s="62" cm="1">
        <f t="array" ref="B7">SUMPRODUCT(('Medical Sales'!N3:N196="Multi-Tenant Medical")*(LEFT('Medical Sales'!D3:D196,4)="2021")*('Medical Sales'!U3:U196&lt;&gt;"Yes"))</f>
        <v>2</v>
      </c>
      <c r="C7" s="63" cm="1">
        <f t="array" ref="C7">SUMPRODUCT(('Medical Sales'!N3:N196="Multi-Tenant Medical")*(LEFT('Medical Sales'!D3:D196,4)="2021")*('Medical Sales'!U3:U196&lt;&gt;"Yes")*('Medical Sales'!E3:E196))</f>
        <v>4900000</v>
      </c>
      <c r="D7" s="63">
        <f>IF(B7=0,"-",C7/B7)</f>
        <v>2450000</v>
      </c>
      <c r="E7" s="63" cm="1">
        <f t="array" ref="E7">IFERROR(MEDIAN(IF(('Medical Sales'!N3:N196="Multi-Tenant Medical")*(LEFT('Medical Sales'!D3:D196,4)="2021")*('Medical Sales'!U3:U196&lt;&gt;"Yes"),'Medical Sales'!E3:E196)),"-")</f>
        <v>2450000</v>
      </c>
      <c r="F7" s="61" cm="1">
        <f t="array" ref="F7">IF(B7=0,"-",SUMPRODUCT(('Medical Sales'!N3:N196="Multi-Tenant Medical")*(LEFT('Medical Sales'!D3:D196,4)="2021")*('Medical Sales'!U3:U196&lt;&gt;"Yes")*('Medical Sales'!F3:F196))/B7)</f>
        <v>72.415102579446241</v>
      </c>
      <c r="G7" s="61" cm="1">
        <f t="array" ref="G7">IFERROR(MEDIAN(IF(('Medical Sales'!N3:N196="Multi-Tenant Medical")*(LEFT('Medical Sales'!D3:D196,4)="2021")*('Medical Sales'!U3:U196&lt;&gt;"Yes"),'Medical Sales'!F3:F196)),"-")</f>
        <v>72.415102579446241</v>
      </c>
      <c r="H7" s="62" cm="1">
        <f t="array" ref="H7">IF(B7=0,"-",SUMPRODUCT(('Medical Sales'!N3:N196="Multi-Tenant Medical")*(LEFT('Medical Sales'!D3:D196,4)="2021")*('Medical Sales'!U3:U196&lt;&gt;"Yes")*('Medical Sales'!G3:G196))/B7)</f>
        <v>35628</v>
      </c>
      <c r="I7" s="63" cm="1">
        <f t="array" ref="I7">IFERROR(MIN(IF(('Medical Sales'!N3:N196="Multi-Tenant Medical")*(LEFT('Medical Sales'!D3:D196,4)="2021")*('Medical Sales'!U3:U196&lt;&gt;"Yes"),'Medical Sales'!E3:E196)),"-")</f>
        <v>1900000</v>
      </c>
      <c r="J7" s="63" cm="1">
        <f t="array" ref="J7">IFERROR(MAX(IF(('Medical Sales'!N3:N196="Multi-Tenant Medical")*(LEFT('Medical Sales'!D3:D196,4)="2021")*('Medical Sales'!U3:U196&lt;&gt;"Yes"),'Medical Sales'!E3:E196)),"-")</f>
        <v>3000000</v>
      </c>
      <c r="K7" s="59"/>
      <c r="M7" s="232" t="s">
        <v>6212</v>
      </c>
      <c r="N7" s="232">
        <f t="shared" si="0"/>
        <v>0</v>
      </c>
      <c r="O7" s="295">
        <f t="shared" si="0"/>
        <v>0</v>
      </c>
    </row>
    <row r="8" spans="1:15" ht="17" thickBot="1">
      <c r="A8" s="80" t="s">
        <v>6212</v>
      </c>
      <c r="B8" s="81" cm="1">
        <f t="array" ref="B8">SUMPRODUCT(('Medical Sales'!N3:N196="Hospitals")*(LEFT('Medical Sales'!D3:D196,4)="2021")*('Medical Sales'!U3:U196&lt;&gt;"Yes"))</f>
        <v>0</v>
      </c>
      <c r="C8" s="82" cm="1">
        <f t="array" ref="C8">SUMPRODUCT(('Medical Sales'!N3:N196="Hospitals")*(LEFT('Medical Sales'!D3:D196,4)="2021")*('Medical Sales'!U3:U196&lt;&gt;"Yes")*('Medical Sales'!E3:E196))</f>
        <v>0</v>
      </c>
      <c r="D8" s="82" t="str">
        <f>IF(B8=0,"-",C8/B8)</f>
        <v>-</v>
      </c>
      <c r="E8" s="82" t="str" cm="1">
        <f t="array" ref="E8">IFERROR(MEDIAN(IF(('Medical Sales'!N3:N196="Hospitals")*(LEFT('Medical Sales'!D3:D196,4)="2021")*('Medical Sales'!U3:U196&lt;&gt;"Yes"),'Medical Sales'!E3:E196)),"-")</f>
        <v>-</v>
      </c>
      <c r="F8" s="83" t="str" cm="1">
        <f t="array" ref="F8">IF(B8=0,"-",SUMPRODUCT(('Medical Sales'!N3:N196="Hospitals")*(LEFT('Medical Sales'!D3:D196,4)="2021")*('Medical Sales'!U3:U196&lt;&gt;"Yes")*('Medical Sales'!F3:F196))/B8)</f>
        <v>-</v>
      </c>
      <c r="G8" s="83" t="str" cm="1">
        <f t="array" ref="G8">IFERROR(MEDIAN(IF(('Medical Sales'!N3:N196="Hospitals")*(LEFT('Medical Sales'!D3:D196,4)="2021")*('Medical Sales'!U3:U196&lt;&gt;"Yes"),'Medical Sales'!F3:F196)),"-")</f>
        <v>-</v>
      </c>
      <c r="H8" s="81" t="str" cm="1">
        <f t="array" ref="H8">IF(B8=0,"-",SUMPRODUCT(('Medical Sales'!N3:N196="Hospitals")*(LEFT('Medical Sales'!D3:D196,4)="2021")*('Medical Sales'!U3:U196&lt;&gt;"Yes")*('Medical Sales'!G3:G196))/B8)</f>
        <v>-</v>
      </c>
      <c r="I8" s="82" cm="1">
        <f t="array" ref="I8">IFERROR(MIN(IF(('Medical Sales'!N3:N196="Hospitals")*(LEFT('Medical Sales'!D3:D196,4)="2021")*('Medical Sales'!U3:U196&lt;&gt;"Yes"),'Medical Sales'!E3:E196)),"-")</f>
        <v>0</v>
      </c>
      <c r="J8" s="82" cm="1">
        <f t="array" ref="J8">IFERROR(MAX(IF(('Medical Sales'!N3:N196="Hospitals")*(LEFT('Medical Sales'!D3:D196,4)="2021")*('Medical Sales'!U3:U196&lt;&gt;"Yes"),'Medical Sales'!E3:E196)),"-")</f>
        <v>0</v>
      </c>
      <c r="K8" s="59"/>
    </row>
    <row r="9" spans="1:15">
      <c r="A9" s="57" t="s">
        <v>6222</v>
      </c>
      <c r="B9" s="74">
        <f>SUM(B6:B8)</f>
        <v>6</v>
      </c>
      <c r="C9" s="75">
        <f>SUM(C6:C8)</f>
        <v>8970000</v>
      </c>
      <c r="D9" s="75">
        <f>IF(B9=0,"-",C9/B9)</f>
        <v>1495000</v>
      </c>
      <c r="E9" s="75" cm="1">
        <f t="array" ref="E9">MEDIAN(IF((LEFT('Medical Sales'!D3:D196,4)="2021")*('Medical Sales'!U3:U196&lt;&gt;"Yes"),'Medical Sales'!E3:E196))</f>
        <v>1222500</v>
      </c>
      <c r="F9" s="76" cm="1">
        <f t="array" ref="F9">IF(B9=0,"-",SUMPRODUCT((LEFT('Medical Sales'!D3:D196,4)="2021")*('Medical Sales'!U3:U196&lt;&gt;"Yes")*('Medical Sales'!F3:F196))/SUMPRODUCT((LEFT('Medical Sales'!D3:D196,4)="2021")*('Medical Sales'!U3:U196&lt;&gt;"Yes")*('Medical Sales'!F3:F196&lt;&gt;0)*1))</f>
        <v>174.36507994862544</v>
      </c>
      <c r="G9" s="76" cm="1">
        <f t="array" ref="G9">MEDIAN(IF((LEFT('Medical Sales'!D3:D196,4)="2021")*('Medical Sales'!U3:U196&lt;&gt;"Yes"),'Medical Sales'!F3:F196))</f>
        <v>77.776174803029022</v>
      </c>
      <c r="H9" s="74" cm="1">
        <f t="array" ref="H9">IF(B9=0,"-",SUMPRODUCT((LEFT('Medical Sales'!D3:D196,4)="2021")*('Medical Sales'!U3:U196&lt;&gt;"Yes")*('Medical Sales'!G3:G196))/B9)</f>
        <v>15446</v>
      </c>
      <c r="I9" s="75" cm="1">
        <f t="array" ref="I9">MIN(IF((LEFT('Medical Sales'!D3:D196,4)="2021")*('Medical Sales'!U3:U196&lt;&gt;"Yes"),'Medical Sales'!E3:E196))</f>
        <v>243300</v>
      </c>
      <c r="J9" s="75" cm="1">
        <f t="array" ref="J9">MAX(IF((LEFT('Medical Sales'!D3:D196,4)="2021")*('Medical Sales'!U3:U196&lt;&gt;"Yes"),'Medical Sales'!E3:E196))</f>
        <v>3000000</v>
      </c>
      <c r="K9" s="59"/>
    </row>
    <row r="10" spans="1:15">
      <c r="A10" s="59"/>
      <c r="B10" s="59"/>
      <c r="C10" s="59"/>
      <c r="D10" s="59"/>
      <c r="E10" s="59"/>
      <c r="F10" s="59"/>
      <c r="G10" s="59"/>
      <c r="H10" s="59"/>
      <c r="I10" s="59"/>
      <c r="J10" s="59"/>
      <c r="K10" s="59"/>
      <c r="M10" s="69" t="s">
        <v>2</v>
      </c>
      <c r="N10" s="69" t="s">
        <v>6215</v>
      </c>
      <c r="O10" s="69" t="s">
        <v>6220</v>
      </c>
    </row>
    <row r="11" spans="1:15" ht="19">
      <c r="A11" s="55" t="s">
        <v>6347</v>
      </c>
      <c r="B11" s="55"/>
      <c r="C11" s="55"/>
      <c r="D11" s="55"/>
      <c r="E11" s="55"/>
      <c r="F11" s="55"/>
      <c r="G11" s="55"/>
      <c r="H11" s="55"/>
      <c r="I11" s="55"/>
      <c r="J11" s="55"/>
      <c r="K11" s="55"/>
      <c r="M11" s="232" t="s">
        <v>33</v>
      </c>
      <c r="N11" s="232">
        <f>B13</f>
        <v>4</v>
      </c>
      <c r="O11" s="296">
        <f>G13</f>
        <v>72.415102579446241</v>
      </c>
    </row>
    <row r="12" spans="1:15">
      <c r="A12" s="56" t="s">
        <v>2</v>
      </c>
      <c r="B12" s="56" t="s">
        <v>6215</v>
      </c>
      <c r="C12" s="56" t="s">
        <v>6216</v>
      </c>
      <c r="D12" s="56" t="s">
        <v>6217</v>
      </c>
      <c r="E12" s="56" t="s">
        <v>6218</v>
      </c>
      <c r="F12" s="56" t="s">
        <v>6219</v>
      </c>
      <c r="G12" s="56" t="s">
        <v>6220</v>
      </c>
      <c r="H12" s="56" t="s">
        <v>6221</v>
      </c>
      <c r="I12" s="56" t="s">
        <v>6230</v>
      </c>
      <c r="J12" s="56" t="s">
        <v>6231</v>
      </c>
      <c r="K12" s="59"/>
      <c r="M12" s="70" t="s">
        <v>20</v>
      </c>
      <c r="N12" s="232">
        <f>B14</f>
        <v>1</v>
      </c>
      <c r="O12" s="296">
        <f>G14</f>
        <v>686.73886883273167</v>
      </c>
    </row>
    <row r="13" spans="1:15">
      <c r="A13" s="57" t="s">
        <v>33</v>
      </c>
      <c r="B13" s="62" cm="1">
        <f t="array" ref="B13">SUMPRODUCT(('Medical Sales'!C3:C196="Orange")*(LEFT('Medical Sales'!D3:D196,4)="2021")*('Medical Sales'!U3:U196&lt;&gt;"Yes"))</f>
        <v>4</v>
      </c>
      <c r="C13" s="63" cm="1">
        <f t="array" ref="C13">SUMPRODUCT(('Medical Sales'!C3:C196="Orange")*(LEFT('Medical Sales'!D3:D196,4)="2021")*('Medical Sales'!U3:U196&lt;&gt;"Yes")*('Medical Sales'!E3:E196))</f>
        <v>5571600</v>
      </c>
      <c r="D13" s="63">
        <f>IF(B13=0,"-",C13/B13)</f>
        <v>1392900</v>
      </c>
      <c r="E13" s="63" cm="1">
        <f t="array" ref="E13">IFERROR(MEDIAN(IF(('Medical Sales'!C3:C196="Orange")*(LEFT('Medical Sales'!D3:D196,4)="2021")*('Medical Sales'!U3:U196&lt;&gt;"Yes"),'Medical Sales'!E3:E196)),"-")</f>
        <v>1164150</v>
      </c>
      <c r="F13" s="61" cm="1">
        <f t="array" ref="F13">IF(B13=0,"-",SUMPRODUCT(('Medical Sales'!C3:C196="Orange")*(LEFT('Medical Sales'!D3:D196,4)="2021")*('Medical Sales'!U3:U196&lt;&gt;"Yes")*('Medical Sales'!F3:F196))/B13)</f>
        <v>71.647662073044017</v>
      </c>
      <c r="G13" s="61" cm="1">
        <f t="array" ref="G13">IFERROR(MEDIAN(IF(('Medical Sales'!C3:C196="Orange")*(LEFT('Medical Sales'!D3:D196,4)="2021")*('Medical Sales'!U3:U196&lt;&gt;"Yes"),'Medical Sales'!F3:F196)),"-")</f>
        <v>72.415102579446241</v>
      </c>
      <c r="H13" s="62" cm="1">
        <f t="array" ref="H13">IF(B13=0,"-",SUMPRODUCT(('Medical Sales'!C3:C196="Orange")*(LEFT('Medical Sales'!D3:D196,4)="2021")*('Medical Sales'!U3:U196&lt;&gt;"Yes")*('Medical Sales'!G3:G196))/B13)</f>
        <v>20260.25</v>
      </c>
      <c r="I13" s="63" cm="1">
        <f t="array" ref="I13">IFERROR(MIN(IF(('Medical Sales'!C3:C196="Orange")*(LEFT('Medical Sales'!D3:D196,4)="2021")*('Medical Sales'!U3:U196&lt;&gt;"Yes"),'Medical Sales'!E3:E196)),"-")</f>
        <v>243300</v>
      </c>
      <c r="J13" s="63" cm="1">
        <f t="array" ref="J13">IFERROR(MAX(IF(('Medical Sales'!C3:C196="Orange")*(LEFT('Medical Sales'!D3:D196,4)="2021")*('Medical Sales'!U3:U196&lt;&gt;"Yes"),'Medical Sales'!E3:E196)),"-")</f>
        <v>3000000</v>
      </c>
      <c r="K13" s="59"/>
      <c r="M13" s="232" t="s">
        <v>678</v>
      </c>
      <c r="N13" s="232">
        <f>B15</f>
        <v>0</v>
      </c>
      <c r="O13" s="296" t="str">
        <f>G15</f>
        <v>-</v>
      </c>
    </row>
    <row r="14" spans="1:15">
      <c r="A14" s="57" t="s">
        <v>20</v>
      </c>
      <c r="B14" s="62" cm="1">
        <f t="array" ref="B14">SUMPRODUCT(('Medical Sales'!C3:C196="Seminole")*(LEFT('Medical Sales'!D3:D196,4)="2021")*('Medical Sales'!U3:U196&lt;&gt;"Yes"))</f>
        <v>1</v>
      </c>
      <c r="C14" s="63" cm="1">
        <f t="array" ref="C14">SUMPRODUCT(('Medical Sales'!C3:C196="Seminole")*(LEFT('Medical Sales'!D3:D196,4)="2021")*('Medical Sales'!U3:U196&lt;&gt;"Yes")*('Medical Sales'!E3:E196))</f>
        <v>2853400</v>
      </c>
      <c r="D14" s="63">
        <f>IF(B14=0,"-",C14/B14)</f>
        <v>2853400</v>
      </c>
      <c r="E14" s="63" cm="1">
        <f t="array" ref="E14">IFERROR(MEDIAN(IF(('Medical Sales'!C3:C196="Seminole")*(LEFT('Medical Sales'!D3:D196,4)="2021")*('Medical Sales'!U3:U196&lt;&gt;"Yes"),'Medical Sales'!E3:E196)),"-")</f>
        <v>2853400</v>
      </c>
      <c r="F14" s="61" cm="1">
        <f t="array" ref="F14">IF(B14=0,"-",SUMPRODUCT(('Medical Sales'!C3:C196="Seminole")*(LEFT('Medical Sales'!D3:D196,4)="2021")*('Medical Sales'!U3:U196&lt;&gt;"Yes")*('Medical Sales'!F3:F196))/B14)</f>
        <v>686.73886883273167</v>
      </c>
      <c r="G14" s="61" cm="1">
        <f t="array" ref="G14">IFERROR(MEDIAN(IF(('Medical Sales'!C3:C196="Seminole")*(LEFT('Medical Sales'!D3:D196,4)="2021")*('Medical Sales'!U3:U196&lt;&gt;"Yes"),'Medical Sales'!F3:F196)),"-")</f>
        <v>686.73886883273167</v>
      </c>
      <c r="H14" s="62" cm="1">
        <f t="array" ref="H14">IF(B14=0,"-",SUMPRODUCT(('Medical Sales'!C3:C196="Seminole")*(LEFT('Medical Sales'!D3:D196,4)="2021")*('Medical Sales'!U3:U196&lt;&gt;"Yes")*('Medical Sales'!G3:G196))/B14)</f>
        <v>4155</v>
      </c>
      <c r="I14" s="63" cm="1">
        <f t="array" ref="I14">IFERROR(MIN(IF(('Medical Sales'!C3:C196="Seminole")*(LEFT('Medical Sales'!D3:D196,4)="2021")*('Medical Sales'!U3:U196&lt;&gt;"Yes"),'Medical Sales'!E3:E196)),"-")</f>
        <v>2853400</v>
      </c>
      <c r="J14" s="63" cm="1">
        <f t="array" ref="J14">IFERROR(MAX(IF(('Medical Sales'!C3:C196="Seminole")*(LEFT('Medical Sales'!D3:D196,4)="2021")*('Medical Sales'!U3:U196&lt;&gt;"Yes"),'Medical Sales'!E3:E196)),"-")</f>
        <v>2853400</v>
      </c>
      <c r="K14" s="59"/>
      <c r="M14" s="232" t="s">
        <v>184</v>
      </c>
      <c r="N14" s="232">
        <f>B16</f>
        <v>1</v>
      </c>
      <c r="O14" s="296">
        <f>G16</f>
        <v>72.860962566844918</v>
      </c>
    </row>
    <row r="15" spans="1:15">
      <c r="A15" s="57" t="s">
        <v>678</v>
      </c>
      <c r="B15" s="62" cm="1">
        <f t="array" ref="B15">SUMPRODUCT(('Medical Sales'!C3:C196="Osceola")*(LEFT('Medical Sales'!D3:D196,4)="2021")*('Medical Sales'!U3:U196&lt;&gt;"Yes"))</f>
        <v>0</v>
      </c>
      <c r="C15" s="63" cm="1">
        <f t="array" ref="C15">SUMPRODUCT(('Medical Sales'!C3:C196="Osceola")*(LEFT('Medical Sales'!D3:D196,4)="2021")*('Medical Sales'!U3:U196&lt;&gt;"Yes")*('Medical Sales'!E3:E196))</f>
        <v>0</v>
      </c>
      <c r="D15" s="63" t="str">
        <f>IF(B15=0,"-",C15/B15)</f>
        <v>-</v>
      </c>
      <c r="E15" s="63" t="str" cm="1">
        <f t="array" ref="E15">IFERROR(MEDIAN(IF(('Medical Sales'!C3:C196="Osceola")*(LEFT('Medical Sales'!D3:D196,4)="2021")*('Medical Sales'!U3:U196&lt;&gt;"Yes"),'Medical Sales'!E3:E196)),"-")</f>
        <v>-</v>
      </c>
      <c r="F15" s="61" t="str" cm="1">
        <f t="array" ref="F15">IF(B15=0,"-",SUMPRODUCT(('Medical Sales'!C3:C196="Osceola")*(LEFT('Medical Sales'!D3:D196,4)="2021")*('Medical Sales'!U3:U196&lt;&gt;"Yes")*('Medical Sales'!F3:F196))/B15)</f>
        <v>-</v>
      </c>
      <c r="G15" s="61" t="str" cm="1">
        <f t="array" ref="G15">IFERROR(MEDIAN(IF(('Medical Sales'!C3:C196="Osceola")*(LEFT('Medical Sales'!D3:D196,4)="2021")*('Medical Sales'!U3:U196&lt;&gt;"Yes"),'Medical Sales'!F3:F196)),"-")</f>
        <v>-</v>
      </c>
      <c r="H15" s="62" t="str" cm="1">
        <f t="array" ref="H15">IF(B15=0,"-",SUMPRODUCT(('Medical Sales'!C3:C196="Osceola")*(LEFT('Medical Sales'!D3:D196,4)="2021")*('Medical Sales'!U3:U196&lt;&gt;"Yes")*('Medical Sales'!G3:G196))/B15)</f>
        <v>-</v>
      </c>
      <c r="I15" s="63" cm="1">
        <f t="array" ref="I15">IFERROR(MIN(IF(('Medical Sales'!C3:C196="Osceola")*(LEFT('Medical Sales'!D3:D196,4)="2021")*('Medical Sales'!U3:U196&lt;&gt;"Yes"),'Medical Sales'!E3:E196)),"-")</f>
        <v>0</v>
      </c>
      <c r="J15" s="63" cm="1">
        <f t="array" ref="J15">IFERROR(MAX(IF(('Medical Sales'!C3:C196="Osceola")*(LEFT('Medical Sales'!D3:D196,4)="2021")*('Medical Sales'!U3:U196&lt;&gt;"Yes"),'Medical Sales'!E3:E196)),"-")</f>
        <v>0</v>
      </c>
      <c r="K15" s="59"/>
    </row>
    <row r="16" spans="1:15">
      <c r="A16" s="57" t="s">
        <v>184</v>
      </c>
      <c r="B16" s="62" cm="1">
        <f t="array" ref="B16">SUMPRODUCT(('Medical Sales'!C3:C196="Lake")*(LEFT('Medical Sales'!D3:D196,4)="2021")*('Medical Sales'!U3:U196&lt;&gt;"Yes"))</f>
        <v>1</v>
      </c>
      <c r="C16" s="63" cm="1">
        <f t="array" ref="C16">SUMPRODUCT(('Medical Sales'!C3:C196="Lake")*(LEFT('Medical Sales'!D3:D196,4)="2021")*('Medical Sales'!U3:U196&lt;&gt;"Yes")*('Medical Sales'!E3:E196))</f>
        <v>545000</v>
      </c>
      <c r="D16" s="63">
        <f>IF(B16=0,"-",C16/B16)</f>
        <v>545000</v>
      </c>
      <c r="E16" s="63" cm="1">
        <f t="array" ref="E16">IFERROR(MEDIAN(IF(('Medical Sales'!C3:C196="Lake")*(LEFT('Medical Sales'!D3:D196,4)="2021")*('Medical Sales'!U3:U196&lt;&gt;"Yes"),'Medical Sales'!E3:E196)),"-")</f>
        <v>545000</v>
      </c>
      <c r="F16" s="61" cm="1">
        <f t="array" ref="F16">IF(B16=0,"-",SUMPRODUCT(('Medical Sales'!C3:C196="Lake")*(LEFT('Medical Sales'!D3:D196,4)="2021")*('Medical Sales'!U3:U196&lt;&gt;"Yes")*('Medical Sales'!F3:F196))/B16)</f>
        <v>72.860962566844918</v>
      </c>
      <c r="G16" s="61" cm="1">
        <f t="array" ref="G16">IFERROR(MEDIAN(IF(('Medical Sales'!C3:C196="Lake")*(LEFT('Medical Sales'!D3:D196,4)="2021")*('Medical Sales'!U3:U196&lt;&gt;"Yes"),'Medical Sales'!F3:F196)),"-")</f>
        <v>72.860962566844918</v>
      </c>
      <c r="H16" s="62" cm="1">
        <f t="array" ref="H16">IF(B16=0,"-",SUMPRODUCT(('Medical Sales'!C3:C196="Lake")*(LEFT('Medical Sales'!D3:D196,4)="2021")*('Medical Sales'!U3:U196&lt;&gt;"Yes")*('Medical Sales'!G3:G196))/B16)</f>
        <v>7480</v>
      </c>
      <c r="I16" s="63" cm="1">
        <f t="array" ref="I16">IFERROR(MIN(IF(('Medical Sales'!C3:C196="Lake")*(LEFT('Medical Sales'!D3:D196,4)="2021")*('Medical Sales'!U3:U196&lt;&gt;"Yes"),'Medical Sales'!E3:E196)),"-")</f>
        <v>545000</v>
      </c>
      <c r="J16" s="63" cm="1">
        <f t="array" ref="J16">IFERROR(MAX(IF(('Medical Sales'!C3:C196="Lake")*(LEFT('Medical Sales'!D3:D196,4)="2021")*('Medical Sales'!U3:U196&lt;&gt;"Yes"),'Medical Sales'!E3:E196)),"-")</f>
        <v>545000</v>
      </c>
      <c r="K16" s="59"/>
    </row>
    <row r="17" spans="1:15">
      <c r="A17" s="59"/>
      <c r="B17" s="59"/>
      <c r="C17" s="59"/>
      <c r="D17" s="59"/>
      <c r="E17" s="59"/>
      <c r="F17" s="59"/>
      <c r="G17" s="59"/>
      <c r="H17" s="59"/>
      <c r="I17" s="59"/>
      <c r="J17" s="59"/>
      <c r="K17" s="59"/>
      <c r="M17" s="69" t="s">
        <v>6279</v>
      </c>
      <c r="N17" s="69" t="s">
        <v>6218</v>
      </c>
      <c r="O17" s="69" t="s">
        <v>6220</v>
      </c>
    </row>
    <row r="18" spans="1:15" ht="19">
      <c r="A18" s="55" t="s">
        <v>6303</v>
      </c>
      <c r="B18" s="55"/>
      <c r="C18" s="55"/>
      <c r="D18" s="55"/>
      <c r="E18" s="55"/>
      <c r="F18" s="55"/>
      <c r="G18" s="55"/>
      <c r="H18" s="55"/>
      <c r="I18" s="55"/>
      <c r="J18" s="55"/>
      <c r="K18" s="55"/>
      <c r="M18" s="232" t="s">
        <v>6280</v>
      </c>
      <c r="N18" s="295">
        <f>B28</f>
        <v>428300</v>
      </c>
      <c r="O18" s="296">
        <f>B30</f>
        <v>96.096028718869192</v>
      </c>
    </row>
    <row r="19" spans="1:15">
      <c r="A19" s="56" t="s">
        <v>2</v>
      </c>
      <c r="B19" s="56" t="s">
        <v>6215</v>
      </c>
      <c r="C19" s="56" t="s">
        <v>6216</v>
      </c>
      <c r="D19" s="56" t="s">
        <v>6217</v>
      </c>
      <c r="E19" s="56" t="s">
        <v>6218</v>
      </c>
      <c r="F19" s="56" t="s">
        <v>6219</v>
      </c>
      <c r="G19" s="56" t="s">
        <v>6220</v>
      </c>
      <c r="H19" s="59"/>
      <c r="I19" s="59"/>
      <c r="J19" s="59"/>
      <c r="K19" s="59"/>
      <c r="M19" s="232" t="s">
        <v>6281</v>
      </c>
      <c r="N19" s="295">
        <f>B66</f>
        <v>2450000</v>
      </c>
      <c r="O19" s="296">
        <f>B68</f>
        <v>72.415102579446241</v>
      </c>
    </row>
    <row r="20" spans="1:15">
      <c r="A20" s="57" t="s">
        <v>6304</v>
      </c>
      <c r="B20" s="62" cm="1">
        <f t="array" ref="B20">SUMPRODUCT(('Medical Sales'!C3:C196="Orange")*(LEFT('Medical Sales'!D3:D196,4)="2021")*('Medical Sales'!N3:N196&lt;&gt;"Hospitals")*('Medical Sales'!U3:U196&lt;&gt;"Yes"))</f>
        <v>4</v>
      </c>
      <c r="C20" s="63" cm="1">
        <f t="array" ref="C20">SUMPRODUCT(('Medical Sales'!C3:C196="Orange")*(LEFT('Medical Sales'!D3:D196,4)="2021")*('Medical Sales'!N3:N196&lt;&gt;"Hospitals")*('Medical Sales'!U3:U196&lt;&gt;"Yes")*('Medical Sales'!E3:E196))</f>
        <v>5571600</v>
      </c>
      <c r="D20" s="63">
        <f>IF(B20=0,"-",C20/B20)</f>
        <v>1392900</v>
      </c>
      <c r="E20" s="63" cm="1">
        <f t="array" ref="E20">IFERROR(MEDIAN(IF(('Medical Sales'!C3:C196="Orange")*(LEFT('Medical Sales'!D3:D196,4)="2021")*('Medical Sales'!N3:N196&lt;&gt;"Hospitals")*('Medical Sales'!U3:U196&lt;&gt;"Yes"),'Medical Sales'!E3:E196)),"-")</f>
        <v>1164150</v>
      </c>
      <c r="F20" s="61" cm="1">
        <f t="array" ref="F20">IF(B20=0,"-",SUMPRODUCT(('Medical Sales'!C3:C196="Orange")*(LEFT('Medical Sales'!D3:D196,4)="2021")*('Medical Sales'!N3:N196&lt;&gt;"Hospitals")*('Medical Sales'!U3:U196&lt;&gt;"Yes")*('Medical Sales'!F3:F196))/B20)</f>
        <v>71.647662073044017</v>
      </c>
      <c r="G20" s="61" cm="1">
        <f t="array" ref="G20">IFERROR(MEDIAN(IF(('Medical Sales'!C3:C196="Orange")*(LEFT('Medical Sales'!D3:D196,4)="2021")*('Medical Sales'!N3:N196&lt;&gt;"Hospitals")*('Medical Sales'!U3:U196&lt;&gt;"Yes"),'Medical Sales'!F3:F196)),"-")</f>
        <v>72.415102579446241</v>
      </c>
      <c r="H20" s="59"/>
      <c r="I20" s="59"/>
      <c r="J20" s="59"/>
      <c r="K20" s="59"/>
    </row>
    <row r="21" spans="1:15">
      <c r="A21" s="57" t="s">
        <v>6305</v>
      </c>
      <c r="B21" s="62" cm="1">
        <f t="array" ref="B21">SUMPRODUCT((LEFT('Medical Sales'!D3:D196,4)="2021")*('Medical Sales'!N3:N196&lt;&gt;"Hospitals")*('Medical Sales'!U3:U196&lt;&gt;"Yes"))</f>
        <v>6</v>
      </c>
      <c r="C21" s="63" cm="1">
        <f t="array" ref="C21">SUMPRODUCT((LEFT('Medical Sales'!D3:D196,4)="2021")*('Medical Sales'!N3:N196&lt;&gt;"Hospitals")*('Medical Sales'!U3:U196&lt;&gt;"Yes")*('Medical Sales'!E3:E196))</f>
        <v>8970000</v>
      </c>
      <c r="D21" s="63">
        <f>IF(B21=0,"-",C21/B21)</f>
        <v>1495000</v>
      </c>
      <c r="E21" s="63" cm="1">
        <f t="array" ref="E21">MEDIAN(IF((LEFT('Medical Sales'!D3:D196,4)="2021")*('Medical Sales'!N3:N196&lt;&gt;"Hospitals")*('Medical Sales'!U3:U196&lt;&gt;"Yes"),'Medical Sales'!E3:E196))</f>
        <v>1222500</v>
      </c>
      <c r="F21" s="61" cm="1">
        <f t="array" ref="F21">IF(B21=0,"-",SUMPRODUCT((LEFT('Medical Sales'!D3:D196,4)="2021")*('Medical Sales'!N3:N196&lt;&gt;"Hospitals")*('Medical Sales'!U3:U196&lt;&gt;"Yes")*('Medical Sales'!F3:F196))/B21)</f>
        <v>174.36507994862544</v>
      </c>
      <c r="G21" s="61" cm="1">
        <f t="array" ref="G21">MEDIAN(IF((LEFT('Medical Sales'!D3:D196,4)="2021")*('Medical Sales'!N3:N196&lt;&gt;"Hospitals")*('Medical Sales'!U3:U196&lt;&gt;"Yes"),'Medical Sales'!F3:F196))</f>
        <v>77.776174803029022</v>
      </c>
      <c r="H21" s="59"/>
      <c r="I21" s="59"/>
      <c r="J21" s="59"/>
      <c r="K21" s="59"/>
    </row>
    <row r="22" spans="1:15">
      <c r="A22" s="270" t="s">
        <v>6348</v>
      </c>
      <c r="B22" s="59"/>
      <c r="C22" s="59"/>
      <c r="D22" s="59"/>
      <c r="E22" s="59"/>
      <c r="F22" s="59"/>
      <c r="G22" s="59"/>
      <c r="H22" s="59"/>
      <c r="I22" s="59"/>
      <c r="J22" s="59"/>
      <c r="K22" s="59"/>
      <c r="M22" s="69" t="s">
        <v>6233</v>
      </c>
      <c r="N22" s="69" t="s">
        <v>6215</v>
      </c>
      <c r="O22" s="69" t="s">
        <v>6219</v>
      </c>
    </row>
    <row r="23" spans="1:15">
      <c r="A23" s="59"/>
      <c r="B23" s="59"/>
      <c r="C23" s="59"/>
      <c r="D23" s="59"/>
      <c r="E23" s="59"/>
      <c r="F23" s="59"/>
      <c r="G23" s="59"/>
      <c r="H23" s="59"/>
      <c r="I23" s="59"/>
      <c r="J23" s="59"/>
      <c r="K23" s="59"/>
      <c r="M23" s="232" t="s">
        <v>6659</v>
      </c>
      <c r="N23" s="232">
        <f>COUNTIFS('Medical Sales'!D:D,"2021*",'Medical Sales'!G:G,"&lt;3000",'Medical Sales'!G:G,"&gt;0",'Medical Sales'!U:U,"Yes")</f>
        <v>13</v>
      </c>
      <c r="O23" s="296" cm="1">
        <f t="array" ref="O23">IF(N23=0,0,SUMPRODUCT((LEFT('Medical Sales'!D3:D196,4)="2021")*('Medical Sales'!G3:G196&lt;3000)*('Medical Sales'!G3:G196&gt;0)*('Medical Sales'!U3:U196&lt;&gt;"Yes")*('Medical Sales'!F3:F196))/N23)</f>
        <v>0</v>
      </c>
    </row>
    <row r="24" spans="1:15" ht="19">
      <c r="A24" s="84" t="s">
        <v>6256</v>
      </c>
      <c r="B24" s="84"/>
      <c r="C24" s="84"/>
      <c r="D24" s="84"/>
      <c r="E24" s="84"/>
      <c r="F24" s="84"/>
      <c r="G24" s="84"/>
      <c r="H24" s="84"/>
      <c r="I24" s="84"/>
      <c r="J24" s="84"/>
      <c r="K24" s="84"/>
      <c r="M24" s="232" t="s">
        <v>6658</v>
      </c>
      <c r="N24" s="232">
        <f>COUNTIFS('Medical Sales'!D:D,"2021*",'Medical Sales'!G:G,"&gt;=3000",'Medical Sales'!G:G,"&lt;6000",'Medical Sales'!U:U,"Yes")</f>
        <v>17</v>
      </c>
      <c r="O24" s="296" cm="1">
        <f t="array" ref="O24">IF(N24=0,0,SUMPRODUCT((LEFT('Medical Sales'!D3:D196,4)="2021")*('Medical Sales'!G3:G196&gt;=3000)*('Medical Sales'!G3:G196&lt;6000)*('Medical Sales'!U3:U196&lt;&gt;"Yes")*('Medical Sales'!F3:F196))/N24)</f>
        <v>48.735253645059721</v>
      </c>
    </row>
    <row r="25" spans="1:15">
      <c r="A25" s="86" t="s">
        <v>6257</v>
      </c>
      <c r="B25" s="59"/>
      <c r="C25" s="59"/>
      <c r="D25" s="106" t="s">
        <v>6285</v>
      </c>
      <c r="E25" s="106"/>
      <c r="F25" s="106"/>
      <c r="G25" s="106"/>
      <c r="H25" s="106"/>
      <c r="I25" s="106"/>
      <c r="J25" s="106"/>
      <c r="K25" s="106"/>
      <c r="M25" s="232" t="s">
        <v>6657</v>
      </c>
      <c r="N25" s="232">
        <f>COUNTIFS('Medical Sales'!D:D,"2021*",'Medical Sales'!G:G,"&gt;=6000",'Medical Sales'!G:G,"&lt;10000",'Medical Sales'!U:U,"Yes")</f>
        <v>4</v>
      </c>
      <c r="O25" s="296" cm="1">
        <f t="array" ref="O25">IF(N25=0,0,SUMPRODUCT((LEFT('Medical Sales'!D3:D196,4)="2021")*('Medical Sales'!G3:G196&gt;=6000)*('Medical Sales'!G3:G196&lt;10000)*('Medical Sales'!U3:U196&lt;&gt;"Yes")*('Medical Sales'!F3:F196))/N25)</f>
        <v>18.21524064171123</v>
      </c>
    </row>
    <row r="26" spans="1:15">
      <c r="A26" s="57" t="s">
        <v>6350</v>
      </c>
      <c r="B26" s="149" cm="1">
        <f t="array" ref="B26">SUMPRODUCT((LEFT('Medical Sales'!D3:D196,4)="2021")*('Medical Sales'!G3:G196&lt;6000)*('Medical Sales'!G3:G196&gt;0)*('Medical Sales'!U3:U196&lt;&gt;"Yes"))</f>
        <v>3</v>
      </c>
      <c r="C26" s="59"/>
      <c r="D26" s="107" t="s">
        <v>6349</v>
      </c>
      <c r="E26" s="107"/>
      <c r="F26" s="107"/>
      <c r="G26" s="107"/>
      <c r="H26" s="107"/>
      <c r="I26" s="107"/>
      <c r="J26" s="107"/>
      <c r="K26" s="107"/>
      <c r="M26" s="232" t="s">
        <v>6655</v>
      </c>
      <c r="N26" s="232">
        <f>COUNTIFS('Medical Sales'!D:D,"2021*",'Medical Sales'!G:G,"&gt;=10000",'Medical Sales'!G:G,"&lt;20000",'Medical Sales'!U:U,"Yes")</f>
        <v>7</v>
      </c>
      <c r="O26" s="296" cm="1">
        <f t="array" ref="O26">IF(N26=0,0,SUMPRODUCT((LEFT('Medical Sales'!D3:D196,4)="2021")*('Medical Sales'!G3:G196&gt;=10000)*('Medical Sales'!G3:G196&lt;20000)*('Medical Sales'!U3:U196&lt;&gt;"Yes")*('Medical Sales'!F3:F196))/N26)</f>
        <v>0</v>
      </c>
    </row>
    <row r="27" spans="1:15">
      <c r="A27" s="57" t="s">
        <v>6216</v>
      </c>
      <c r="B27" s="150" cm="1">
        <f t="array" ref="B27">SUMPRODUCT((LEFT('Medical Sales'!D3:D196,4)="2021")*('Medical Sales'!G3:G196&lt;6000)*('Medical Sales'!G3:G196&gt;0)*('Medical Sales'!U3:U196&lt;&gt;"Yes")*('Medical Sales'!E3:E196))</f>
        <v>3525000</v>
      </c>
      <c r="C27" s="59"/>
      <c r="D27" s="107"/>
      <c r="E27" s="107"/>
      <c r="F27" s="107"/>
      <c r="G27" s="107"/>
      <c r="H27" s="107"/>
      <c r="I27" s="107"/>
      <c r="J27" s="107"/>
      <c r="K27" s="107"/>
      <c r="M27" s="232" t="s">
        <v>6656</v>
      </c>
      <c r="N27" s="232">
        <f>COUNTIFS('Medical Sales'!D:D,"2021*",'Medical Sales'!G:G,"&gt;=20000",'Medical Sales'!U:U,"Yes")</f>
        <v>6</v>
      </c>
      <c r="O27" s="296" cm="1">
        <f t="array" ref="O27">IF(N27=0,0,SUMPRODUCT((LEFT('Medical Sales'!D3:D196,4)="2021")*('Medical Sales'!G3:G196&gt;=20000)*('Medical Sales'!U3:U196&lt;&gt;"Yes")*('Medical Sales'!F3:F196))/N27)</f>
        <v>24.138367526482082</v>
      </c>
    </row>
    <row r="28" spans="1:15">
      <c r="A28" s="57" t="s">
        <v>6218</v>
      </c>
      <c r="B28" s="150" cm="1">
        <f t="array" ref="B28">MEDIAN(IF((LEFT('Medical Sales'!D3:D196,4)="2021")*('Medical Sales'!G3:G196&lt;6000)*('Medical Sales'!G3:G196&gt;0)*('Medical Sales'!U3:U196&lt;&gt;"Yes"),'Medical Sales'!E3:E196))</f>
        <v>428300</v>
      </c>
      <c r="C28" s="59"/>
      <c r="D28" s="107" t="s">
        <v>6382</v>
      </c>
      <c r="E28" s="107"/>
      <c r="F28" s="107"/>
      <c r="G28" s="107"/>
      <c r="H28" s="107"/>
      <c r="I28" s="107"/>
      <c r="J28" s="107"/>
      <c r="K28" s="107"/>
    </row>
    <row r="29" spans="1:15">
      <c r="A29" s="57" t="s">
        <v>6259</v>
      </c>
      <c r="B29" s="150">
        <f>IF(B26=0,"-",B27/B26)</f>
        <v>1175000</v>
      </c>
      <c r="C29" s="59"/>
      <c r="D29" s="107" t="s">
        <v>6383</v>
      </c>
      <c r="E29" s="107"/>
      <c r="F29" s="107"/>
      <c r="G29" s="107"/>
      <c r="H29" s="107"/>
      <c r="I29" s="107"/>
      <c r="J29" s="107"/>
      <c r="K29" s="107"/>
    </row>
    <row r="30" spans="1:15">
      <c r="A30" s="57" t="s">
        <v>6220</v>
      </c>
      <c r="B30" s="151" cm="1">
        <f t="array" ref="B30">MEDIAN(IF((LEFT('Medical Sales'!D3:D196,4)="2021")*('Medical Sales'!G3:G196&lt;6000)*('Medical Sales'!G3:G196&gt;0)*('Medical Sales'!U3:U196&lt;&gt;"Yes"),'Medical Sales'!F3:F196))</f>
        <v>96.096028718869192</v>
      </c>
      <c r="C30" s="59"/>
      <c r="D30" s="107" t="s">
        <v>6384</v>
      </c>
      <c r="E30" s="107"/>
      <c r="F30" s="107"/>
      <c r="G30" s="107"/>
      <c r="H30" s="107"/>
      <c r="I30" s="107"/>
      <c r="J30" s="107"/>
      <c r="K30" s="107"/>
    </row>
    <row r="31" spans="1:15">
      <c r="A31" s="57" t="s">
        <v>6260</v>
      </c>
      <c r="B31" s="151" cm="1">
        <f t="array" ref="B31">IF(B26=0,"-",SUMPRODUCT((LEFT('Medical Sales'!D3:D196,4)="2021")*('Medical Sales'!G3:G196&lt;6000)*('Medical Sales'!G3:G196&gt;0)*('Medical Sales'!U3:U196&lt;&gt;"Yes")*('Medical Sales'!F3:F196))/B26)</f>
        <v>276.16643732200509</v>
      </c>
      <c r="C31" s="59"/>
      <c r="D31" s="107" t="s">
        <v>6385</v>
      </c>
      <c r="E31" s="107"/>
      <c r="F31" s="107"/>
      <c r="G31" s="107"/>
      <c r="H31" s="107"/>
      <c r="I31" s="107"/>
      <c r="J31" s="107"/>
      <c r="K31" s="107"/>
    </row>
    <row r="32" spans="1:15">
      <c r="A32" s="57" t="s">
        <v>6261</v>
      </c>
      <c r="B32" s="152" cm="1">
        <f t="array" ref="B32">IF(B26=0,"-",SUMPRODUCT((LEFT('Medical Sales'!D3:D196,4)="2021")*('Medical Sales'!G3:G196&lt;6000)*('Medical Sales'!G3:G196&gt;0)*('Medical Sales'!U3:U196&lt;&gt;"Yes")*('Medical Sales'!G3:G196))/B26)</f>
        <v>4646.666666666667</v>
      </c>
      <c r="C32" s="59"/>
      <c r="D32" s="107" t="s">
        <v>6386</v>
      </c>
      <c r="E32" s="107"/>
      <c r="F32" s="107"/>
      <c r="G32" s="107"/>
      <c r="H32" s="107"/>
      <c r="I32" s="107"/>
      <c r="J32" s="107"/>
      <c r="K32" s="107"/>
    </row>
    <row r="33" spans="1:11">
      <c r="A33" s="57" t="s">
        <v>6262</v>
      </c>
      <c r="B33" s="150" cm="1">
        <f t="array" ref="B33">MIN(IF((LEFT('Medical Sales'!D3:D196,4)="2021")*('Medical Sales'!G3:G196&lt;6000)*('Medical Sales'!G3:G196&gt;0)*('Medical Sales'!U3:U196&lt;&gt;"Yes"),'Medical Sales'!E3:E196))</f>
        <v>243300</v>
      </c>
      <c r="C33" s="59"/>
      <c r="D33" s="107" t="s">
        <v>6387</v>
      </c>
      <c r="E33" s="107"/>
      <c r="F33" s="107"/>
      <c r="G33" s="107"/>
      <c r="H33" s="107"/>
      <c r="I33" s="107"/>
      <c r="J33" s="107"/>
      <c r="K33" s="107"/>
    </row>
    <row r="34" spans="1:11">
      <c r="A34" s="57" t="s">
        <v>6263</v>
      </c>
      <c r="B34" s="153" cm="1">
        <f t="array" ref="B34">MAX(IF((LEFT('Medical Sales'!D3:D196,4)="2021")*('Medical Sales'!G3:G196&lt;6000)*('Medical Sales'!G3:G196&gt;0)*('Medical Sales'!U3:U196&lt;&gt;"Yes"),'Medical Sales'!E3:E196))</f>
        <v>2853400</v>
      </c>
      <c r="C34" s="59"/>
      <c r="D34" s="107"/>
      <c r="E34" s="107"/>
      <c r="F34" s="107"/>
      <c r="G34" s="107"/>
      <c r="H34" s="107"/>
      <c r="I34" s="107"/>
      <c r="J34" s="107"/>
      <c r="K34" s="107"/>
    </row>
    <row r="35" spans="1:11">
      <c r="A35" s="59"/>
      <c r="B35" s="59"/>
      <c r="C35" s="59"/>
      <c r="D35" s="59"/>
      <c r="E35" s="59"/>
      <c r="F35" s="59"/>
      <c r="G35" s="59"/>
      <c r="H35" s="59"/>
      <c r="I35" s="59"/>
      <c r="J35" s="59"/>
      <c r="K35" s="59"/>
    </row>
    <row r="36" spans="1:11">
      <c r="A36" s="86" t="s">
        <v>6264</v>
      </c>
      <c r="B36" s="59"/>
      <c r="C36" s="59"/>
      <c r="D36" s="59"/>
      <c r="E36" s="59"/>
      <c r="F36" s="59"/>
      <c r="G36" s="59"/>
      <c r="H36" s="59"/>
      <c r="I36" s="59"/>
      <c r="J36" s="59"/>
      <c r="K36" s="59"/>
    </row>
    <row r="37" spans="1:11">
      <c r="A37" s="273" t="s">
        <v>2</v>
      </c>
      <c r="B37" s="272" t="s">
        <v>6215</v>
      </c>
      <c r="C37" s="272" t="s">
        <v>6218</v>
      </c>
      <c r="D37" s="272" t="s">
        <v>6220</v>
      </c>
      <c r="E37" s="272" t="s">
        <v>6221</v>
      </c>
      <c r="F37" s="272" t="s">
        <v>6230</v>
      </c>
      <c r="G37" s="277" t="s">
        <v>6231</v>
      </c>
      <c r="H37" s="59"/>
      <c r="I37" s="59"/>
      <c r="J37" s="59"/>
      <c r="K37" s="59"/>
    </row>
    <row r="38" spans="1:11">
      <c r="A38" s="278" t="s">
        <v>33</v>
      </c>
      <c r="B38" s="274" cm="1">
        <f t="array" ref="B38">SUMPRODUCT(('Medical Sales'!C3:C196="Orange")*(LEFT('Medical Sales'!D3:D196,4)="2021")*('Medical Sales'!G3:G196&lt;6000)*('Medical Sales'!G3:G196&gt;0)*('Medical Sales'!U3:U196&lt;&gt;"Yes"))</f>
        <v>2</v>
      </c>
      <c r="C38" s="124" cm="1">
        <f t="array" ref="C38">IFERROR(MEDIAN(IF(('Medical Sales'!C3:C196="Orange")*(LEFT('Medical Sales'!D3:D196,4)="2021")*('Medical Sales'!G3:G196&lt;6000)*('Medical Sales'!G3:G196&gt;0)*('Medical Sales'!U3:U196&lt;&gt;"Yes"),'Medical Sales'!E3:E196)),"-")</f>
        <v>335800</v>
      </c>
      <c r="D38" s="276" cm="1">
        <f t="array" ref="D38">IFERROR(MEDIAN(IF(('Medical Sales'!C3:C196="Orange")*(LEFT('Medical Sales'!D3:D196,4)="2021")*('Medical Sales'!G3:G196&lt;6000)*('Medical Sales'!G3:G196&gt;0)*('Medical Sales'!U3:U196&lt;&gt;"Yes"),'Medical Sales'!F3:F196)),"-")</f>
        <v>70.880221566641808</v>
      </c>
      <c r="E38" s="274" cm="1">
        <f t="array" ref="E38">IF(B38=0,"-",SUMPRODUCT(('Medical Sales'!C3:C196="Orange")*(LEFT('Medical Sales'!D3:D196,4)="2021")*('Medical Sales'!G3:G196&lt;6000)*('Medical Sales'!G3:G196&gt;0)*('Medical Sales'!U3:U196&lt;&gt;"Yes")*('Medical Sales'!G3:G196))/B38)</f>
        <v>4892.5</v>
      </c>
      <c r="F38" s="124" cm="1">
        <f t="array" ref="F38">IFERROR(MIN(IF(('Medical Sales'!C3:C196="Orange")*(LEFT('Medical Sales'!D3:D196,4)="2021")*('Medical Sales'!G3:G196&lt;6000)*('Medical Sales'!G3:G196&gt;0)*('Medical Sales'!U3:U196&lt;&gt;"Yes"),'Medical Sales'!E3:E196)),"-")</f>
        <v>243300</v>
      </c>
      <c r="G38" s="279" cm="1">
        <f t="array" ref="G38">IFERROR(MAX(IF(('Medical Sales'!C3:C196="Orange")*(LEFT('Medical Sales'!D3:D196,4)="2021")*('Medical Sales'!G3:G196&lt;6000)*('Medical Sales'!G3:G196&gt;0)*('Medical Sales'!U3:U196&lt;&gt;"Yes"),'Medical Sales'!E3:E196)),"-")</f>
        <v>428300</v>
      </c>
      <c r="H38" s="59"/>
      <c r="I38" s="59"/>
      <c r="J38" s="59"/>
      <c r="K38" s="59"/>
    </row>
    <row r="39" spans="1:11">
      <c r="A39" s="278" t="s">
        <v>20</v>
      </c>
      <c r="B39" s="274" cm="1">
        <f t="array" ref="B39">SUMPRODUCT(('Medical Sales'!C3:C196="Seminole")*(LEFT('Medical Sales'!D3:D196,4)="2021")*('Medical Sales'!G3:G196&lt;6000)*('Medical Sales'!G3:G196&gt;0)*('Medical Sales'!U3:U196&lt;&gt;"Yes"))</f>
        <v>1</v>
      </c>
      <c r="C39" s="124" cm="1">
        <f t="array" ref="C39">IFERROR(MEDIAN(IF(('Medical Sales'!C3:C196="Seminole")*(LEFT('Medical Sales'!D3:D196,4)="2021")*('Medical Sales'!G3:G196&lt;6000)*('Medical Sales'!G3:G196&gt;0)*('Medical Sales'!U3:U196&lt;&gt;"Yes"),'Medical Sales'!E3:E196)),"-")</f>
        <v>2853400</v>
      </c>
      <c r="D39" s="276" cm="1">
        <f t="array" ref="D39">IFERROR(MEDIAN(IF(('Medical Sales'!C3:C196="Seminole")*(LEFT('Medical Sales'!D3:D196,4)="2021")*('Medical Sales'!G3:G196&lt;6000)*('Medical Sales'!G3:G196&gt;0)*('Medical Sales'!U3:U196&lt;&gt;"Yes"),'Medical Sales'!F3:F196)),"-")</f>
        <v>686.73886883273167</v>
      </c>
      <c r="E39" s="274" cm="1">
        <f t="array" ref="E39">IF(B39=0,"-",SUMPRODUCT(('Medical Sales'!C3:C196="Seminole")*(LEFT('Medical Sales'!D3:D196,4)="2021")*('Medical Sales'!G3:G196&lt;6000)*('Medical Sales'!G3:G196&gt;0)*('Medical Sales'!U3:U196&lt;&gt;"Yes")*('Medical Sales'!G3:G196))/B39)</f>
        <v>4155</v>
      </c>
      <c r="F39" s="124" cm="1">
        <f t="array" ref="F39">IFERROR(MIN(IF(('Medical Sales'!C3:C196="Seminole")*(LEFT('Medical Sales'!D3:D196,4)="2021")*('Medical Sales'!G3:G196&lt;6000)*('Medical Sales'!G3:G196&gt;0)*('Medical Sales'!U3:U196&lt;&gt;"Yes"),'Medical Sales'!E3:E196)),"-")</f>
        <v>2853400</v>
      </c>
      <c r="G39" s="279" cm="1">
        <f t="array" ref="G39">IFERROR(MAX(IF(('Medical Sales'!C3:C196="Seminole")*(LEFT('Medical Sales'!D3:D196,4)="2021")*('Medical Sales'!G3:G196&lt;6000)*('Medical Sales'!G3:G196&gt;0)*('Medical Sales'!U3:U196&lt;&gt;"Yes"),'Medical Sales'!E3:E196)),"-")</f>
        <v>2853400</v>
      </c>
      <c r="H39" s="59"/>
      <c r="I39" s="59"/>
      <c r="J39" s="59"/>
      <c r="K39" s="59"/>
    </row>
    <row r="40" spans="1:11">
      <c r="A40" s="278" t="s">
        <v>678</v>
      </c>
      <c r="B40" s="274" cm="1">
        <f t="array" ref="B40">SUMPRODUCT(('Medical Sales'!C3:C196="Osceola")*(LEFT('Medical Sales'!D3:D196,4)="2021")*('Medical Sales'!G3:G196&lt;6000)*('Medical Sales'!G3:G196&gt;0)*('Medical Sales'!U3:U196&lt;&gt;"Yes"))</f>
        <v>0</v>
      </c>
      <c r="C40" s="124" t="str" cm="1">
        <f t="array" ref="C40">IFERROR(MEDIAN(IF(('Medical Sales'!C3:C196="Osceola")*(LEFT('Medical Sales'!D3:D196,4)="2021")*('Medical Sales'!G3:G196&lt;6000)*('Medical Sales'!G3:G196&gt;0)*('Medical Sales'!U3:U196&lt;&gt;"Yes"),'Medical Sales'!E3:E196)),"-")</f>
        <v>-</v>
      </c>
      <c r="D40" s="276" t="str" cm="1">
        <f t="array" ref="D40">IFERROR(MEDIAN(IF(('Medical Sales'!C3:C196="Osceola")*(LEFT('Medical Sales'!D3:D196,4)="2021")*('Medical Sales'!G3:G196&lt;6000)*('Medical Sales'!G3:G196&gt;0)*('Medical Sales'!U3:U196&lt;&gt;"Yes"),'Medical Sales'!F3:F196)),"-")</f>
        <v>-</v>
      </c>
      <c r="E40" s="274" t="str" cm="1">
        <f t="array" ref="E40">IF(B40=0,"-",SUMPRODUCT(('Medical Sales'!C3:C196="Osceola")*(LEFT('Medical Sales'!D3:D196,4)="2021")*('Medical Sales'!G3:G196&lt;6000)*('Medical Sales'!G3:G196&gt;0)*('Medical Sales'!U3:U196&lt;&gt;"Yes")*('Medical Sales'!G3:G196))/B40)</f>
        <v>-</v>
      </c>
      <c r="F40" s="124" cm="1">
        <f t="array" ref="F40">IFERROR(MIN(IF(('Medical Sales'!C3:C196="Osceola")*(LEFT('Medical Sales'!D3:D196,4)="2021")*('Medical Sales'!G3:G196&lt;6000)*('Medical Sales'!G3:G196&gt;0)*('Medical Sales'!U3:U196&lt;&gt;"Yes"),'Medical Sales'!E3:E196)),"-")</f>
        <v>0</v>
      </c>
      <c r="G40" s="279" cm="1">
        <f t="array" ref="G40">IFERROR(MAX(IF(('Medical Sales'!C3:C196="Osceola")*(LEFT('Medical Sales'!D3:D196,4)="2021")*('Medical Sales'!G3:G196&lt;6000)*('Medical Sales'!G3:G196&gt;0)*('Medical Sales'!U3:U196&lt;&gt;"Yes"),'Medical Sales'!E3:E196)),"-")</f>
        <v>0</v>
      </c>
      <c r="H40" s="59"/>
      <c r="I40" s="59"/>
      <c r="J40" s="59"/>
      <c r="K40" s="59"/>
    </row>
    <row r="41" spans="1:11">
      <c r="A41" s="281" t="s">
        <v>184</v>
      </c>
      <c r="B41" s="282" cm="1">
        <f t="array" ref="B41">SUMPRODUCT(('Medical Sales'!C3:C196="Lake")*(LEFT('Medical Sales'!D3:D196,4)="2021")*('Medical Sales'!G3:G196&lt;6000)*('Medical Sales'!G3:G196&gt;0)*('Medical Sales'!U3:U196&lt;&gt;"Yes"))</f>
        <v>0</v>
      </c>
      <c r="C41" s="283" t="str" cm="1">
        <f t="array" ref="C41">IFERROR(MEDIAN(IF(('Medical Sales'!C3:C196="Lake")*(LEFT('Medical Sales'!D3:D196,4)="2021")*('Medical Sales'!G3:G196&lt;6000)*('Medical Sales'!G3:G196&gt;0)*('Medical Sales'!U3:U196&lt;&gt;"Yes"),'Medical Sales'!E3:E196)),"-")</f>
        <v>-</v>
      </c>
      <c r="D41" s="284" t="str" cm="1">
        <f t="array" ref="D41">IFERROR(MEDIAN(IF(('Medical Sales'!C3:C196="Lake")*(LEFT('Medical Sales'!D3:D196,4)="2021")*('Medical Sales'!G3:G196&lt;6000)*('Medical Sales'!G3:G196&gt;0)*('Medical Sales'!U3:U196&lt;&gt;"Yes"),'Medical Sales'!F3:F196)),"-")</f>
        <v>-</v>
      </c>
      <c r="E41" s="282" t="str" cm="1">
        <f t="array" ref="E41">IF(B41=0,"-",SUMPRODUCT(('Medical Sales'!C3:C196="Lake")*(LEFT('Medical Sales'!D3:D196,4)="2021")*('Medical Sales'!G3:G196&lt;6000)*('Medical Sales'!G3:G196&gt;0)*('Medical Sales'!U3:U196&lt;&gt;"Yes")*('Medical Sales'!G3:G196))/B41)</f>
        <v>-</v>
      </c>
      <c r="F41" s="283" cm="1">
        <f t="array" ref="F41">IFERROR(MIN(IF(('Medical Sales'!C3:C196="Lake")*(LEFT('Medical Sales'!D3:D196,4)="2021")*('Medical Sales'!G3:G196&lt;6000)*('Medical Sales'!G3:G196&gt;0)*('Medical Sales'!U3:U196&lt;&gt;"Yes"),'Medical Sales'!E3:E196)),"-")</f>
        <v>0</v>
      </c>
      <c r="G41" s="285" cm="1">
        <f t="array" ref="G41">IFERROR(MAX(IF(('Medical Sales'!C3:C196="Lake")*(LEFT('Medical Sales'!D3:D196,4)="2021")*('Medical Sales'!G3:G196&lt;6000)*('Medical Sales'!G3:G196&gt;0)*('Medical Sales'!U3:U196&lt;&gt;"Yes"),'Medical Sales'!E3:E196)),"-")</f>
        <v>0</v>
      </c>
      <c r="H41" s="59"/>
      <c r="I41" s="59"/>
      <c r="J41" s="59"/>
      <c r="K41" s="59"/>
    </row>
    <row r="42" spans="1:11">
      <c r="A42" s="59"/>
      <c r="B42" s="59"/>
      <c r="C42" s="59"/>
      <c r="D42" s="59"/>
      <c r="E42" s="59"/>
      <c r="F42" s="59"/>
      <c r="G42" s="59"/>
      <c r="H42" s="59"/>
      <c r="I42" s="59"/>
      <c r="J42" s="59"/>
      <c r="K42" s="59"/>
    </row>
    <row r="43" spans="1:11" ht="19">
      <c r="A43" s="181" t="s">
        <v>6290</v>
      </c>
      <c r="B43" s="181"/>
      <c r="C43" s="181"/>
      <c r="D43" s="181"/>
      <c r="E43" s="181"/>
      <c r="F43" s="181"/>
      <c r="G43" s="181"/>
      <c r="H43" s="181"/>
      <c r="I43" s="181"/>
      <c r="J43" s="181"/>
      <c r="K43" s="181"/>
    </row>
    <row r="44" spans="1:11">
      <c r="A44" s="183" t="s">
        <v>6291</v>
      </c>
      <c r="B44" s="59"/>
      <c r="C44" s="59"/>
      <c r="D44" s="184" t="s">
        <v>6294</v>
      </c>
      <c r="E44" s="184"/>
      <c r="F44" s="184"/>
      <c r="G44" s="184"/>
      <c r="H44" s="184"/>
      <c r="I44" s="184"/>
      <c r="J44" s="184"/>
      <c r="K44" s="184"/>
    </row>
    <row r="45" spans="1:11">
      <c r="A45" s="57" t="s">
        <v>6352</v>
      </c>
      <c r="B45" s="149" cm="1">
        <f t="array" ref="B45">SUMPRODUCT((LEFT('Medical Sales'!D3:D196,4)="2021")*('Medical Sales'!G3:G196&gt;=6000)*('Medical Sales'!G3:G196&lt;10000)*('Medical Sales'!U3:U196&lt;&gt;"Yes"))</f>
        <v>1</v>
      </c>
      <c r="C45" s="59"/>
      <c r="D45" s="286" t="s">
        <v>6351</v>
      </c>
      <c r="E45" s="286"/>
      <c r="F45" s="286"/>
      <c r="G45" s="286"/>
      <c r="H45" s="286"/>
      <c r="I45" s="286"/>
      <c r="J45" s="286"/>
      <c r="K45" s="286"/>
    </row>
    <row r="46" spans="1:11">
      <c r="A46" s="57" t="s">
        <v>6216</v>
      </c>
      <c r="B46" s="150" cm="1">
        <f t="array" ref="B46">SUMPRODUCT((LEFT('Medical Sales'!D3:D196,4)="2021")*('Medical Sales'!G3:G196&gt;=6000)*('Medical Sales'!G3:G196&lt;10000)*('Medical Sales'!U3:U196&lt;&gt;"Yes")*('Medical Sales'!E3:E196))</f>
        <v>545000</v>
      </c>
      <c r="C46" s="59"/>
      <c r="D46" s="286"/>
      <c r="E46" s="286"/>
      <c r="F46" s="286"/>
      <c r="G46" s="286"/>
      <c r="H46" s="286"/>
      <c r="I46" s="286"/>
      <c r="J46" s="286"/>
      <c r="K46" s="286"/>
    </row>
    <row r="47" spans="1:11">
      <c r="A47" s="57" t="s">
        <v>6218</v>
      </c>
      <c r="B47" s="150" cm="1">
        <f t="array" ref="B47">MEDIAN(IF((LEFT('Medical Sales'!D3:D196,4)="2021")*('Medical Sales'!G3:G196&gt;=6000)*('Medical Sales'!G3:G196&lt;10000)*('Medical Sales'!U3:U196&lt;&gt;"Yes"),'Medical Sales'!E3:E196))</f>
        <v>545000</v>
      </c>
      <c r="C47" s="59"/>
      <c r="D47" s="286" t="s">
        <v>6388</v>
      </c>
      <c r="E47" s="286"/>
      <c r="F47" s="286"/>
      <c r="G47" s="286"/>
      <c r="H47" s="286"/>
      <c r="I47" s="286"/>
      <c r="J47" s="286"/>
      <c r="K47" s="286"/>
    </row>
    <row r="48" spans="1:11">
      <c r="A48" s="57" t="s">
        <v>6259</v>
      </c>
      <c r="B48" s="150">
        <f>IF(B45=0,"-",B46/B45)</f>
        <v>545000</v>
      </c>
      <c r="C48" s="59"/>
      <c r="D48" s="286" t="s">
        <v>6389</v>
      </c>
      <c r="E48" s="286"/>
      <c r="F48" s="286"/>
      <c r="G48" s="286"/>
      <c r="H48" s="286"/>
      <c r="I48" s="286"/>
      <c r="J48" s="286"/>
      <c r="K48" s="286"/>
    </row>
    <row r="49" spans="1:11">
      <c r="A49" s="57" t="s">
        <v>6220</v>
      </c>
      <c r="B49" s="151" cm="1">
        <f t="array" ref="B49">MEDIAN(IF((LEFT('Medical Sales'!D3:D196,4)="2021")*('Medical Sales'!G3:G196&gt;=6000)*('Medical Sales'!G3:G196&lt;10000)*('Medical Sales'!U3:U196&lt;&gt;"Yes"),'Medical Sales'!F3:F196))</f>
        <v>72.860962566844918</v>
      </c>
      <c r="C49" s="59"/>
      <c r="D49" s="286" t="s">
        <v>6390</v>
      </c>
      <c r="E49" s="286"/>
      <c r="F49" s="286"/>
      <c r="G49" s="286"/>
      <c r="H49" s="286"/>
      <c r="I49" s="286"/>
      <c r="J49" s="286"/>
      <c r="K49" s="286"/>
    </row>
    <row r="50" spans="1:11">
      <c r="A50" s="57" t="s">
        <v>6260</v>
      </c>
      <c r="B50" s="151" cm="1">
        <f t="array" ref="B50">IF(B45=0,"-",SUMPRODUCT((LEFT('Medical Sales'!D3:D196,4)="2021")*('Medical Sales'!G3:G196&gt;=6000)*('Medical Sales'!G3:G196&lt;10000)*('Medical Sales'!U3:U196&lt;&gt;"Yes")*('Medical Sales'!F3:F196))/B45)</f>
        <v>72.860962566844918</v>
      </c>
      <c r="C50" s="59"/>
      <c r="D50" s="286" t="s">
        <v>6391</v>
      </c>
      <c r="E50" s="286"/>
      <c r="F50" s="286"/>
      <c r="G50" s="286"/>
      <c r="H50" s="286"/>
      <c r="I50" s="286"/>
      <c r="J50" s="286"/>
      <c r="K50" s="286"/>
    </row>
    <row r="51" spans="1:11">
      <c r="A51" s="57" t="s">
        <v>6261</v>
      </c>
      <c r="B51" s="152" cm="1">
        <f t="array" ref="B51">IF(B45=0,"-",SUMPRODUCT((LEFT('Medical Sales'!D3:D196,4)="2021")*('Medical Sales'!G3:G196&gt;=6000)*('Medical Sales'!G3:G196&lt;10000)*('Medical Sales'!U3:U196&lt;&gt;"Yes")*('Medical Sales'!G3:G196))/B45)</f>
        <v>7480</v>
      </c>
      <c r="C51" s="59"/>
      <c r="D51" s="286" t="s">
        <v>6392</v>
      </c>
      <c r="E51" s="286"/>
      <c r="F51" s="286"/>
      <c r="G51" s="286"/>
      <c r="H51" s="286"/>
      <c r="I51" s="286"/>
      <c r="J51" s="286"/>
      <c r="K51" s="286"/>
    </row>
    <row r="52" spans="1:11">
      <c r="A52" s="57" t="s">
        <v>6262</v>
      </c>
      <c r="B52" s="150" cm="1">
        <f t="array" ref="B52">MIN(IF((LEFT('Medical Sales'!D3:D196,4)="2021")*('Medical Sales'!G3:G196&gt;=6000)*('Medical Sales'!G3:G196&lt;10000)*('Medical Sales'!U3:U196&lt;&gt;"Yes"),'Medical Sales'!E3:E196))</f>
        <v>545000</v>
      </c>
      <c r="C52" s="59"/>
      <c r="D52" s="286" t="s">
        <v>6393</v>
      </c>
      <c r="E52" s="286"/>
      <c r="F52" s="286"/>
      <c r="G52" s="286"/>
      <c r="H52" s="286"/>
      <c r="I52" s="286"/>
      <c r="J52" s="286"/>
      <c r="K52" s="286"/>
    </row>
    <row r="53" spans="1:11">
      <c r="A53" s="57" t="s">
        <v>6263</v>
      </c>
      <c r="B53" s="153" cm="1">
        <f t="array" ref="B53">MAX(IF((LEFT('Medical Sales'!D3:D196,4)="2021")*('Medical Sales'!G3:G196&gt;=6000)*('Medical Sales'!G3:G196&lt;10000)*('Medical Sales'!U3:U196&lt;&gt;"Yes"),'Medical Sales'!E3:E196))</f>
        <v>545000</v>
      </c>
      <c r="C53" s="59"/>
      <c r="D53" s="286"/>
      <c r="E53" s="286"/>
      <c r="F53" s="286"/>
      <c r="G53" s="286"/>
      <c r="H53" s="286"/>
      <c r="I53" s="286"/>
      <c r="J53" s="286"/>
      <c r="K53" s="286"/>
    </row>
    <row r="54" spans="1:11">
      <c r="A54" s="59"/>
      <c r="B54" s="59"/>
      <c r="C54" s="59"/>
      <c r="D54" s="59"/>
      <c r="E54" s="59"/>
      <c r="F54" s="59"/>
      <c r="G54" s="59"/>
      <c r="H54" s="59"/>
      <c r="I54" s="59"/>
      <c r="J54" s="59"/>
      <c r="K54" s="59"/>
    </row>
    <row r="55" spans="1:11">
      <c r="A55" s="183" t="s">
        <v>6293</v>
      </c>
      <c r="B55" s="59"/>
      <c r="C55" s="59"/>
      <c r="D55" s="59"/>
      <c r="E55" s="59"/>
      <c r="F55" s="59"/>
      <c r="G55" s="59"/>
      <c r="H55" s="59"/>
      <c r="I55" s="59"/>
      <c r="J55" s="59"/>
      <c r="K55" s="59"/>
    </row>
    <row r="56" spans="1:11">
      <c r="A56" s="288" t="s">
        <v>2</v>
      </c>
      <c r="B56" s="287" t="s">
        <v>6215</v>
      </c>
      <c r="C56" s="287" t="s">
        <v>6218</v>
      </c>
      <c r="D56" s="287" t="s">
        <v>6220</v>
      </c>
      <c r="E56" s="287" t="s">
        <v>6221</v>
      </c>
      <c r="F56" s="287" t="s">
        <v>6230</v>
      </c>
      <c r="G56" s="289" t="s">
        <v>6231</v>
      </c>
      <c r="H56" s="59"/>
      <c r="I56" s="59"/>
      <c r="J56" s="59"/>
      <c r="K56" s="59"/>
    </row>
    <row r="57" spans="1:11">
      <c r="A57" s="278" t="s">
        <v>33</v>
      </c>
      <c r="B57" s="274" cm="1">
        <f t="array" ref="B57">SUMPRODUCT(('Medical Sales'!C3:C196="Orange")*(LEFT('Medical Sales'!D3:D196,4)="2021")*('Medical Sales'!G3:G196&gt;=6000)*('Medical Sales'!G3:G196&lt;10000)*('Medical Sales'!U3:U196&lt;&gt;"Yes"))</f>
        <v>0</v>
      </c>
      <c r="C57" s="124" t="str" cm="1">
        <f t="array" ref="C57">IFERROR(MEDIAN(IF(('Medical Sales'!C3:C196="Orange")*(LEFT('Medical Sales'!D3:D196,4)="2021")*('Medical Sales'!G3:G196&gt;=6000)*('Medical Sales'!G3:G196&lt;10000)*('Medical Sales'!U3:U196&lt;&gt;"Yes"),'Medical Sales'!E3:E196)),"-")</f>
        <v>-</v>
      </c>
      <c r="D57" s="276" t="str" cm="1">
        <f t="array" ref="D57">IFERROR(MEDIAN(IF(('Medical Sales'!C3:C196="Orange")*(LEFT('Medical Sales'!D3:D196,4)="2021")*('Medical Sales'!G3:G196&gt;=6000)*('Medical Sales'!G3:G196&lt;10000)*('Medical Sales'!U3:U196&lt;&gt;"Yes"),'Medical Sales'!F3:F196)),"-")</f>
        <v>-</v>
      </c>
      <c r="E57" s="274" t="str" cm="1">
        <f t="array" ref="E57">IF(B57=0,"-",SUMPRODUCT(('Medical Sales'!C3:C196="Orange")*(LEFT('Medical Sales'!D3:D196,4)="2021")*('Medical Sales'!G3:G196&gt;=6000)*('Medical Sales'!G3:G196&lt;10000)*('Medical Sales'!U3:U196&lt;&gt;"Yes")*('Medical Sales'!G3:G196))/B57)</f>
        <v>-</v>
      </c>
      <c r="F57" s="124" t="str" cm="1">
        <f t="array" ref="F57">IF(B57=0,"-",MIN(IF(('Medical Sales'!C3:C196="Orange")*(LEFT('Medical Sales'!D3:D196,4)="2021")*('Medical Sales'!G3:G196&gt;=6000)*('Medical Sales'!G3:G196&lt;10000)*('Medical Sales'!U3:U196&lt;&gt;"Yes"),'Medical Sales'!E3:E196)))</f>
        <v>-</v>
      </c>
      <c r="G57" s="279" t="str" cm="1">
        <f t="array" ref="G57">IF(B57=0,"-",MAX(IF(('Medical Sales'!C3:C196="Orange")*(LEFT('Medical Sales'!D3:D196,4)="2021")*('Medical Sales'!G3:G196&gt;=6000)*('Medical Sales'!G3:G196&lt;10000)*('Medical Sales'!U3:U196&lt;&gt;"Yes"),'Medical Sales'!E3:E196)))</f>
        <v>-</v>
      </c>
      <c r="H57" s="59"/>
      <c r="I57" s="59"/>
      <c r="J57" s="59"/>
      <c r="K57" s="59"/>
    </row>
    <row r="58" spans="1:11">
      <c r="A58" s="278" t="s">
        <v>20</v>
      </c>
      <c r="B58" s="274" cm="1">
        <f t="array" ref="B58">SUMPRODUCT(('Medical Sales'!C3:C196="Seminole")*(LEFT('Medical Sales'!D3:D196,4)="2021")*('Medical Sales'!G3:G196&gt;=6000)*('Medical Sales'!G3:G196&lt;10000)*('Medical Sales'!U3:U196&lt;&gt;"Yes"))</f>
        <v>0</v>
      </c>
      <c r="C58" s="124" t="str" cm="1">
        <f t="array" ref="C58">IFERROR(MEDIAN(IF(('Medical Sales'!C3:C196="Seminole")*(LEFT('Medical Sales'!D3:D196,4)="2021")*('Medical Sales'!G3:G196&gt;=6000)*('Medical Sales'!G3:G196&lt;10000)*('Medical Sales'!U3:U196&lt;&gt;"Yes"),'Medical Sales'!E3:E196)),"-")</f>
        <v>-</v>
      </c>
      <c r="D58" s="276" t="str" cm="1">
        <f t="array" ref="D58">IFERROR(MEDIAN(IF(('Medical Sales'!C3:C196="Seminole")*(LEFT('Medical Sales'!D3:D196,4)="2021")*('Medical Sales'!G3:G196&gt;=6000)*('Medical Sales'!G3:G196&lt;10000)*('Medical Sales'!U3:U196&lt;&gt;"Yes"),'Medical Sales'!F3:F196)),"-")</f>
        <v>-</v>
      </c>
      <c r="E58" s="274" t="str" cm="1">
        <f t="array" ref="E58">IF(B58=0,"-",SUMPRODUCT(('Medical Sales'!C3:C196="Seminole")*(LEFT('Medical Sales'!D3:D196,4)="2021")*('Medical Sales'!G3:G196&gt;=6000)*('Medical Sales'!G3:G196&lt;10000)*('Medical Sales'!U3:U196&lt;&gt;"Yes")*('Medical Sales'!G3:G196))/B58)</f>
        <v>-</v>
      </c>
      <c r="F58" s="124" t="str" cm="1">
        <f t="array" ref="F58">IF(B58=0,"-",MIN(IF(('Medical Sales'!C3:C196="Seminole")*(LEFT('Medical Sales'!D3:D196,4)="2021")*('Medical Sales'!G3:G196&gt;=6000)*('Medical Sales'!G3:G196&lt;10000)*('Medical Sales'!U3:U196&lt;&gt;"Yes"),'Medical Sales'!E3:E196)))</f>
        <v>-</v>
      </c>
      <c r="G58" s="279" t="str" cm="1">
        <f t="array" ref="G58">IF(B58=0,"-",MAX(IF(('Medical Sales'!C3:C196="Seminole")*(LEFT('Medical Sales'!D3:D196,4)="2021")*('Medical Sales'!G3:G196&gt;=6000)*('Medical Sales'!G3:G196&lt;10000)*('Medical Sales'!U3:U196&lt;&gt;"Yes"),'Medical Sales'!E3:E196)))</f>
        <v>-</v>
      </c>
      <c r="H58" s="59"/>
      <c r="I58" s="59"/>
      <c r="J58" s="59"/>
      <c r="K58" s="59"/>
    </row>
    <row r="59" spans="1:11">
      <c r="A59" s="278" t="s">
        <v>678</v>
      </c>
      <c r="B59" s="274" cm="1">
        <f t="array" ref="B59">SUMPRODUCT(('Medical Sales'!C3:C196="Osceola")*(LEFT('Medical Sales'!D3:D196,4)="2021")*('Medical Sales'!G3:G196&gt;=6000)*('Medical Sales'!G3:G196&lt;10000)*('Medical Sales'!U3:U196&lt;&gt;"Yes"))</f>
        <v>0</v>
      </c>
      <c r="C59" s="124" t="str" cm="1">
        <f t="array" ref="C59">IFERROR(MEDIAN(IF(('Medical Sales'!C3:C196="Osceola")*(LEFT('Medical Sales'!D3:D196,4)="2021")*('Medical Sales'!G3:G196&gt;=6000)*('Medical Sales'!G3:G196&lt;10000)*('Medical Sales'!U3:U196&lt;&gt;"Yes"),'Medical Sales'!E3:E196)),"-")</f>
        <v>-</v>
      </c>
      <c r="D59" s="276" t="str" cm="1">
        <f t="array" ref="D59">IFERROR(MEDIAN(IF(('Medical Sales'!C3:C196="Osceola")*(LEFT('Medical Sales'!D3:D196,4)="2021")*('Medical Sales'!G3:G196&gt;=6000)*('Medical Sales'!G3:G196&lt;10000)*('Medical Sales'!U3:U196&lt;&gt;"Yes"),'Medical Sales'!F3:F196)),"-")</f>
        <v>-</v>
      </c>
      <c r="E59" s="274" t="str" cm="1">
        <f t="array" ref="E59">IF(B59=0,"-",SUMPRODUCT(('Medical Sales'!C3:C196="Osceola")*(LEFT('Medical Sales'!D3:D196,4)="2021")*('Medical Sales'!G3:G196&gt;=6000)*('Medical Sales'!G3:G196&lt;10000)*('Medical Sales'!U3:U196&lt;&gt;"Yes")*('Medical Sales'!G3:G196))/B59)</f>
        <v>-</v>
      </c>
      <c r="F59" s="124" t="str" cm="1">
        <f t="array" ref="F59">IF(B59=0,"-",MIN(IF(('Medical Sales'!C3:C196="Osceola")*(LEFT('Medical Sales'!D3:D196,4)="2021")*('Medical Sales'!G3:G196&gt;=6000)*('Medical Sales'!G3:G196&lt;10000)*('Medical Sales'!U3:U196&lt;&gt;"Yes"),'Medical Sales'!E3:E196)))</f>
        <v>-</v>
      </c>
      <c r="G59" s="279" t="str" cm="1">
        <f t="array" ref="G59">IF(B59=0,"-",MAX(IF(('Medical Sales'!C3:C196="Osceola")*(LEFT('Medical Sales'!D3:D196,4)="2021")*('Medical Sales'!G3:G196&gt;=6000)*('Medical Sales'!G3:G196&lt;10000)*('Medical Sales'!U3:U196&lt;&gt;"Yes"),'Medical Sales'!E3:E196)))</f>
        <v>-</v>
      </c>
      <c r="H59" s="59"/>
      <c r="I59" s="59"/>
      <c r="J59" s="59"/>
      <c r="K59" s="59"/>
    </row>
    <row r="60" spans="1:11">
      <c r="A60" s="281" t="s">
        <v>184</v>
      </c>
      <c r="B60" s="282" cm="1">
        <f t="array" ref="B60">SUMPRODUCT(('Medical Sales'!C3:C196="Lake")*(LEFT('Medical Sales'!D3:D196,4)="2021")*('Medical Sales'!G3:G196&gt;=6000)*('Medical Sales'!G3:G196&lt;10000)*('Medical Sales'!U3:U196&lt;&gt;"Yes"))</f>
        <v>1</v>
      </c>
      <c r="C60" s="283" cm="1">
        <f t="array" ref="C60">IFERROR(MEDIAN(IF(('Medical Sales'!C3:C196="Lake")*(LEFT('Medical Sales'!D3:D196,4)="2021")*('Medical Sales'!G3:G196&gt;=6000)*('Medical Sales'!G3:G196&lt;10000)*('Medical Sales'!U3:U196&lt;&gt;"Yes"),'Medical Sales'!E3:E196)),"-")</f>
        <v>545000</v>
      </c>
      <c r="D60" s="284" cm="1">
        <f t="array" ref="D60">IFERROR(MEDIAN(IF(('Medical Sales'!C3:C196="Lake")*(LEFT('Medical Sales'!D3:D196,4)="2021")*('Medical Sales'!G3:G196&gt;=6000)*('Medical Sales'!G3:G196&lt;10000)*('Medical Sales'!U3:U196&lt;&gt;"Yes"),'Medical Sales'!F3:F196)),"-")</f>
        <v>72.860962566844918</v>
      </c>
      <c r="E60" s="282" cm="1">
        <f t="array" ref="E60">IF(B60=0,"-",SUMPRODUCT(('Medical Sales'!C3:C196="Lake")*(LEFT('Medical Sales'!D3:D196,4)="2021")*('Medical Sales'!G3:G196&gt;=6000)*('Medical Sales'!G3:G196&lt;10000)*('Medical Sales'!U3:U196&lt;&gt;"Yes")*('Medical Sales'!G3:G196))/B60)</f>
        <v>7480</v>
      </c>
      <c r="F60" s="283" cm="1">
        <f t="array" ref="F60">IF(B60=0,"-",MIN(IF(('Medical Sales'!C3:C196="Lake")*(LEFT('Medical Sales'!D3:D196,4)="2021")*('Medical Sales'!G3:G196&gt;=6000)*('Medical Sales'!G3:G196&lt;10000)*('Medical Sales'!U3:U196&lt;&gt;"Yes"),'Medical Sales'!E3:E196)))</f>
        <v>545000</v>
      </c>
      <c r="G60" s="285" cm="1">
        <f t="array" ref="G60">IF(B60=0,"-",MAX(IF(('Medical Sales'!C3:C196="Lake")*(LEFT('Medical Sales'!D3:D196,4)="2021")*('Medical Sales'!G3:G196&gt;=6000)*('Medical Sales'!G3:G196&lt;10000)*('Medical Sales'!U3:U196&lt;&gt;"Yes"),'Medical Sales'!E3:E196)))</f>
        <v>545000</v>
      </c>
      <c r="H60" s="59"/>
      <c r="I60" s="59"/>
      <c r="J60" s="59"/>
      <c r="K60" s="59"/>
    </row>
    <row r="61" spans="1:11">
      <c r="A61" s="59"/>
      <c r="B61" s="59"/>
      <c r="C61" s="59"/>
      <c r="D61" s="59"/>
      <c r="E61" s="59"/>
      <c r="F61" s="59"/>
      <c r="G61" s="59"/>
      <c r="H61" s="59"/>
      <c r="I61" s="59"/>
      <c r="J61" s="59"/>
      <c r="K61" s="59"/>
    </row>
    <row r="62" spans="1:11" ht="19">
      <c r="A62" s="87" t="s">
        <v>6265</v>
      </c>
      <c r="B62" s="87"/>
      <c r="C62" s="87"/>
      <c r="D62" s="87"/>
      <c r="E62" s="87"/>
      <c r="F62" s="87"/>
      <c r="G62" s="87"/>
      <c r="H62" s="87"/>
      <c r="I62" s="87"/>
      <c r="J62" s="87"/>
      <c r="K62" s="87"/>
    </row>
    <row r="63" spans="1:11">
      <c r="A63" s="89" t="s">
        <v>6266</v>
      </c>
      <c r="B63" s="59"/>
      <c r="C63" s="59"/>
      <c r="D63" s="109" t="s">
        <v>6288</v>
      </c>
      <c r="E63" s="109"/>
      <c r="F63" s="109"/>
      <c r="G63" s="109"/>
      <c r="H63" s="109"/>
      <c r="I63" s="109"/>
      <c r="J63" s="109"/>
      <c r="K63" s="109"/>
    </row>
    <row r="64" spans="1:11">
      <c r="A64" s="57" t="s">
        <v>6354</v>
      </c>
      <c r="B64" s="62" cm="1">
        <f t="array" ref="B64">SUMPRODUCT((LEFT('Medical Sales'!D3:D196,4)="2021")*('Medical Sales'!G3:G196&gt;=10000)*('Medical Sales'!U3:U196&lt;&gt;"Yes"))</f>
        <v>2</v>
      </c>
      <c r="C64" s="59"/>
      <c r="D64" s="110" t="s">
        <v>6353</v>
      </c>
      <c r="E64" s="110"/>
      <c r="F64" s="110"/>
      <c r="G64" s="110"/>
      <c r="H64" s="110"/>
      <c r="I64" s="110"/>
      <c r="J64" s="110"/>
      <c r="K64" s="110"/>
    </row>
    <row r="65" spans="1:11">
      <c r="A65" s="57" t="s">
        <v>6216</v>
      </c>
      <c r="B65" s="63" cm="1">
        <f t="array" ref="B65">SUMPRODUCT((LEFT('Medical Sales'!D3:D196,4)="2021")*('Medical Sales'!G3:G196&gt;=10000)*('Medical Sales'!U3:U196&lt;&gt;"Yes")*('Medical Sales'!E3:E196))</f>
        <v>4900000</v>
      </c>
      <c r="C65" s="59"/>
      <c r="D65" s="110"/>
      <c r="E65" s="110"/>
      <c r="F65" s="110"/>
      <c r="G65" s="110"/>
      <c r="H65" s="110"/>
      <c r="I65" s="110"/>
      <c r="J65" s="110"/>
      <c r="K65" s="110"/>
    </row>
    <row r="66" spans="1:11">
      <c r="A66" s="57" t="s">
        <v>6218</v>
      </c>
      <c r="B66" s="63" cm="1">
        <f t="array" ref="B66">IFERROR(MEDIAN(IF((LEFT('Medical Sales'!D3:D196,4)="2021")*('Medical Sales'!G3:G196&gt;=10000)*('Medical Sales'!U3:U196&lt;&gt;"Yes"),'Medical Sales'!E3:E196)),"-")</f>
        <v>2450000</v>
      </c>
      <c r="C66" s="59"/>
      <c r="D66" s="110" t="s">
        <v>6394</v>
      </c>
      <c r="E66" s="110"/>
      <c r="F66" s="110"/>
      <c r="G66" s="110"/>
      <c r="H66" s="110"/>
      <c r="I66" s="110"/>
      <c r="J66" s="110"/>
      <c r="K66" s="110"/>
    </row>
    <row r="67" spans="1:11">
      <c r="A67" s="57" t="s">
        <v>6259</v>
      </c>
      <c r="B67" s="63">
        <f>IF(B64=0,"-",B65/B64)</f>
        <v>2450000</v>
      </c>
      <c r="C67" s="59"/>
      <c r="D67" s="110" t="s">
        <v>6395</v>
      </c>
      <c r="E67" s="110"/>
      <c r="F67" s="110"/>
      <c r="G67" s="110"/>
      <c r="H67" s="110"/>
      <c r="I67" s="110"/>
      <c r="J67" s="110"/>
      <c r="K67" s="110"/>
    </row>
    <row r="68" spans="1:11">
      <c r="A68" s="57" t="s">
        <v>6220</v>
      </c>
      <c r="B68" s="61" cm="1">
        <f t="array" ref="B68">IFERROR(MEDIAN(IF((LEFT('Medical Sales'!D3:D196,4)="2021")*('Medical Sales'!G3:G196&gt;=10000)*('Medical Sales'!U3:U196&lt;&gt;"Yes"),'Medical Sales'!F3:F196)),"-")</f>
        <v>72.415102579446241</v>
      </c>
      <c r="C68" s="59"/>
      <c r="D68" s="110" t="s">
        <v>6396</v>
      </c>
      <c r="E68" s="110"/>
      <c r="F68" s="110"/>
      <c r="G68" s="110"/>
      <c r="H68" s="110"/>
      <c r="I68" s="110"/>
      <c r="J68" s="110"/>
      <c r="K68" s="110"/>
    </row>
    <row r="69" spans="1:11">
      <c r="A69" s="57" t="s">
        <v>6260</v>
      </c>
      <c r="B69" s="61" cm="1">
        <f t="array" ref="B69">IF(B64=0,"-",SUMPRODUCT((LEFT('Medical Sales'!D3:D196,4)="2021")*('Medical Sales'!G3:G196&gt;=10000)*('Medical Sales'!U3:U196&lt;&gt;"Yes")*('Medical Sales'!F3:F196))/B64)</f>
        <v>72.415102579446241</v>
      </c>
      <c r="C69" s="59"/>
      <c r="D69" s="110" t="s">
        <v>6397</v>
      </c>
      <c r="E69" s="110"/>
      <c r="F69" s="110"/>
      <c r="G69" s="110"/>
      <c r="H69" s="110"/>
      <c r="I69" s="110"/>
      <c r="J69" s="110"/>
      <c r="K69" s="110"/>
    </row>
    <row r="70" spans="1:11">
      <c r="A70" s="57" t="s">
        <v>6261</v>
      </c>
      <c r="B70" s="62" cm="1">
        <f t="array" ref="B70">IF(B64=0,"-",SUMPRODUCT((LEFT('Medical Sales'!D3:D196,4)="2021")*('Medical Sales'!G3:G196&gt;=10000)*('Medical Sales'!U3:U196&lt;&gt;"Yes")*('Medical Sales'!G3:G196))/B64)</f>
        <v>35628</v>
      </c>
      <c r="C70" s="59"/>
      <c r="D70" s="110" t="s">
        <v>6398</v>
      </c>
      <c r="E70" s="110"/>
      <c r="F70" s="110"/>
      <c r="G70" s="110"/>
      <c r="H70" s="110"/>
      <c r="I70" s="110"/>
      <c r="J70" s="110"/>
      <c r="K70" s="110"/>
    </row>
    <row r="71" spans="1:11">
      <c r="A71" s="57" t="s">
        <v>6262</v>
      </c>
      <c r="B71" s="63" cm="1">
        <f t="array" ref="B71">IFERROR(MIN(IF((LEFT('Medical Sales'!D3:D196,4)="2021")*('Medical Sales'!G3:G196&gt;=10000)*('Medical Sales'!U3:U196&lt;&gt;"Yes"),'Medical Sales'!E3:E196)),"-")</f>
        <v>1900000</v>
      </c>
      <c r="C71" s="59"/>
      <c r="D71" s="110" t="s">
        <v>6399</v>
      </c>
      <c r="E71" s="110"/>
      <c r="F71" s="110"/>
      <c r="G71" s="110"/>
      <c r="H71" s="110"/>
      <c r="I71" s="110"/>
      <c r="J71" s="110"/>
      <c r="K71" s="110"/>
    </row>
    <row r="72" spans="1:11">
      <c r="A72" s="57" t="s">
        <v>6263</v>
      </c>
      <c r="B72" s="63" cm="1">
        <f t="array" ref="B72">IFERROR(MAX(IF((LEFT('Medical Sales'!D3:D196,4)="2021")*('Medical Sales'!G3:G196&gt;=10000)*('Medical Sales'!U3:U196&lt;&gt;"Yes"),'Medical Sales'!E3:E196)),"-")</f>
        <v>3000000</v>
      </c>
      <c r="C72" s="59"/>
      <c r="D72" s="110"/>
      <c r="E72" s="110"/>
      <c r="F72" s="110"/>
      <c r="G72" s="110"/>
      <c r="H72" s="110"/>
      <c r="I72" s="110"/>
      <c r="J72" s="110"/>
      <c r="K72" s="110"/>
    </row>
    <row r="73" spans="1:11">
      <c r="A73" s="59"/>
      <c r="B73" s="59"/>
      <c r="C73" s="59"/>
      <c r="D73" s="59"/>
      <c r="E73" s="59"/>
      <c r="F73" s="59"/>
      <c r="G73" s="59"/>
      <c r="H73" s="59"/>
      <c r="I73" s="59"/>
      <c r="J73" s="59"/>
      <c r="K73" s="59"/>
    </row>
    <row r="74" spans="1:11">
      <c r="A74" s="89" t="s">
        <v>6268</v>
      </c>
      <c r="B74" s="59"/>
      <c r="C74" s="59"/>
      <c r="D74" s="59"/>
      <c r="E74" s="59"/>
      <c r="F74" s="59"/>
      <c r="G74" s="59"/>
      <c r="H74" s="59"/>
      <c r="I74" s="59"/>
      <c r="J74" s="59"/>
      <c r="K74" s="59"/>
    </row>
    <row r="75" spans="1:11">
      <c r="A75" s="290" t="s">
        <v>2</v>
      </c>
      <c r="B75" s="290" t="s">
        <v>6215</v>
      </c>
      <c r="C75" s="290" t="s">
        <v>6218</v>
      </c>
      <c r="D75" s="290" t="s">
        <v>6220</v>
      </c>
      <c r="E75" s="290" t="s">
        <v>6221</v>
      </c>
      <c r="F75" s="290" t="s">
        <v>6230</v>
      </c>
      <c r="G75" s="290" t="s">
        <v>6231</v>
      </c>
      <c r="H75" s="59"/>
      <c r="I75" s="59"/>
      <c r="J75" s="59"/>
      <c r="K75" s="59"/>
    </row>
    <row r="76" spans="1:11">
      <c r="A76" s="112" t="s">
        <v>33</v>
      </c>
      <c r="B76" s="121" cm="1">
        <f t="array" ref="B76">SUMPRODUCT(('Medical Sales'!C3:C196="Orange")*(LEFT('Medical Sales'!D3:D196,4)="2021")*('Medical Sales'!G3:G196&gt;=10000)*('Medical Sales'!U3:U196&lt;&gt;"Yes"))</f>
        <v>2</v>
      </c>
      <c r="C76" s="122" cm="1">
        <f t="array" ref="C76">IFERROR(MEDIAN(IF(('Medical Sales'!C3:C196="Orange")*(LEFT('Medical Sales'!D3:D196,4)="2021")*('Medical Sales'!G3:G196&gt;=10000)*('Medical Sales'!U3:U196&lt;&gt;"Yes"),'Medical Sales'!E3:E196)),"-")</f>
        <v>2450000</v>
      </c>
      <c r="D76" s="123" cm="1">
        <f t="array" ref="D76">IFERROR(MEDIAN(IF(('Medical Sales'!C3:C196="Orange")*(LEFT('Medical Sales'!D3:D196,4)="2021")*('Medical Sales'!G3:G196&gt;=10000)*('Medical Sales'!U3:U196&lt;&gt;"Yes"),'Medical Sales'!F3:F196)),"-")</f>
        <v>72.415102579446241</v>
      </c>
      <c r="E76" s="121" cm="1">
        <f t="array" ref="E76">IF(B76=0,"-",SUMPRODUCT(('Medical Sales'!C3:C196="Orange")*(LEFT('Medical Sales'!D3:D196,4)="2021")*('Medical Sales'!G3:G196&gt;=10000)*('Medical Sales'!U3:U196&lt;&gt;"Yes")*('Medical Sales'!G3:G196))/B76)</f>
        <v>35628</v>
      </c>
      <c r="F76" s="122" cm="1">
        <f t="array" ref="F76">IF(B76=0,"-",MIN(IF(('Medical Sales'!C3:C196="Orange")*(LEFT('Medical Sales'!D3:D196,4)="2021")*('Medical Sales'!G3:G196&gt;=10000)*('Medical Sales'!U3:U196&lt;&gt;"Yes"),'Medical Sales'!E3:E196)))</f>
        <v>1900000</v>
      </c>
      <c r="G76" s="122" cm="1">
        <f t="array" ref="G76">IF(B76=0,"-",MAX(IF(('Medical Sales'!C3:C196="Orange")*(LEFT('Medical Sales'!D3:D196,4)="2021")*('Medical Sales'!G3:G196&gt;=10000)*('Medical Sales'!U3:U196&lt;&gt;"Yes"),'Medical Sales'!E3:E196)))</f>
        <v>3000000</v>
      </c>
      <c r="H76" s="59"/>
      <c r="I76" s="59"/>
      <c r="J76" s="59"/>
      <c r="K76" s="59"/>
    </row>
    <row r="77" spans="1:11">
      <c r="A77" s="112" t="s">
        <v>20</v>
      </c>
      <c r="B77" s="121" cm="1">
        <f t="array" ref="B77">SUMPRODUCT(('Medical Sales'!C3:C196="Seminole")*(LEFT('Medical Sales'!D3:D196,4)="2021")*('Medical Sales'!G3:G196&gt;=10000)*('Medical Sales'!U3:U196&lt;&gt;"Yes"))</f>
        <v>0</v>
      </c>
      <c r="C77" s="122" t="str" cm="1">
        <f t="array" ref="C77">IFERROR(MEDIAN(IF(('Medical Sales'!C3:C196="Seminole")*(LEFT('Medical Sales'!D3:D196,4)="2021")*('Medical Sales'!G3:G196&gt;=10000)*('Medical Sales'!U3:U196&lt;&gt;"Yes"),'Medical Sales'!E3:E196)),"-")</f>
        <v>-</v>
      </c>
      <c r="D77" s="123" t="str" cm="1">
        <f t="array" ref="D77">IFERROR(MEDIAN(IF(('Medical Sales'!C3:C196="Seminole")*(LEFT('Medical Sales'!D3:D196,4)="2021")*('Medical Sales'!G3:G196&gt;=10000)*('Medical Sales'!U3:U196&lt;&gt;"Yes"),'Medical Sales'!F3:F196)),"-")</f>
        <v>-</v>
      </c>
      <c r="E77" s="121" t="str" cm="1">
        <f t="array" ref="E77">IF(B77=0,"-",SUMPRODUCT(('Medical Sales'!C3:C196="Seminole")*(LEFT('Medical Sales'!D3:D196,4)="2021")*('Medical Sales'!G3:G196&gt;=10000)*('Medical Sales'!U3:U196&lt;&gt;"Yes")*('Medical Sales'!G3:G196))/B77)</f>
        <v>-</v>
      </c>
      <c r="F77" s="122" t="str" cm="1">
        <f t="array" ref="F77">IF(B77=0,"-",MIN(IF(('Medical Sales'!C3:C196="Seminole")*(LEFT('Medical Sales'!D3:D196,4)="2021")*('Medical Sales'!G3:G196&gt;=10000)*('Medical Sales'!U3:U196&lt;&gt;"Yes"),'Medical Sales'!E3:E196)))</f>
        <v>-</v>
      </c>
      <c r="G77" s="122" t="str" cm="1">
        <f t="array" ref="G77">IF(B77=0,"-",MAX(IF(('Medical Sales'!C3:C196="Seminole")*(LEFT('Medical Sales'!D3:D196,4)="2021")*('Medical Sales'!G3:G196&gt;=10000)*('Medical Sales'!U3:U196&lt;&gt;"Yes"),'Medical Sales'!E3:E196)))</f>
        <v>-</v>
      </c>
      <c r="H77" s="59"/>
      <c r="I77" s="59"/>
      <c r="J77" s="59"/>
      <c r="K77" s="59"/>
    </row>
    <row r="78" spans="1:11">
      <c r="A78" s="112" t="s">
        <v>678</v>
      </c>
      <c r="B78" s="121" cm="1">
        <f t="array" ref="B78">SUMPRODUCT(('Medical Sales'!C3:C196="Osceola")*(LEFT('Medical Sales'!D3:D196,4)="2021")*('Medical Sales'!G3:G196&gt;=10000)*('Medical Sales'!U3:U196&lt;&gt;"Yes"))</f>
        <v>0</v>
      </c>
      <c r="C78" s="122" t="str" cm="1">
        <f t="array" ref="C78">IF(B78=0,"-",MEDIAN(IF(('Medical Sales'!C3:C196="Osceola")*(LEFT('Medical Sales'!D3:D196,4)="2021")*('Medical Sales'!G3:G196&gt;=10000)*('Medical Sales'!U3:U196&lt;&gt;"Yes"),'Medical Sales'!E3:E196)))</f>
        <v>-</v>
      </c>
      <c r="D78" s="123" t="str" cm="1">
        <f t="array" ref="D78">IF(B78=0,"-",MEDIAN(IF(('Medical Sales'!C3:C196="Osceola")*(LEFT('Medical Sales'!D3:D196,4)="2021")*('Medical Sales'!G3:G196&gt;=10000)*('Medical Sales'!U3:U196&lt;&gt;"Yes"),'Medical Sales'!F3:F196)))</f>
        <v>-</v>
      </c>
      <c r="E78" s="121" t="str" cm="1">
        <f t="array" ref="E78">IF(B78=0,"-",SUMPRODUCT(('Medical Sales'!C3:C196="Osceola")*(LEFT('Medical Sales'!D3:D196,4)="2021")*('Medical Sales'!G3:G196&gt;=10000)*('Medical Sales'!U3:U196&lt;&gt;"Yes")*('Medical Sales'!G3:G196))/B78)</f>
        <v>-</v>
      </c>
      <c r="F78" s="122" t="str" cm="1">
        <f t="array" ref="F78">IF(B78=0,"-",MIN(IF(('Medical Sales'!C3:C196="Osceola")*(LEFT('Medical Sales'!D3:D196,4)="2021")*('Medical Sales'!G3:G196&gt;=10000)*('Medical Sales'!U3:U196&lt;&gt;"Yes"),'Medical Sales'!E3:E196)))</f>
        <v>-</v>
      </c>
      <c r="G78" s="122" t="str" cm="1">
        <f t="array" ref="G78">IF(B78=0,"-",MAX(IF(('Medical Sales'!C3:C196="Osceola")*(LEFT('Medical Sales'!D3:D196,4)="2021")*('Medical Sales'!G3:G196&gt;=10000)*('Medical Sales'!U3:U196&lt;&gt;"Yes"),'Medical Sales'!E3:E196)))</f>
        <v>-</v>
      </c>
      <c r="H78" s="59"/>
      <c r="I78" s="59"/>
      <c r="J78" s="59"/>
      <c r="K78" s="59"/>
    </row>
    <row r="79" spans="1:11">
      <c r="A79" s="280" t="s">
        <v>184</v>
      </c>
      <c r="B79" s="291" cm="1">
        <f t="array" ref="B79">SUMPRODUCT(('Medical Sales'!C3:C196="Lake")*(LEFT('Medical Sales'!D3:D196,4)="2021")*('Medical Sales'!G3:G196&gt;=10000)*('Medical Sales'!U3:U196&lt;&gt;"Yes"))</f>
        <v>0</v>
      </c>
      <c r="C79" s="292" t="str" cm="1">
        <f t="array" ref="C79">IFERROR(MEDIAN(IF(('Medical Sales'!C3:C196="Lake")*(LEFT('Medical Sales'!D3:D196,4)="2021")*('Medical Sales'!G3:G196&gt;=10000)*('Medical Sales'!U3:U196&lt;&gt;"Yes"),'Medical Sales'!E3:E196)),"-")</f>
        <v>-</v>
      </c>
      <c r="D79" s="293" t="str" cm="1">
        <f t="array" ref="D79">IFERROR(MEDIAN(IF(('Medical Sales'!C3:C196="Lake")*(LEFT('Medical Sales'!D3:D196,4)="2021")*('Medical Sales'!G3:G196&gt;=10000)*('Medical Sales'!U3:U196&lt;&gt;"Yes"),'Medical Sales'!F3:F196)),"-")</f>
        <v>-</v>
      </c>
      <c r="E79" s="291" t="str" cm="1">
        <f t="array" ref="E79">IF(B79=0,"-",SUMPRODUCT(('Medical Sales'!C3:C196="Lake")*(LEFT('Medical Sales'!D3:D196,4)="2021")*('Medical Sales'!G3:G196&gt;=10000)*('Medical Sales'!U3:U196&lt;&gt;"Yes")*('Medical Sales'!G3:G196))/B79)</f>
        <v>-</v>
      </c>
      <c r="F79" s="292" t="str" cm="1">
        <f t="array" ref="F79">IF(B79=0,"-",MIN(IF(('Medical Sales'!C3:C196="Lake")*(LEFT('Medical Sales'!D3:D196,4)="2021")*('Medical Sales'!G3:G196&gt;=10000)*('Medical Sales'!U3:U196&lt;&gt;"Yes"),'Medical Sales'!E3:E196)))</f>
        <v>-</v>
      </c>
      <c r="G79" s="292" t="str" cm="1">
        <f t="array" ref="G79">IF(B79=0,"-",MAX(IF(('Medical Sales'!C3:C196="Lake")*(LEFT('Medical Sales'!D3:D196,4)="2021")*('Medical Sales'!G3:G196&gt;=10000)*('Medical Sales'!U3:U196&lt;&gt;"Yes"),'Medical Sales'!E3:E196)))</f>
        <v>-</v>
      </c>
      <c r="H79" s="59"/>
      <c r="I79" s="59"/>
      <c r="J79" s="59"/>
      <c r="K79" s="59"/>
    </row>
    <row r="80" spans="1:11">
      <c r="A80" s="59"/>
      <c r="B80" s="59"/>
      <c r="C80" s="59"/>
      <c r="D80" s="59"/>
      <c r="E80" s="59"/>
      <c r="F80" s="59"/>
      <c r="G80" s="59"/>
      <c r="H80" s="59"/>
      <c r="I80" s="59"/>
      <c r="J80" s="59"/>
      <c r="K80" s="59"/>
    </row>
    <row r="81" spans="1:13">
      <c r="A81" s="89" t="s">
        <v>6269</v>
      </c>
      <c r="B81" s="59"/>
      <c r="C81" s="59"/>
      <c r="D81" s="59"/>
      <c r="E81" s="59"/>
      <c r="F81" s="59"/>
      <c r="G81" s="59"/>
      <c r="H81" s="59"/>
      <c r="I81" s="59"/>
      <c r="J81" s="59"/>
      <c r="K81" s="59"/>
    </row>
    <row r="82" spans="1:13">
      <c r="A82" s="290" t="s">
        <v>6214</v>
      </c>
      <c r="B82" s="290" t="s">
        <v>6215</v>
      </c>
      <c r="C82" s="290" t="s">
        <v>6216</v>
      </c>
      <c r="D82" s="290" t="s">
        <v>6218</v>
      </c>
      <c r="E82" s="290" t="s">
        <v>6220</v>
      </c>
      <c r="F82" s="290" t="s">
        <v>6221</v>
      </c>
      <c r="G82" s="290" t="s">
        <v>6231</v>
      </c>
      <c r="H82" s="59"/>
      <c r="I82" s="59"/>
      <c r="J82" s="59"/>
      <c r="K82" s="59"/>
    </row>
    <row r="83" spans="1:13">
      <c r="A83" s="112" t="s">
        <v>26</v>
      </c>
      <c r="B83" s="121" cm="1">
        <f t="array" ref="B83">SUMPRODUCT(('Medical Sales'!N3:N196="Medical")*(LEFT('Medical Sales'!D3:D196,4)="2021")*('Medical Sales'!G3:G196&gt;=10000)*('Medical Sales'!U3:U196&lt;&gt;"Yes"))</f>
        <v>0</v>
      </c>
      <c r="C83" s="122" cm="1">
        <f t="array" ref="C83">SUMPRODUCT(('Medical Sales'!N3:N196="Medical")*(LEFT('Medical Sales'!D3:D196,4)="2021")*('Medical Sales'!G3:G196&gt;=10000)*('Medical Sales'!U3:U196&lt;&gt;"Yes")*('Medical Sales'!E3:E196))</f>
        <v>0</v>
      </c>
      <c r="D83" s="122" t="str" cm="1">
        <f t="array" ref="D83">IFERROR(MEDIAN(IF(('Medical Sales'!N3:N196="Medical")*(LEFT('Medical Sales'!D3:D196,4)="2021")*('Medical Sales'!G3:G196&gt;=10000)*('Medical Sales'!U3:U196&lt;&gt;"Yes"),'Medical Sales'!E3:E196)),"-")</f>
        <v>-</v>
      </c>
      <c r="E83" s="123" t="str" cm="1">
        <f t="array" ref="E83">IFERROR(MEDIAN(IF(('Medical Sales'!N3:N196="Medical")*(LEFT('Medical Sales'!D3:D196,4)="2021")*('Medical Sales'!G3:G196&gt;=10000)*('Medical Sales'!U3:U196&lt;&gt;"Yes"),'Medical Sales'!F3:F196)),"-")</f>
        <v>-</v>
      </c>
      <c r="F83" s="121" t="str" cm="1">
        <f t="array" ref="F83">IF(B83=0,"-",SUMPRODUCT(('Medical Sales'!N3:N196="Medical")*(LEFT('Medical Sales'!D3:D196,4)="2021")*('Medical Sales'!G3:G196&gt;=10000)*('Medical Sales'!U3:U196&lt;&gt;"Yes")*('Medical Sales'!G3:G196))/B83)</f>
        <v>-</v>
      </c>
      <c r="G83" s="122" cm="1">
        <f t="array" ref="G83">IFERROR(MAX(IF(('Medical Sales'!N3:N196="Medical")*(LEFT('Medical Sales'!D3:D196,4)="2021")*('Medical Sales'!G3:G196&gt;=10000)*('Medical Sales'!U3:U196&lt;&gt;"Yes"),'Medical Sales'!E3:E196)),"-")</f>
        <v>0</v>
      </c>
      <c r="H83" s="59"/>
      <c r="I83" s="59"/>
      <c r="J83" s="59"/>
      <c r="K83" s="59"/>
    </row>
    <row r="84" spans="1:13">
      <c r="A84" s="112" t="s">
        <v>1519</v>
      </c>
      <c r="B84" s="121" cm="1">
        <f t="array" ref="B84">SUMPRODUCT(('Medical Sales'!N3:N196="Multi-Tenant Medical")*(LEFT('Medical Sales'!D3:D196,4)="2021")*('Medical Sales'!G3:G196&gt;=10000)*('Medical Sales'!U3:U196&lt;&gt;"Yes"))</f>
        <v>2</v>
      </c>
      <c r="C84" s="122" cm="1">
        <f t="array" ref="C84">SUMPRODUCT(('Medical Sales'!N3:N196="Multi-Tenant Medical")*(LEFT('Medical Sales'!D3:D196,4)="2021")*('Medical Sales'!G3:G196&gt;=10000)*('Medical Sales'!U3:U196&lt;&gt;"Yes")*('Medical Sales'!E3:E196))</f>
        <v>4900000</v>
      </c>
      <c r="D84" s="122" cm="1">
        <f t="array" ref="D84">IFERROR(MEDIAN(IF(('Medical Sales'!N3:N196="Multi-Tenant Medical")*(LEFT('Medical Sales'!D3:D196,4)="2021")*('Medical Sales'!G3:G196&gt;=10000)*('Medical Sales'!U3:U196&lt;&gt;"Yes"),'Medical Sales'!E3:E196)),"-")</f>
        <v>2450000</v>
      </c>
      <c r="E84" s="123" cm="1">
        <f t="array" ref="E84">IFERROR(MEDIAN(IF(('Medical Sales'!N3:N196="Multi-Tenant Medical")*(LEFT('Medical Sales'!D3:D196,4)="2021")*('Medical Sales'!G3:G196&gt;=10000)*('Medical Sales'!U3:U196&lt;&gt;"Yes"),'Medical Sales'!F3:F196)),"-")</f>
        <v>72.415102579446241</v>
      </c>
      <c r="F84" s="121" cm="1">
        <f t="array" ref="F84">IF(B84=0,"-",SUMPRODUCT(('Medical Sales'!N3:N196="Multi-Tenant Medical")*(LEFT('Medical Sales'!D3:D196,4)="2021")*('Medical Sales'!G3:G196&gt;=10000)*('Medical Sales'!U3:U196&lt;&gt;"Yes")*('Medical Sales'!G3:G196))/B84)</f>
        <v>35628</v>
      </c>
      <c r="G84" s="122" cm="1">
        <f t="array" ref="G84">IFERROR(MAX(IF(('Medical Sales'!N3:N196="Multi-Tenant Medical")*(LEFT('Medical Sales'!D3:D196,4)="2021")*('Medical Sales'!G3:G196&gt;=10000)*('Medical Sales'!U3:U196&lt;&gt;"Yes"),'Medical Sales'!E3:E196)),"-")</f>
        <v>3000000</v>
      </c>
      <c r="H84" s="59"/>
      <c r="I84" s="59"/>
      <c r="J84" s="59"/>
      <c r="K84" s="59"/>
    </row>
    <row r="85" spans="1:13">
      <c r="A85" s="280" t="s">
        <v>6212</v>
      </c>
      <c r="B85" s="291" cm="1">
        <f t="array" ref="B85">SUMPRODUCT(('Medical Sales'!N3:N196="Hospitals")*(LEFT('Medical Sales'!D3:D196,4)="2021")*('Medical Sales'!G3:G196&gt;=10000)*('Medical Sales'!U3:U196&lt;&gt;"Yes"))</f>
        <v>0</v>
      </c>
      <c r="C85" s="292" cm="1">
        <f t="array" ref="C85">SUMPRODUCT(('Medical Sales'!N3:N196="Hospitals")*(LEFT('Medical Sales'!D3:D196,4)="2021")*('Medical Sales'!G3:G196&gt;=10000)*('Medical Sales'!U3:U196&lt;&gt;"Yes")*('Medical Sales'!E3:E196))</f>
        <v>0</v>
      </c>
      <c r="D85" s="292" t="str" cm="1">
        <f t="array" ref="D85">IFERROR(MEDIAN(IF(('Medical Sales'!N3:N196="Hospitals")*(LEFT('Medical Sales'!D3:D196,4)="2021")*('Medical Sales'!G3:G196&gt;=10000)*('Medical Sales'!U3:U196&lt;&gt;"Yes"),'Medical Sales'!E3:E196)),"-")</f>
        <v>-</v>
      </c>
      <c r="E85" s="293" t="str" cm="1">
        <f t="array" ref="E85">IFERROR(MEDIAN(IF(('Medical Sales'!N3:N196="Hospitals")*(LEFT('Medical Sales'!D3:D196,4)="2021")*('Medical Sales'!G3:G196&gt;=10000)*('Medical Sales'!U3:U196&lt;&gt;"Yes"),'Medical Sales'!F3:F196)),"-")</f>
        <v>-</v>
      </c>
      <c r="F85" s="291" t="str" cm="1">
        <f t="array" ref="F85">IF(B85=0,"-",SUMPRODUCT(('Medical Sales'!N3:N196="Hospitals")*(LEFT('Medical Sales'!D3:D196,4)="2021")*('Medical Sales'!G3:G196&gt;=10000)*('Medical Sales'!U3:U196&lt;&gt;"Yes")*('Medical Sales'!G3:G196))/B85)</f>
        <v>-</v>
      </c>
      <c r="G85" s="292" cm="1">
        <f t="array" ref="G85">IFERROR(MAX(IF(('Medical Sales'!N3:N196="Hospitals")*(LEFT('Medical Sales'!D3:D196,4)="2021")*('Medical Sales'!G3:G196&gt;=10000)*('Medical Sales'!U3:U196&lt;&gt;"Yes"),'Medical Sales'!E3:E196)),"-")</f>
        <v>0</v>
      </c>
      <c r="H85" s="59"/>
      <c r="I85" s="59"/>
      <c r="J85" s="59"/>
      <c r="K85" s="59"/>
    </row>
    <row r="86" spans="1:13">
      <c r="A86" s="59"/>
      <c r="B86" s="59"/>
      <c r="C86" s="59"/>
      <c r="D86" s="59"/>
      <c r="E86" s="59"/>
      <c r="F86" s="59"/>
      <c r="G86" s="59"/>
      <c r="H86" s="59"/>
      <c r="I86" s="59"/>
      <c r="J86" s="59"/>
      <c r="K86" s="59"/>
    </row>
    <row r="87" spans="1:13" ht="19">
      <c r="A87" s="55" t="s">
        <v>6355</v>
      </c>
      <c r="B87" s="55"/>
      <c r="C87" s="55"/>
      <c r="D87" s="55"/>
      <c r="E87" s="55"/>
      <c r="F87" s="55"/>
      <c r="G87" s="55"/>
      <c r="H87" s="55"/>
      <c r="I87" s="55"/>
      <c r="J87" s="55"/>
      <c r="K87" s="55"/>
    </row>
    <row r="88" spans="1:13">
      <c r="A88" s="294" t="s">
        <v>6356</v>
      </c>
      <c r="B88" s="294" t="s">
        <v>6215</v>
      </c>
      <c r="C88" s="294" t="s">
        <v>6216</v>
      </c>
      <c r="D88" s="294" t="s">
        <v>6217</v>
      </c>
      <c r="E88" s="294" t="s">
        <v>6218</v>
      </c>
      <c r="F88" s="294" t="s">
        <v>6219</v>
      </c>
      <c r="G88" s="294" t="s">
        <v>6220</v>
      </c>
      <c r="H88" s="294" t="s">
        <v>6221</v>
      </c>
      <c r="I88" s="294" t="s">
        <v>6230</v>
      </c>
      <c r="J88" s="294" t="s">
        <v>6231</v>
      </c>
      <c r="K88" s="59"/>
    </row>
    <row r="89" spans="1:13">
      <c r="A89" s="112" t="s">
        <v>6277</v>
      </c>
      <c r="B89" s="121" cm="1">
        <f t="array" ref="B89">SUMPRODUCT(('Medical Sales'!T3:T196="New")*(LEFT('Medical Sales'!D3:D196,4)="2021")*('Medical Sales'!U3:U196&lt;&gt;"Yes"))</f>
        <v>2</v>
      </c>
      <c r="C89" s="122" cm="1">
        <f t="array" ref="C89">SUMPRODUCT(('Medical Sales'!T3:T196="New")*(LEFT('Medical Sales'!D3:D196,4)="2021")*('Medical Sales'!U3:U196&lt;&gt;"Yes")*('Medical Sales'!E3:E196))</f>
        <v>4753400</v>
      </c>
      <c r="D89" s="122">
        <f>IF(B89=0,"-",C89/B89)</f>
        <v>2376700</v>
      </c>
      <c r="E89" s="122" cm="1">
        <f t="array" ref="E89">IFERROR(MEDIAN(IF(('Medical Sales'!T3:T196="New")*(LEFT('Medical Sales'!D3:D196,4)="2021")*('Medical Sales'!U3:U196&lt;&gt;"Yes"),'Medical Sales'!E3:E196)),"-")</f>
        <v>2376700</v>
      </c>
      <c r="F89" s="123" cm="1">
        <f t="array" ref="F89">IF(B89=0,"-",SUMPRODUCT(('Medical Sales'!T3:T196="New")*(LEFT('Medical Sales'!D3:D196,4)="2021")*('Medical Sales'!U3:U196&lt;&gt;"Yes")*('Medical Sales'!F3:F196))/B89)</f>
        <v>384.71512793597242</v>
      </c>
      <c r="G89" s="123" cm="1">
        <f t="array" ref="G89">IFERROR(MEDIAN(IF(('Medical Sales'!T3:T196="New")*(LEFT('Medical Sales'!D3:D196,4)="2021")*('Medical Sales'!U3:U196&lt;&gt;"Yes"),'Medical Sales'!F3:F196)),"-")</f>
        <v>384.71512793597236</v>
      </c>
      <c r="H89" s="121" cm="1">
        <f t="array" ref="H89">IF(B89=0,"-",SUMPRODUCT(('Medical Sales'!T3:T196="New")*(LEFT('Medical Sales'!D3:D196,4)="2021")*('Medical Sales'!U3:U196&lt;&gt;"Yes")*('Medical Sales'!G3:G196))/B89)</f>
        <v>13566</v>
      </c>
      <c r="I89" s="122" cm="1">
        <f t="array" ref="I89">IFERROR(MIN(IF(('Medical Sales'!T3:T196="New")*(LEFT('Medical Sales'!D3:D196,4)="2021")*('Medical Sales'!U3:U196&lt;&gt;"Yes"),'Medical Sales'!E3:E196)),"-")</f>
        <v>1900000</v>
      </c>
      <c r="J89" s="122" cm="1">
        <f t="array" ref="J89">IFERROR(MAX(IF(('Medical Sales'!T3:T196="New")*(LEFT('Medical Sales'!D3:D196,4)="2021")*('Medical Sales'!U3:U196&lt;&gt;"Yes"),'Medical Sales'!E3:E196)),"-")</f>
        <v>2853400</v>
      </c>
      <c r="K89" s="59"/>
    </row>
    <row r="90" spans="1:13">
      <c r="A90" s="112" t="s">
        <v>6276</v>
      </c>
      <c r="B90" s="121" cm="1">
        <f t="array" ref="B90">SUMPRODUCT(('Medical Sales'!T3:T196="Normal")*(LEFT('Medical Sales'!D3:D196,4)="2021")*('Medical Sales'!U3:U196&lt;&gt;"Yes"))</f>
        <v>2</v>
      </c>
      <c r="C90" s="122" cm="1">
        <f t="array" ref="C90">SUMPRODUCT(('Medical Sales'!T3:T196="Normal")*(LEFT('Medical Sales'!D3:D196,4)="2021")*('Medical Sales'!U3:U196&lt;&gt;"Yes")*('Medical Sales'!E3:E196))</f>
        <v>3545000</v>
      </c>
      <c r="D90" s="122">
        <f>IF(B90=0,"-",C90/B90)</f>
        <v>1772500</v>
      </c>
      <c r="E90" s="122" cm="1">
        <f t="array" ref="E90">IFERROR(MEDIAN(IF(('Medical Sales'!T3:T196="Normal")*(LEFT('Medical Sales'!D3:D196,4)="2021")*('Medical Sales'!U3:U196&lt;&gt;"Yes"),'Medical Sales'!E3:E196)),"-")</f>
        <v>1772500</v>
      </c>
      <c r="F90" s="123" cm="1">
        <f t="array" ref="F90">IF(B90=0,"-",SUMPRODUCT(('Medical Sales'!T3:T196="Normal")*(LEFT('Medical Sales'!D3:D196,4)="2021")*('Medical Sales'!U3:U196&lt;&gt;"Yes")*('Medical Sales'!F3:F196))/B90)</f>
        <v>67.499890343262138</v>
      </c>
      <c r="G90" s="123" cm="1">
        <f t="array" ref="G90">IFERROR(MEDIAN(IF(('Medical Sales'!T3:T196="Normal")*(LEFT('Medical Sales'!D3:D196,4)="2021")*('Medical Sales'!U3:U196&lt;&gt;"Yes"),'Medical Sales'!F3:F196)),"-")</f>
        <v>67.499890343262138</v>
      </c>
      <c r="H90" s="121" cm="1">
        <f t="array" ref="H90">IF(B90=0,"-",SUMPRODUCT(('Medical Sales'!T3:T196="Normal")*(LEFT('Medical Sales'!D3:D196,4)="2021")*('Medical Sales'!U3:U196&lt;&gt;"Yes")*('Medical Sales'!G3:G196))/B90)</f>
        <v>27879.5</v>
      </c>
      <c r="I90" s="122" cm="1">
        <f t="array" ref="I90">IFERROR(MIN(IF(('Medical Sales'!T3:T196="Normal")*(LEFT('Medical Sales'!D3:D196,4)="2021")*('Medical Sales'!U3:U196&lt;&gt;"Yes"),'Medical Sales'!E3:E196)),"-")</f>
        <v>545000</v>
      </c>
      <c r="J90" s="122" cm="1">
        <f t="array" ref="J90">IFERROR(MAX(IF(('Medical Sales'!T3:T196="Normal")*(LEFT('Medical Sales'!D3:D196,4)="2021")*('Medical Sales'!U3:U196&lt;&gt;"Yes"),'Medical Sales'!E3:E196)),"-")</f>
        <v>3000000</v>
      </c>
      <c r="K90" s="59"/>
    </row>
    <row r="91" spans="1:13">
      <c r="A91" s="280" t="s">
        <v>6275</v>
      </c>
      <c r="B91" s="291" cm="1">
        <f t="array" ref="B91">SUMPRODUCT(('Medical Sales'!T3:T196="Old")*(LEFT('Medical Sales'!D3:D196,4)="2021")*('Medical Sales'!U3:U196&lt;&gt;"Yes"))</f>
        <v>2</v>
      </c>
      <c r="C91" s="292" cm="1">
        <f t="array" ref="C91">SUMPRODUCT(('Medical Sales'!T3:T196="Old")*(LEFT('Medical Sales'!D3:D196,4)="2021")*('Medical Sales'!U3:U196&lt;&gt;"Yes")*('Medical Sales'!E3:E196))</f>
        <v>671600</v>
      </c>
      <c r="D91" s="292">
        <f>IF(B91=0,"-",C91/B91)</f>
        <v>335800</v>
      </c>
      <c r="E91" s="292" cm="1">
        <f t="array" ref="E91">IFERROR(MEDIAN(IF(('Medical Sales'!T3:T196="Old")*(LEFT('Medical Sales'!D3:D196,4)="2021")*('Medical Sales'!U3:U196&lt;&gt;"Yes"),'Medical Sales'!E3:E196)),"-")</f>
        <v>335800</v>
      </c>
      <c r="F91" s="293" cm="1">
        <f t="array" ref="F91">IF(B91=0,"-",SUMPRODUCT(('Medical Sales'!T3:T196="Old")*(LEFT('Medical Sales'!D3:D196,4)="2021")*('Medical Sales'!U3:U196&lt;&gt;"Yes")*('Medical Sales'!F3:F196))/B91)</f>
        <v>70.880221566641808</v>
      </c>
      <c r="G91" s="293" cm="1">
        <f t="array" ref="G91">IFERROR(MEDIAN(IF(('Medical Sales'!T3:T196="Old")*(LEFT('Medical Sales'!D3:D196,4)="2021")*('Medical Sales'!U3:U196&lt;&gt;"Yes"),'Medical Sales'!F3:F196)),"-")</f>
        <v>70.880221566641808</v>
      </c>
      <c r="H91" s="291" cm="1">
        <f t="array" ref="H91">IF(B91=0,"-",SUMPRODUCT(('Medical Sales'!T3:T196="Old")*(LEFT('Medical Sales'!D3:D196,4)="2021")*('Medical Sales'!U3:U196&lt;&gt;"Yes")*('Medical Sales'!G3:G196))/B91)</f>
        <v>4892.5</v>
      </c>
      <c r="I91" s="292" cm="1">
        <f t="array" ref="I91">IFERROR(MIN(IF(('Medical Sales'!T3:T196="Old")*(LEFT('Medical Sales'!D3:D196,4)="2021")*('Medical Sales'!U3:U196&lt;&gt;"Yes"),'Medical Sales'!E3:E196)),"-")</f>
        <v>243300</v>
      </c>
      <c r="J91" s="292" cm="1">
        <f t="array" ref="J91">IFERROR(MAX(IF(('Medical Sales'!T3:T196="Old")*(LEFT('Medical Sales'!D3:D196,4)="2021")*('Medical Sales'!U3:U196&lt;&gt;"Yes"),'Medical Sales'!E3:E196)),"-")</f>
        <v>428300</v>
      </c>
      <c r="K91" s="59"/>
    </row>
    <row r="92" spans="1:13">
      <c r="A92" s="270" t="s">
        <v>6357</v>
      </c>
      <c r="B92" s="59"/>
      <c r="C92" s="59"/>
      <c r="D92" s="59"/>
      <c r="E92" s="59"/>
      <c r="F92" s="59"/>
      <c r="G92" s="59"/>
      <c r="H92" s="59"/>
      <c r="I92" s="59"/>
      <c r="J92" s="59"/>
      <c r="K92" s="59"/>
    </row>
    <row r="93" spans="1:13">
      <c r="A93" s="59"/>
      <c r="B93" s="59"/>
      <c r="C93" s="59"/>
      <c r="D93" s="59"/>
      <c r="E93" s="59"/>
      <c r="F93" s="59"/>
      <c r="G93" s="59"/>
      <c r="H93" s="59"/>
      <c r="I93" s="59"/>
      <c r="J93" s="59"/>
      <c r="K93" s="59"/>
    </row>
    <row r="94" spans="1:13" ht="19">
      <c r="A94" s="55" t="s">
        <v>6358</v>
      </c>
      <c r="B94" s="55"/>
      <c r="C94" s="55"/>
      <c r="D94" s="55"/>
      <c r="E94" s="55"/>
      <c r="F94" s="55"/>
      <c r="G94" s="55"/>
      <c r="H94" s="55"/>
      <c r="I94" s="55"/>
      <c r="J94" s="55"/>
      <c r="K94" s="55"/>
      <c r="L94" s="55"/>
      <c r="M94" s="55"/>
    </row>
    <row r="95" spans="1:13">
      <c r="A95" s="56" t="s">
        <v>6271</v>
      </c>
      <c r="B95" s="56" t="s">
        <v>2</v>
      </c>
      <c r="C95" s="56" t="s">
        <v>6272</v>
      </c>
      <c r="D95" s="56" t="s">
        <v>4</v>
      </c>
      <c r="E95" s="56" t="s">
        <v>5</v>
      </c>
      <c r="F95" s="56" t="s">
        <v>6273</v>
      </c>
      <c r="G95" s="56" t="s">
        <v>6214</v>
      </c>
      <c r="H95" s="56" t="s">
        <v>15</v>
      </c>
      <c r="I95" s="56" t="s">
        <v>6274</v>
      </c>
      <c r="J95" s="56" t="s">
        <v>6199</v>
      </c>
      <c r="K95" s="56" t="s">
        <v>6317</v>
      </c>
      <c r="L95" s="56" t="s">
        <v>6319</v>
      </c>
      <c r="M95" s="56" t="s">
        <v>6528</v>
      </c>
    </row>
    <row r="96" spans="1:13">
      <c r="A96" s="92" t="s">
        <v>1422</v>
      </c>
      <c r="B96" s="93" t="s">
        <v>33</v>
      </c>
      <c r="C96" s="93" t="s">
        <v>90</v>
      </c>
      <c r="D96" s="94">
        <v>243300</v>
      </c>
      <c r="E96" s="95">
        <v>45.664414414414402</v>
      </c>
      <c r="F96" s="96">
        <v>5328</v>
      </c>
      <c r="G96" s="93" t="s">
        <v>26</v>
      </c>
      <c r="H96" s="93" t="s">
        <v>6359</v>
      </c>
      <c r="I96" s="97">
        <v>1971</v>
      </c>
      <c r="J96" s="93" t="s">
        <v>6275</v>
      </c>
      <c r="K96" s="93" t="s">
        <v>6318</v>
      </c>
      <c r="L96" s="93" t="s">
        <v>6511</v>
      </c>
      <c r="M96" s="358" t="s">
        <v>6545</v>
      </c>
    </row>
    <row r="97" spans="1:13">
      <c r="A97" s="59" t="s">
        <v>192</v>
      </c>
      <c r="B97" s="60" t="s">
        <v>33</v>
      </c>
      <c r="C97" s="60" t="s">
        <v>21</v>
      </c>
      <c r="D97" s="63">
        <v>3000000</v>
      </c>
      <c r="E97" s="61">
        <v>62.138818119679399</v>
      </c>
      <c r="F97" s="62">
        <v>48279</v>
      </c>
      <c r="G97" s="60" t="s">
        <v>1519</v>
      </c>
      <c r="H97" s="60" t="s">
        <v>6376</v>
      </c>
      <c r="I97" s="91">
        <v>2008</v>
      </c>
      <c r="J97" s="60" t="s">
        <v>6276</v>
      </c>
      <c r="K97" s="60" t="s">
        <v>6318</v>
      </c>
      <c r="L97" s="60" t="s">
        <v>6510</v>
      </c>
      <c r="M97" s="359" t="s">
        <v>6546</v>
      </c>
    </row>
    <row r="98" spans="1:13">
      <c r="A98" s="59" t="s">
        <v>1136</v>
      </c>
      <c r="B98" s="60" t="s">
        <v>184</v>
      </c>
      <c r="C98" s="60" t="s">
        <v>925</v>
      </c>
      <c r="D98" s="63">
        <v>545000</v>
      </c>
      <c r="E98" s="61">
        <v>72.860962566844904</v>
      </c>
      <c r="F98" s="62">
        <v>7480</v>
      </c>
      <c r="G98" s="60" t="s">
        <v>26</v>
      </c>
      <c r="H98" s="60" t="s">
        <v>6366</v>
      </c>
      <c r="I98" s="91">
        <v>2001</v>
      </c>
      <c r="J98" s="60" t="s">
        <v>6276</v>
      </c>
      <c r="K98" s="60" t="s">
        <v>6318</v>
      </c>
      <c r="L98" s="60" t="s">
        <v>6511</v>
      </c>
      <c r="M98" s="359" t="s">
        <v>6547</v>
      </c>
    </row>
    <row r="99" spans="1:13">
      <c r="A99" s="92" t="s">
        <v>230</v>
      </c>
      <c r="B99" s="93" t="s">
        <v>33</v>
      </c>
      <c r="C99" s="93" t="s">
        <v>231</v>
      </c>
      <c r="D99" s="94">
        <v>1900000</v>
      </c>
      <c r="E99" s="95">
        <v>82.691387039213097</v>
      </c>
      <c r="F99" s="96">
        <v>22977</v>
      </c>
      <c r="G99" s="93" t="s">
        <v>1519</v>
      </c>
      <c r="H99" s="93" t="s">
        <v>236</v>
      </c>
      <c r="I99" s="97">
        <v>2022</v>
      </c>
      <c r="J99" s="93" t="s">
        <v>6277</v>
      </c>
      <c r="K99" s="93" t="s">
        <v>6318</v>
      </c>
      <c r="L99" s="93" t="s">
        <v>6620</v>
      </c>
      <c r="M99" s="26" t="s">
        <v>6549</v>
      </c>
    </row>
    <row r="100" spans="1:13">
      <c r="A100" s="92" t="s">
        <v>670</v>
      </c>
      <c r="B100" s="93" t="s">
        <v>33</v>
      </c>
      <c r="C100" s="93" t="s">
        <v>223</v>
      </c>
      <c r="D100" s="94">
        <v>428300</v>
      </c>
      <c r="E100" s="95">
        <v>96.096028718869206</v>
      </c>
      <c r="F100" s="96">
        <v>4457</v>
      </c>
      <c r="G100" s="93" t="s">
        <v>26</v>
      </c>
      <c r="H100" s="93" t="s">
        <v>6363</v>
      </c>
      <c r="I100" s="97">
        <v>1967</v>
      </c>
      <c r="J100" s="93" t="s">
        <v>6275</v>
      </c>
      <c r="K100" s="93" t="s">
        <v>6318</v>
      </c>
      <c r="L100" s="93" t="s">
        <v>6529</v>
      </c>
      <c r="M100" s="358" t="s">
        <v>6550</v>
      </c>
    </row>
    <row r="101" spans="1:13">
      <c r="A101" s="59" t="s">
        <v>1287</v>
      </c>
      <c r="B101" s="60" t="s">
        <v>20</v>
      </c>
      <c r="C101" s="60" t="s">
        <v>428</v>
      </c>
      <c r="D101" s="63">
        <v>486500</v>
      </c>
      <c r="E101" s="61">
        <v>112.615740740741</v>
      </c>
      <c r="F101" s="62">
        <v>4320</v>
      </c>
      <c r="G101" s="60" t="s">
        <v>26</v>
      </c>
      <c r="H101" s="60" t="s">
        <v>1290</v>
      </c>
      <c r="I101" s="91">
        <v>1976</v>
      </c>
      <c r="J101" s="60" t="s">
        <v>6275</v>
      </c>
      <c r="K101" s="60"/>
    </row>
    <row r="102" spans="1:13">
      <c r="A102" s="59" t="s">
        <v>889</v>
      </c>
      <c r="B102" s="60" t="s">
        <v>20</v>
      </c>
      <c r="C102" s="60" t="s">
        <v>336</v>
      </c>
      <c r="D102" s="63">
        <v>250100</v>
      </c>
      <c r="E102" s="61">
        <v>116.325581395349</v>
      </c>
      <c r="F102" s="62">
        <v>2150</v>
      </c>
      <c r="G102" s="60" t="s">
        <v>26</v>
      </c>
      <c r="H102" s="60" t="s">
        <v>6360</v>
      </c>
      <c r="I102" s="91">
        <v>2007</v>
      </c>
      <c r="J102" s="60" t="s">
        <v>6276</v>
      </c>
      <c r="K102" s="60"/>
    </row>
    <row r="103" spans="1:13">
      <c r="A103" s="59" t="s">
        <v>206</v>
      </c>
      <c r="B103" s="60" t="s">
        <v>33</v>
      </c>
      <c r="C103" s="60" t="s">
        <v>207</v>
      </c>
      <c r="D103" s="63">
        <v>344600</v>
      </c>
      <c r="E103" s="61">
        <v>117.370572207084</v>
      </c>
      <c r="F103" s="62">
        <v>2936</v>
      </c>
      <c r="G103" s="60" t="s">
        <v>26</v>
      </c>
      <c r="H103" s="60" t="s">
        <v>6361</v>
      </c>
      <c r="I103" s="91">
        <v>2021</v>
      </c>
      <c r="J103" s="60" t="s">
        <v>6277</v>
      </c>
      <c r="K103" s="60"/>
    </row>
    <row r="104" spans="1:13" ht="48">
      <c r="A104" s="92" t="s">
        <v>1489</v>
      </c>
      <c r="B104" s="93" t="s">
        <v>184</v>
      </c>
      <c r="C104" s="93" t="s">
        <v>1490</v>
      </c>
      <c r="D104" s="94">
        <v>275000</v>
      </c>
      <c r="E104" s="95">
        <v>123.873873873874</v>
      </c>
      <c r="F104" s="96">
        <v>2220</v>
      </c>
      <c r="G104" s="93" t="s">
        <v>26</v>
      </c>
      <c r="H104" s="98" t="s">
        <v>1494</v>
      </c>
      <c r="I104" s="97">
        <v>1975</v>
      </c>
      <c r="J104" s="93" t="s">
        <v>6275</v>
      </c>
      <c r="K104" s="93"/>
    </row>
    <row r="105" spans="1:13">
      <c r="A105" s="92" t="s">
        <v>501</v>
      </c>
      <c r="B105" s="93" t="s">
        <v>33</v>
      </c>
      <c r="C105" s="93" t="s">
        <v>223</v>
      </c>
      <c r="D105" s="94">
        <v>366400</v>
      </c>
      <c r="E105" s="95">
        <v>127.39916550765</v>
      </c>
      <c r="F105" s="96">
        <v>2876</v>
      </c>
      <c r="G105" s="93" t="s">
        <v>26</v>
      </c>
      <c r="H105" s="93" t="s">
        <v>6362</v>
      </c>
      <c r="I105" s="97">
        <v>2023</v>
      </c>
      <c r="J105" s="93" t="s">
        <v>6277</v>
      </c>
      <c r="K105" s="93"/>
    </row>
    <row r="106" spans="1:13">
      <c r="A106" s="59" t="s">
        <v>214</v>
      </c>
      <c r="B106" s="60" t="s">
        <v>33</v>
      </c>
      <c r="C106" s="60" t="s">
        <v>215</v>
      </c>
      <c r="D106" s="63">
        <v>900000</v>
      </c>
      <c r="E106" s="61">
        <v>152.54237288135599</v>
      </c>
      <c r="F106" s="62">
        <v>5900</v>
      </c>
      <c r="G106" s="60" t="s">
        <v>26</v>
      </c>
      <c r="H106" s="60" t="s">
        <v>219</v>
      </c>
      <c r="I106" s="91">
        <v>1970</v>
      </c>
      <c r="J106" s="60" t="s">
        <v>6275</v>
      </c>
      <c r="K106" s="60"/>
    </row>
    <row r="107" spans="1:13">
      <c r="A107" s="92" t="s">
        <v>694</v>
      </c>
      <c r="B107" s="93" t="s">
        <v>678</v>
      </c>
      <c r="C107" s="93" t="s">
        <v>90</v>
      </c>
      <c r="D107" s="94">
        <v>925000</v>
      </c>
      <c r="E107" s="95">
        <v>155.46218487395001</v>
      </c>
      <c r="F107" s="96">
        <v>5950</v>
      </c>
      <c r="G107" s="93" t="s">
        <v>26</v>
      </c>
      <c r="H107" s="93" t="s">
        <v>6369</v>
      </c>
      <c r="I107" s="97">
        <v>2022</v>
      </c>
      <c r="J107" s="93" t="s">
        <v>6277</v>
      </c>
      <c r="K107" s="93"/>
    </row>
    <row r="108" spans="1:13">
      <c r="A108" s="92" t="s">
        <v>1143</v>
      </c>
      <c r="B108" s="93" t="s">
        <v>184</v>
      </c>
      <c r="C108" s="93" t="s">
        <v>336</v>
      </c>
      <c r="D108" s="94">
        <v>494000</v>
      </c>
      <c r="E108" s="95">
        <v>166.218034993271</v>
      </c>
      <c r="F108" s="96">
        <v>2972</v>
      </c>
      <c r="G108" s="93" t="s">
        <v>26</v>
      </c>
      <c r="H108" s="93" t="s">
        <v>1146</v>
      </c>
      <c r="I108" s="97">
        <v>1977</v>
      </c>
      <c r="J108" s="93" t="s">
        <v>6275</v>
      </c>
      <c r="K108" s="93"/>
    </row>
    <row r="109" spans="1:13">
      <c r="A109" s="92" t="s">
        <v>63</v>
      </c>
      <c r="B109" s="93" t="s">
        <v>33</v>
      </c>
      <c r="C109" s="93" t="s">
        <v>64</v>
      </c>
      <c r="D109" s="94">
        <v>592000</v>
      </c>
      <c r="E109" s="95">
        <v>169.142857142857</v>
      </c>
      <c r="F109" s="96">
        <v>3500</v>
      </c>
      <c r="G109" s="93" t="s">
        <v>26</v>
      </c>
      <c r="H109" s="93" t="s">
        <v>69</v>
      </c>
      <c r="I109" s="97">
        <v>1996</v>
      </c>
      <c r="J109" s="93" t="s">
        <v>6276</v>
      </c>
      <c r="K109" s="93"/>
    </row>
    <row r="110" spans="1:13">
      <c r="A110" s="59" t="s">
        <v>1301</v>
      </c>
      <c r="B110" s="60" t="s">
        <v>20</v>
      </c>
      <c r="C110" s="60" t="s">
        <v>925</v>
      </c>
      <c r="D110" s="63">
        <v>725000</v>
      </c>
      <c r="E110" s="61">
        <v>170.347744360902</v>
      </c>
      <c r="F110" s="62">
        <v>4256</v>
      </c>
      <c r="G110" s="60" t="s">
        <v>26</v>
      </c>
      <c r="H110" s="60" t="s">
        <v>1304</v>
      </c>
      <c r="I110" s="91">
        <v>1977</v>
      </c>
      <c r="J110" s="60" t="s">
        <v>6275</v>
      </c>
      <c r="K110" s="60"/>
    </row>
    <row r="111" spans="1:13">
      <c r="A111" s="92" t="s">
        <v>176</v>
      </c>
      <c r="B111" s="93" t="s">
        <v>20</v>
      </c>
      <c r="C111" s="93" t="s">
        <v>177</v>
      </c>
      <c r="D111" s="94">
        <v>600000</v>
      </c>
      <c r="E111" s="95">
        <v>173.812282734647</v>
      </c>
      <c r="F111" s="96">
        <v>3452</v>
      </c>
      <c r="G111" s="93" t="s">
        <v>26</v>
      </c>
      <c r="H111" s="93" t="s">
        <v>180</v>
      </c>
      <c r="I111" s="97">
        <v>1980</v>
      </c>
      <c r="J111" s="93" t="s">
        <v>6275</v>
      </c>
      <c r="K111" s="93"/>
    </row>
    <row r="112" spans="1:13">
      <c r="A112" s="59" t="s">
        <v>737</v>
      </c>
      <c r="B112" s="60" t="s">
        <v>678</v>
      </c>
      <c r="C112" s="60" t="s">
        <v>428</v>
      </c>
      <c r="D112" s="63">
        <v>1010000</v>
      </c>
      <c r="E112" s="61">
        <v>175.49956559513501</v>
      </c>
      <c r="F112" s="62">
        <v>5755</v>
      </c>
      <c r="G112" s="60" t="s">
        <v>26</v>
      </c>
      <c r="H112" s="60" t="s">
        <v>741</v>
      </c>
      <c r="I112" s="91">
        <v>2003</v>
      </c>
      <c r="J112" s="60" t="s">
        <v>6276</v>
      </c>
      <c r="K112" s="60"/>
    </row>
    <row r="113" spans="1:11">
      <c r="A113" s="59" t="s">
        <v>1583</v>
      </c>
      <c r="B113" s="60" t="s">
        <v>20</v>
      </c>
      <c r="C113" s="60" t="s">
        <v>207</v>
      </c>
      <c r="D113" s="63">
        <v>7000000</v>
      </c>
      <c r="E113" s="61">
        <v>176.76767676767699</v>
      </c>
      <c r="F113" s="62">
        <v>39600</v>
      </c>
      <c r="G113" s="60" t="s">
        <v>1519</v>
      </c>
      <c r="H113" s="60" t="s">
        <v>1587</v>
      </c>
      <c r="I113" s="91">
        <v>2007</v>
      </c>
      <c r="J113" s="60" t="s">
        <v>6276</v>
      </c>
      <c r="K113" s="60"/>
    </row>
    <row r="114" spans="1:11">
      <c r="A114" s="59" t="s">
        <v>427</v>
      </c>
      <c r="B114" s="60" t="s">
        <v>33</v>
      </c>
      <c r="C114" s="60" t="s">
        <v>428</v>
      </c>
      <c r="D114" s="63">
        <v>7750000</v>
      </c>
      <c r="E114" s="61">
        <v>179.94798922634001</v>
      </c>
      <c r="F114" s="62">
        <v>43068</v>
      </c>
      <c r="G114" s="60" t="s">
        <v>1519</v>
      </c>
      <c r="H114" s="60" t="s">
        <v>6380</v>
      </c>
      <c r="I114" s="91">
        <v>1982</v>
      </c>
      <c r="J114" s="60" t="s">
        <v>6275</v>
      </c>
      <c r="K114" s="60"/>
    </row>
    <row r="115" spans="1:11">
      <c r="A115" s="59" t="s">
        <v>1349</v>
      </c>
      <c r="B115" s="60" t="s">
        <v>20</v>
      </c>
      <c r="C115" s="60" t="s">
        <v>21</v>
      </c>
      <c r="D115" s="63">
        <v>621000</v>
      </c>
      <c r="E115" s="61">
        <v>197.142857142857</v>
      </c>
      <c r="F115" s="62">
        <v>3150</v>
      </c>
      <c r="G115" s="60" t="s">
        <v>26</v>
      </c>
      <c r="H115" s="60" t="s">
        <v>1352</v>
      </c>
      <c r="I115" s="91">
        <v>2000</v>
      </c>
      <c r="J115" s="60" t="s">
        <v>6276</v>
      </c>
      <c r="K115" s="60"/>
    </row>
    <row r="116" spans="1:11">
      <c r="A116" s="59" t="s">
        <v>1281</v>
      </c>
      <c r="B116" s="60" t="s">
        <v>20</v>
      </c>
      <c r="C116" s="60" t="s">
        <v>428</v>
      </c>
      <c r="D116" s="63">
        <v>5050000</v>
      </c>
      <c r="E116" s="61">
        <v>202.46161247644599</v>
      </c>
      <c r="F116" s="62">
        <v>24943</v>
      </c>
      <c r="G116" s="60" t="s">
        <v>26</v>
      </c>
      <c r="H116" s="60" t="s">
        <v>1284</v>
      </c>
      <c r="I116" s="91">
        <v>1976</v>
      </c>
      <c r="J116" s="60" t="s">
        <v>6275</v>
      </c>
      <c r="K116" s="60"/>
    </row>
    <row r="117" spans="1:11">
      <c r="A117" s="59" t="s">
        <v>19</v>
      </c>
      <c r="B117" s="60" t="s">
        <v>20</v>
      </c>
      <c r="C117" s="60" t="s">
        <v>21</v>
      </c>
      <c r="D117" s="63">
        <v>2285000</v>
      </c>
      <c r="E117" s="61">
        <v>223.581213307241</v>
      </c>
      <c r="F117" s="62">
        <v>10220</v>
      </c>
      <c r="G117" s="60" t="s">
        <v>1519</v>
      </c>
      <c r="H117" s="60" t="s">
        <v>6374</v>
      </c>
      <c r="I117" s="91">
        <v>2004</v>
      </c>
      <c r="J117" s="60" t="s">
        <v>6276</v>
      </c>
      <c r="K117" s="60"/>
    </row>
    <row r="118" spans="1:11">
      <c r="A118" s="92" t="s">
        <v>1265</v>
      </c>
      <c r="B118" s="93" t="s">
        <v>20</v>
      </c>
      <c r="C118" s="93" t="s">
        <v>428</v>
      </c>
      <c r="D118" s="94">
        <v>537000</v>
      </c>
      <c r="E118" s="95">
        <v>224.87437185929599</v>
      </c>
      <c r="F118" s="96">
        <v>2388</v>
      </c>
      <c r="G118" s="93" t="s">
        <v>26</v>
      </c>
      <c r="H118" s="93" t="s">
        <v>6365</v>
      </c>
      <c r="I118" s="97">
        <v>1979</v>
      </c>
      <c r="J118" s="93" t="s">
        <v>6275</v>
      </c>
      <c r="K118" s="93"/>
    </row>
    <row r="119" spans="1:11">
      <c r="A119" s="59" t="s">
        <v>1090</v>
      </c>
      <c r="B119" s="60" t="s">
        <v>184</v>
      </c>
      <c r="C119" s="60" t="s">
        <v>925</v>
      </c>
      <c r="D119" s="63">
        <v>417500</v>
      </c>
      <c r="E119" s="61">
        <v>224.946120689655</v>
      </c>
      <c r="F119" s="62">
        <v>1856</v>
      </c>
      <c r="G119" s="60" t="s">
        <v>26</v>
      </c>
      <c r="H119" s="60" t="s">
        <v>1093</v>
      </c>
      <c r="I119" s="91">
        <v>1986</v>
      </c>
      <c r="J119" s="60" t="s">
        <v>6275</v>
      </c>
      <c r="K119" s="60"/>
    </row>
    <row r="120" spans="1:11">
      <c r="A120" s="59" t="s">
        <v>818</v>
      </c>
      <c r="B120" s="60" t="s">
        <v>678</v>
      </c>
      <c r="C120" s="60" t="s">
        <v>177</v>
      </c>
      <c r="D120" s="63">
        <v>600000</v>
      </c>
      <c r="E120" s="61">
        <v>227.272727272727</v>
      </c>
      <c r="F120" s="62">
        <v>2640</v>
      </c>
      <c r="G120" s="60" t="s">
        <v>26</v>
      </c>
      <c r="H120" s="60" t="s">
        <v>6367</v>
      </c>
      <c r="I120" s="91">
        <v>1984</v>
      </c>
      <c r="J120" s="60" t="s">
        <v>6275</v>
      </c>
      <c r="K120" s="60"/>
    </row>
    <row r="121" spans="1:11">
      <c r="A121" s="92" t="s">
        <v>341</v>
      </c>
      <c r="B121" s="93" t="s">
        <v>33</v>
      </c>
      <c r="C121" s="93" t="s">
        <v>90</v>
      </c>
      <c r="D121" s="94">
        <v>1650000</v>
      </c>
      <c r="E121" s="95">
        <v>230.061349693252</v>
      </c>
      <c r="F121" s="96">
        <v>7172</v>
      </c>
      <c r="G121" s="93" t="s">
        <v>26</v>
      </c>
      <c r="H121" s="93" t="s">
        <v>6373</v>
      </c>
      <c r="I121" s="97">
        <v>2022</v>
      </c>
      <c r="J121" s="93" t="s">
        <v>6277</v>
      </c>
      <c r="K121" s="93"/>
    </row>
    <row r="122" spans="1:11">
      <c r="A122" s="92" t="s">
        <v>89</v>
      </c>
      <c r="B122" s="93" t="s">
        <v>33</v>
      </c>
      <c r="C122" s="93" t="s">
        <v>90</v>
      </c>
      <c r="D122" s="94">
        <v>1224900</v>
      </c>
      <c r="E122" s="95">
        <v>236.148062463852</v>
      </c>
      <c r="F122" s="96">
        <v>5187</v>
      </c>
      <c r="G122" s="93" t="s">
        <v>26</v>
      </c>
      <c r="H122" s="93" t="s">
        <v>95</v>
      </c>
      <c r="I122" s="97">
        <v>2003</v>
      </c>
      <c r="J122" s="93" t="s">
        <v>6276</v>
      </c>
      <c r="K122" s="93"/>
    </row>
    <row r="123" spans="1:11">
      <c r="A123" s="92" t="s">
        <v>1074</v>
      </c>
      <c r="B123" s="93" t="s">
        <v>184</v>
      </c>
      <c r="C123" s="93" t="s">
        <v>223</v>
      </c>
      <c r="D123" s="94">
        <v>620000</v>
      </c>
      <c r="E123" s="95">
        <v>238.55328972681801</v>
      </c>
      <c r="F123" s="96">
        <v>2599</v>
      </c>
      <c r="G123" s="93" t="s">
        <v>26</v>
      </c>
      <c r="H123" s="93" t="s">
        <v>1077</v>
      </c>
      <c r="I123" s="97">
        <v>1992</v>
      </c>
      <c r="J123" s="93" t="s">
        <v>6275</v>
      </c>
      <c r="K123" s="93"/>
    </row>
    <row r="124" spans="1:11">
      <c r="A124" s="59" t="s">
        <v>806</v>
      </c>
      <c r="B124" s="60" t="s">
        <v>678</v>
      </c>
      <c r="C124" s="60" t="s">
        <v>428</v>
      </c>
      <c r="D124" s="63">
        <v>530000</v>
      </c>
      <c r="E124" s="61">
        <v>240.362811791383</v>
      </c>
      <c r="F124" s="62">
        <v>2205</v>
      </c>
      <c r="G124" s="60" t="s">
        <v>26</v>
      </c>
      <c r="H124" s="60" t="s">
        <v>6364</v>
      </c>
      <c r="I124" s="91">
        <v>1983</v>
      </c>
      <c r="J124" s="60" t="s">
        <v>6275</v>
      </c>
      <c r="K124" s="60"/>
    </row>
    <row r="125" spans="1:11">
      <c r="A125" s="92" t="s">
        <v>239</v>
      </c>
      <c r="B125" s="93" t="s">
        <v>33</v>
      </c>
      <c r="C125" s="93" t="s">
        <v>90</v>
      </c>
      <c r="D125" s="94">
        <v>7600000</v>
      </c>
      <c r="E125" s="95">
        <v>246.90555862382601</v>
      </c>
      <c r="F125" s="96">
        <v>30781</v>
      </c>
      <c r="G125" s="93" t="s">
        <v>1519</v>
      </c>
      <c r="H125" s="93" t="s">
        <v>243</v>
      </c>
      <c r="I125" s="97">
        <v>2000</v>
      </c>
      <c r="J125" s="93" t="s">
        <v>6276</v>
      </c>
      <c r="K125" s="93"/>
    </row>
    <row r="126" spans="1:11">
      <c r="A126" s="59" t="s">
        <v>348</v>
      </c>
      <c r="B126" s="60" t="s">
        <v>33</v>
      </c>
      <c r="C126" s="60" t="s">
        <v>336</v>
      </c>
      <c r="D126" s="63">
        <v>3499900</v>
      </c>
      <c r="E126" s="61">
        <v>251.91823220326799</v>
      </c>
      <c r="F126" s="62">
        <v>13893</v>
      </c>
      <c r="G126" s="60" t="s">
        <v>1519</v>
      </c>
      <c r="H126" s="60" t="s">
        <v>352</v>
      </c>
      <c r="I126" s="91">
        <v>2011</v>
      </c>
      <c r="J126" s="60" t="s">
        <v>6277</v>
      </c>
      <c r="K126" s="60"/>
    </row>
    <row r="127" spans="1:11">
      <c r="A127" s="92" t="s">
        <v>912</v>
      </c>
      <c r="B127" s="93" t="s">
        <v>20</v>
      </c>
      <c r="C127" s="93" t="s">
        <v>215</v>
      </c>
      <c r="D127" s="94">
        <v>840000</v>
      </c>
      <c r="E127" s="95">
        <v>252.328026434365</v>
      </c>
      <c r="F127" s="96">
        <v>3329</v>
      </c>
      <c r="G127" s="93" t="s">
        <v>26</v>
      </c>
      <c r="H127" s="93" t="s">
        <v>6368</v>
      </c>
      <c r="I127" s="97">
        <v>2005</v>
      </c>
      <c r="J127" s="93" t="s">
        <v>6276</v>
      </c>
      <c r="K127" s="93"/>
    </row>
    <row r="128" spans="1:11">
      <c r="A128" s="92" t="s">
        <v>1114</v>
      </c>
      <c r="B128" s="93" t="s">
        <v>184</v>
      </c>
      <c r="C128" s="93" t="s">
        <v>90</v>
      </c>
      <c r="D128" s="94">
        <v>5272900</v>
      </c>
      <c r="E128" s="95">
        <v>263.64499999999998</v>
      </c>
      <c r="F128" s="96">
        <v>20000</v>
      </c>
      <c r="G128" s="93" t="s">
        <v>1519</v>
      </c>
      <c r="H128" s="93" t="s">
        <v>26</v>
      </c>
      <c r="I128" s="97">
        <v>1979</v>
      </c>
      <c r="J128" s="93" t="s">
        <v>6275</v>
      </c>
      <c r="K128" s="93"/>
    </row>
    <row r="129" spans="1:11">
      <c r="A129" s="92" t="s">
        <v>1084</v>
      </c>
      <c r="B129" s="93" t="s">
        <v>184</v>
      </c>
      <c r="C129" s="93" t="s">
        <v>231</v>
      </c>
      <c r="D129" s="94">
        <v>1100000</v>
      </c>
      <c r="E129" s="95">
        <v>269.60784313725497</v>
      </c>
      <c r="F129" s="96">
        <v>4080</v>
      </c>
      <c r="G129" s="93" t="s">
        <v>26</v>
      </c>
      <c r="H129" s="93" t="s">
        <v>1087</v>
      </c>
      <c r="I129" s="97">
        <v>2009</v>
      </c>
      <c r="J129" s="93" t="s">
        <v>6276</v>
      </c>
      <c r="K129" s="93"/>
    </row>
    <row r="130" spans="1:11">
      <c r="A130" s="59" t="s">
        <v>924</v>
      </c>
      <c r="B130" s="60" t="s">
        <v>20</v>
      </c>
      <c r="C130" s="60" t="s">
        <v>925</v>
      </c>
      <c r="D130" s="63">
        <v>610000</v>
      </c>
      <c r="E130" s="61">
        <v>271.35231316725998</v>
      </c>
      <c r="F130" s="62">
        <v>2248</v>
      </c>
      <c r="G130" s="60" t="s">
        <v>26</v>
      </c>
      <c r="H130" s="60" t="s">
        <v>928</v>
      </c>
      <c r="I130" s="91">
        <v>2005</v>
      </c>
      <c r="J130" s="60" t="s">
        <v>6276</v>
      </c>
      <c r="K130" s="60"/>
    </row>
    <row r="131" spans="1:11">
      <c r="A131" s="92" t="s">
        <v>1175</v>
      </c>
      <c r="B131" s="93" t="s">
        <v>184</v>
      </c>
      <c r="C131" s="93" t="s">
        <v>428</v>
      </c>
      <c r="D131" s="94">
        <v>3060000</v>
      </c>
      <c r="E131" s="95">
        <v>278.71390837052598</v>
      </c>
      <c r="F131" s="96">
        <v>10979</v>
      </c>
      <c r="G131" s="93" t="s">
        <v>6212</v>
      </c>
      <c r="H131" s="93" t="s">
        <v>6377</v>
      </c>
      <c r="I131" s="97">
        <v>2023</v>
      </c>
      <c r="J131" s="93" t="s">
        <v>6277</v>
      </c>
      <c r="K131" s="93"/>
    </row>
    <row r="132" spans="1:11">
      <c r="A132" s="59" t="s">
        <v>1516</v>
      </c>
      <c r="B132" s="60" t="s">
        <v>33</v>
      </c>
      <c r="C132" s="60" t="s">
        <v>1490</v>
      </c>
      <c r="D132" s="63">
        <v>4918100</v>
      </c>
      <c r="E132" s="61">
        <v>281.58135806710197</v>
      </c>
      <c r="F132" s="62">
        <v>17466</v>
      </c>
      <c r="G132" s="60" t="s">
        <v>1519</v>
      </c>
      <c r="H132" s="60" t="s">
        <v>6378</v>
      </c>
      <c r="I132" s="91">
        <v>2001</v>
      </c>
      <c r="J132" s="60" t="s">
        <v>6276</v>
      </c>
      <c r="K132" s="60"/>
    </row>
    <row r="133" spans="1:11">
      <c r="A133" s="92" t="s">
        <v>931</v>
      </c>
      <c r="B133" s="93" t="s">
        <v>20</v>
      </c>
      <c r="C133" s="93" t="s">
        <v>223</v>
      </c>
      <c r="D133" s="94">
        <v>665000</v>
      </c>
      <c r="E133" s="95">
        <v>295.81850533807801</v>
      </c>
      <c r="F133" s="96">
        <v>2248</v>
      </c>
      <c r="G133" s="93" t="s">
        <v>26</v>
      </c>
      <c r="H133" s="93" t="s">
        <v>934</v>
      </c>
      <c r="I133" s="97">
        <v>2005</v>
      </c>
      <c r="J133" s="93" t="s">
        <v>6276</v>
      </c>
      <c r="K133" s="93"/>
    </row>
    <row r="134" spans="1:11">
      <c r="A134" s="92" t="s">
        <v>617</v>
      </c>
      <c r="B134" s="93" t="s">
        <v>33</v>
      </c>
      <c r="C134" s="93" t="s">
        <v>336</v>
      </c>
      <c r="D134" s="94">
        <v>1200000</v>
      </c>
      <c r="E134" s="95">
        <v>309.03940252382199</v>
      </c>
      <c r="F134" s="96">
        <v>3883</v>
      </c>
      <c r="G134" s="93" t="s">
        <v>26</v>
      </c>
      <c r="H134" s="93" t="s">
        <v>6371</v>
      </c>
      <c r="I134" s="97">
        <v>1968</v>
      </c>
      <c r="J134" s="93" t="s">
        <v>6275</v>
      </c>
      <c r="K134" s="93"/>
    </row>
    <row r="135" spans="1:11">
      <c r="A135" s="59" t="s">
        <v>466</v>
      </c>
      <c r="B135" s="60" t="s">
        <v>33</v>
      </c>
      <c r="C135" s="60" t="s">
        <v>336</v>
      </c>
      <c r="D135" s="63">
        <v>1575000</v>
      </c>
      <c r="E135" s="61">
        <v>325.14450867052</v>
      </c>
      <c r="F135" s="62">
        <v>4844</v>
      </c>
      <c r="G135" s="60" t="s">
        <v>26</v>
      </c>
      <c r="H135" s="60" t="s">
        <v>6372</v>
      </c>
      <c r="I135" s="91">
        <v>1980</v>
      </c>
      <c r="J135" s="60" t="s">
        <v>6275</v>
      </c>
      <c r="K135" s="60"/>
    </row>
    <row r="136" spans="1:11">
      <c r="A136" s="92" t="s">
        <v>785</v>
      </c>
      <c r="B136" s="93" t="s">
        <v>678</v>
      </c>
      <c r="C136" s="93" t="s">
        <v>64</v>
      </c>
      <c r="D136" s="94">
        <v>1570000</v>
      </c>
      <c r="E136" s="95">
        <v>332.69760542487802</v>
      </c>
      <c r="F136" s="96">
        <v>4719</v>
      </c>
      <c r="G136" s="93" t="s">
        <v>26</v>
      </c>
      <c r="H136" s="93" t="s">
        <v>788</v>
      </c>
      <c r="I136" s="97">
        <v>1989</v>
      </c>
      <c r="J136" s="93" t="s">
        <v>6275</v>
      </c>
      <c r="K136" s="93"/>
    </row>
    <row r="137" spans="1:11">
      <c r="A137" s="59" t="s">
        <v>1381</v>
      </c>
      <c r="B137" s="60" t="s">
        <v>20</v>
      </c>
      <c r="C137" s="60" t="s">
        <v>428</v>
      </c>
      <c r="D137" s="63">
        <v>1200000</v>
      </c>
      <c r="E137" s="61">
        <v>342.95513003715303</v>
      </c>
      <c r="F137" s="62">
        <v>3499</v>
      </c>
      <c r="G137" s="60" t="s">
        <v>26</v>
      </c>
      <c r="H137" s="60" t="s">
        <v>1384</v>
      </c>
      <c r="I137" s="91">
        <v>2000</v>
      </c>
      <c r="J137" s="60" t="s">
        <v>6276</v>
      </c>
      <c r="K137" s="60"/>
    </row>
    <row r="138" spans="1:11">
      <c r="A138" s="59" t="s">
        <v>246</v>
      </c>
      <c r="B138" s="60" t="s">
        <v>33</v>
      </c>
      <c r="C138" s="60" t="s">
        <v>215</v>
      </c>
      <c r="D138" s="63">
        <v>1725000</v>
      </c>
      <c r="E138" s="61">
        <v>347.78225806451599</v>
      </c>
      <c r="F138" s="62">
        <v>4960</v>
      </c>
      <c r="G138" s="60" t="s">
        <v>26</v>
      </c>
      <c r="H138" s="60" t="s">
        <v>249</v>
      </c>
      <c r="I138" s="91">
        <v>2020</v>
      </c>
      <c r="J138" s="60" t="s">
        <v>6277</v>
      </c>
      <c r="K138" s="60"/>
    </row>
    <row r="139" spans="1:11">
      <c r="A139" s="92" t="s">
        <v>1510</v>
      </c>
      <c r="B139" s="93" t="s">
        <v>20</v>
      </c>
      <c r="C139" s="93" t="s">
        <v>177</v>
      </c>
      <c r="D139" s="94">
        <v>2305000</v>
      </c>
      <c r="E139" s="95">
        <v>377.25040916530298</v>
      </c>
      <c r="F139" s="96">
        <v>6110</v>
      </c>
      <c r="G139" s="93" t="s">
        <v>26</v>
      </c>
      <c r="H139" s="93" t="s">
        <v>1513</v>
      </c>
      <c r="I139" s="97">
        <v>1999</v>
      </c>
      <c r="J139" s="93" t="s">
        <v>6276</v>
      </c>
      <c r="K139" s="93"/>
    </row>
    <row r="140" spans="1:11">
      <c r="A140" s="92" t="s">
        <v>1590</v>
      </c>
      <c r="B140" s="93" t="s">
        <v>33</v>
      </c>
      <c r="C140" s="93" t="s">
        <v>428</v>
      </c>
      <c r="D140" s="94">
        <v>15500000</v>
      </c>
      <c r="E140" s="95">
        <v>386.99690402476801</v>
      </c>
      <c r="F140" s="96">
        <v>40052</v>
      </c>
      <c r="G140" s="93" t="s">
        <v>1519</v>
      </c>
      <c r="H140" s="93" t="s">
        <v>1593</v>
      </c>
      <c r="I140" s="97">
        <v>1988</v>
      </c>
      <c r="J140" s="93" t="s">
        <v>6275</v>
      </c>
      <c r="K140" s="93"/>
    </row>
    <row r="141" spans="1:11">
      <c r="A141" s="92" t="s">
        <v>1428</v>
      </c>
      <c r="B141" s="93" t="s">
        <v>33</v>
      </c>
      <c r="C141" s="93" t="s">
        <v>428</v>
      </c>
      <c r="D141" s="94">
        <v>2900000</v>
      </c>
      <c r="E141" s="95">
        <v>402.163361530994</v>
      </c>
      <c r="F141" s="96">
        <v>7211</v>
      </c>
      <c r="G141" s="93" t="s">
        <v>26</v>
      </c>
      <c r="H141" s="93" t="s">
        <v>1432</v>
      </c>
      <c r="I141" s="97">
        <v>1952</v>
      </c>
      <c r="J141" s="93" t="s">
        <v>6275</v>
      </c>
      <c r="K141" s="93"/>
    </row>
    <row r="142" spans="1:11">
      <c r="A142" s="92" t="s">
        <v>523</v>
      </c>
      <c r="B142" s="93" t="s">
        <v>33</v>
      </c>
      <c r="C142" s="93" t="s">
        <v>428</v>
      </c>
      <c r="D142" s="94">
        <v>5000000</v>
      </c>
      <c r="E142" s="95">
        <v>405.284915295453</v>
      </c>
      <c r="F142" s="96">
        <v>12337</v>
      </c>
      <c r="G142" s="93" t="s">
        <v>6212</v>
      </c>
      <c r="H142" s="93" t="s">
        <v>6379</v>
      </c>
      <c r="I142" s="97">
        <v>2005</v>
      </c>
      <c r="J142" s="93" t="s">
        <v>6276</v>
      </c>
      <c r="K142" s="93"/>
    </row>
    <row r="143" spans="1:11">
      <c r="A143" s="59" t="s">
        <v>597</v>
      </c>
      <c r="B143" s="60" t="s">
        <v>33</v>
      </c>
      <c r="C143" s="60" t="s">
        <v>90</v>
      </c>
      <c r="D143" s="63">
        <v>1150000</v>
      </c>
      <c r="E143" s="61">
        <v>407.36804817569998</v>
      </c>
      <c r="F143" s="62">
        <v>2823</v>
      </c>
      <c r="G143" s="60" t="s">
        <v>26</v>
      </c>
      <c r="H143" s="60" t="s">
        <v>6370</v>
      </c>
      <c r="I143" s="91">
        <v>1959</v>
      </c>
      <c r="J143" s="60" t="s">
        <v>6275</v>
      </c>
      <c r="K143" s="60"/>
    </row>
    <row r="144" spans="1:11">
      <c r="A144" s="59" t="s">
        <v>222</v>
      </c>
      <c r="B144" s="60" t="s">
        <v>33</v>
      </c>
      <c r="C144" s="60" t="s">
        <v>223</v>
      </c>
      <c r="D144" s="63">
        <v>1365500</v>
      </c>
      <c r="E144" s="61">
        <v>410.30649038461502</v>
      </c>
      <c r="F144" s="62">
        <v>3328</v>
      </c>
      <c r="G144" s="60" t="s">
        <v>26</v>
      </c>
      <c r="H144" s="60" t="s">
        <v>227</v>
      </c>
      <c r="I144" s="91">
        <v>1998</v>
      </c>
      <c r="J144" s="60" t="s">
        <v>6276</v>
      </c>
      <c r="K144" s="60"/>
    </row>
    <row r="145" spans="1:13">
      <c r="A145" s="92" t="s">
        <v>853</v>
      </c>
      <c r="B145" s="93" t="s">
        <v>678</v>
      </c>
      <c r="C145" s="93" t="s">
        <v>336</v>
      </c>
      <c r="D145" s="94">
        <v>3552600</v>
      </c>
      <c r="E145" s="95">
        <v>466.95583596214499</v>
      </c>
      <c r="F145" s="96">
        <v>7608</v>
      </c>
      <c r="G145" s="93" t="s">
        <v>6212</v>
      </c>
      <c r="H145" s="93" t="s">
        <v>6515</v>
      </c>
      <c r="I145" s="97">
        <v>2020</v>
      </c>
      <c r="J145" s="93" t="s">
        <v>6277</v>
      </c>
      <c r="K145" s="93"/>
      <c r="L145" s="93" t="s">
        <v>6512</v>
      </c>
    </row>
    <row r="146" spans="1:13">
      <c r="A146" s="92" t="s">
        <v>559</v>
      </c>
      <c r="B146" s="93" t="s">
        <v>33</v>
      </c>
      <c r="C146" s="93" t="s">
        <v>64</v>
      </c>
      <c r="D146" s="94">
        <v>10221900</v>
      </c>
      <c r="E146" s="95">
        <v>651.90688775510205</v>
      </c>
      <c r="F146" s="96">
        <v>15680</v>
      </c>
      <c r="G146" s="93" t="s">
        <v>6212</v>
      </c>
      <c r="H146" s="93" t="s">
        <v>6203</v>
      </c>
      <c r="I146" s="97">
        <v>1958</v>
      </c>
      <c r="J146" s="93" t="s">
        <v>6275</v>
      </c>
      <c r="K146" s="93"/>
      <c r="L146" s="93" t="s">
        <v>6514</v>
      </c>
    </row>
    <row r="147" spans="1:13">
      <c r="A147" s="59" t="s">
        <v>906</v>
      </c>
      <c r="B147" s="60" t="s">
        <v>20</v>
      </c>
      <c r="C147" s="60" t="s">
        <v>207</v>
      </c>
      <c r="D147" s="63">
        <v>2853400</v>
      </c>
      <c r="E147" s="61">
        <v>686.73886883273201</v>
      </c>
      <c r="F147" s="62">
        <v>4155</v>
      </c>
      <c r="G147" s="60" t="s">
        <v>26</v>
      </c>
      <c r="H147" s="60" t="s">
        <v>6375</v>
      </c>
      <c r="I147" s="91">
        <v>2020</v>
      </c>
      <c r="J147" s="60" t="s">
        <v>6277</v>
      </c>
      <c r="K147" s="60" t="s">
        <v>6318</v>
      </c>
      <c r="L147" s="60" t="s">
        <v>6512</v>
      </c>
      <c r="M147" s="359" t="s">
        <v>6553</v>
      </c>
    </row>
    <row r="148" spans="1:13">
      <c r="A148" s="271" t="s">
        <v>6551</v>
      </c>
      <c r="B148" s="268" t="s">
        <v>33</v>
      </c>
      <c r="C148" s="268" t="s">
        <v>223</v>
      </c>
      <c r="D148" s="78">
        <v>15500000</v>
      </c>
      <c r="E148" s="79">
        <v>1500.33878617752</v>
      </c>
      <c r="F148" s="77">
        <v>10331</v>
      </c>
      <c r="G148" s="268" t="s">
        <v>6212</v>
      </c>
      <c r="H148" s="268" t="s">
        <v>6381</v>
      </c>
      <c r="I148" s="269">
        <v>2024</v>
      </c>
      <c r="J148" s="268" t="s">
        <v>6277</v>
      </c>
      <c r="K148" s="268" t="s">
        <v>6318</v>
      </c>
      <c r="L148" s="60" t="s">
        <v>6513</v>
      </c>
      <c r="M148" s="360" t="s">
        <v>6552</v>
      </c>
    </row>
    <row r="149" spans="1:13">
      <c r="A149" s="59"/>
      <c r="B149" s="59"/>
      <c r="C149" s="59"/>
      <c r="D149" s="59"/>
      <c r="E149" s="59"/>
      <c r="F149" s="59"/>
      <c r="G149" s="59"/>
      <c r="H149" s="59"/>
      <c r="I149" s="59"/>
      <c r="J149" s="59"/>
      <c r="K149" s="59"/>
    </row>
    <row r="150" spans="1:13">
      <c r="A150" s="71" t="s">
        <v>6282</v>
      </c>
      <c r="B150" s="59"/>
      <c r="C150" s="59"/>
      <c r="D150" s="59"/>
      <c r="E150" s="59"/>
      <c r="F150" s="59"/>
      <c r="G150" s="59"/>
      <c r="H150" s="59"/>
      <c r="I150" s="59"/>
      <c r="J150" s="59"/>
      <c r="K150" s="59"/>
    </row>
    <row r="151" spans="1:13">
      <c r="A151" s="103" t="s">
        <v>6283</v>
      </c>
      <c r="B151" s="59"/>
      <c r="C151" s="59"/>
      <c r="D151" s="59"/>
      <c r="E151" s="59"/>
      <c r="F151" s="59"/>
      <c r="G151" s="59"/>
      <c r="H151" s="59"/>
      <c r="I151" s="59"/>
      <c r="J151" s="59"/>
      <c r="K151" s="59"/>
    </row>
    <row r="152" spans="1:13">
      <c r="A152" s="212" t="s">
        <v>6302</v>
      </c>
      <c r="B152" s="59"/>
      <c r="C152" s="59"/>
      <c r="D152" s="59"/>
      <c r="E152" s="59"/>
      <c r="F152" s="59"/>
      <c r="G152" s="59"/>
      <c r="H152" s="59"/>
      <c r="I152" s="59"/>
      <c r="J152" s="59"/>
      <c r="K152" s="59"/>
    </row>
    <row r="153" spans="1:13">
      <c r="A153" s="105" t="s">
        <v>6284</v>
      </c>
      <c r="B153" s="59"/>
      <c r="C153" s="59"/>
      <c r="D153" s="59"/>
      <c r="E153" s="59"/>
      <c r="F153" s="59"/>
      <c r="G153" s="59"/>
      <c r="H153" s="59"/>
      <c r="I153" s="59"/>
      <c r="J153" s="59"/>
      <c r="K153" s="59"/>
    </row>
    <row r="154" spans="1:13">
      <c r="A154" s="59"/>
      <c r="B154" s="59"/>
      <c r="C154" s="59"/>
      <c r="D154" s="59"/>
      <c r="E154" s="59"/>
      <c r="F154" s="59"/>
      <c r="G154" s="59"/>
      <c r="H154" s="59"/>
      <c r="I154" s="59"/>
      <c r="J154" s="59"/>
      <c r="K154" s="59"/>
    </row>
    <row r="155" spans="1:13">
      <c r="A155" s="59"/>
      <c r="B155" s="59"/>
      <c r="C155" s="59"/>
      <c r="D155" s="59"/>
      <c r="E155" s="59"/>
      <c r="F155" s="59"/>
      <c r="G155" s="59"/>
      <c r="H155" s="59"/>
      <c r="I155" s="59"/>
      <c r="J155" s="59"/>
      <c r="K155" s="59"/>
    </row>
    <row r="156" spans="1:13">
      <c r="A156" s="59"/>
      <c r="B156" s="59"/>
      <c r="C156" s="59"/>
      <c r="D156" s="59"/>
      <c r="E156" s="59"/>
      <c r="F156" s="59"/>
      <c r="G156" s="59"/>
      <c r="H156" s="59"/>
      <c r="I156" s="59"/>
      <c r="J156" s="59"/>
      <c r="K156" s="59"/>
    </row>
    <row r="157" spans="1:13">
      <c r="A157" s="59"/>
      <c r="B157" s="59"/>
      <c r="C157" s="59"/>
      <c r="D157" s="59"/>
      <c r="E157" s="59"/>
      <c r="F157" s="59"/>
      <c r="G157" s="59"/>
      <c r="H157" s="59"/>
      <c r="I157" s="59"/>
      <c r="J157" s="59"/>
      <c r="K157" s="59"/>
    </row>
    <row r="158" spans="1:13">
      <c r="A158" s="59"/>
      <c r="B158" s="59"/>
      <c r="C158" s="59"/>
      <c r="D158" s="59"/>
      <c r="E158" s="59"/>
      <c r="F158" s="59"/>
      <c r="G158" s="59"/>
      <c r="H158" s="59"/>
      <c r="I158" s="59"/>
      <c r="J158" s="59"/>
      <c r="K158" s="59"/>
    </row>
    <row r="159" spans="1:13">
      <c r="A159" s="59"/>
      <c r="B159" s="59"/>
      <c r="C159" s="59"/>
      <c r="D159" s="59"/>
      <c r="E159" s="59"/>
      <c r="F159" s="59"/>
      <c r="G159" s="59"/>
      <c r="H159" s="59"/>
      <c r="I159" s="59"/>
      <c r="J159" s="59"/>
      <c r="K159" s="59"/>
    </row>
    <row r="160" spans="1:13">
      <c r="A160" s="59"/>
      <c r="B160" s="59"/>
      <c r="C160" s="59"/>
      <c r="D160" s="59"/>
      <c r="E160" s="59"/>
      <c r="F160" s="59"/>
      <c r="G160" s="59"/>
      <c r="H160" s="59"/>
      <c r="I160" s="59"/>
      <c r="J160" s="59"/>
      <c r="K160" s="59"/>
    </row>
    <row r="161" spans="1:11">
      <c r="A161" s="59"/>
      <c r="B161" s="59"/>
      <c r="C161" s="59"/>
      <c r="D161" s="59"/>
      <c r="E161" s="59"/>
      <c r="F161" s="59"/>
      <c r="G161" s="59"/>
      <c r="H161" s="59"/>
      <c r="I161" s="59"/>
      <c r="J161" s="59"/>
      <c r="K161" s="59"/>
    </row>
    <row r="162" spans="1:11">
      <c r="A162" s="59"/>
      <c r="B162" s="59"/>
      <c r="C162" s="59"/>
      <c r="D162" s="59"/>
      <c r="E162" s="59"/>
      <c r="F162" s="59"/>
      <c r="G162" s="59"/>
      <c r="H162" s="59"/>
      <c r="I162" s="59"/>
      <c r="J162" s="59"/>
      <c r="K162" s="59"/>
    </row>
    <row r="163" spans="1:11">
      <c r="A163" s="59"/>
      <c r="B163" s="59"/>
      <c r="C163" s="59"/>
      <c r="D163" s="59"/>
      <c r="E163" s="59"/>
      <c r="F163" s="59"/>
      <c r="G163" s="59"/>
      <c r="H163" s="59"/>
      <c r="I163" s="59"/>
      <c r="J163" s="59"/>
      <c r="K163" s="59"/>
    </row>
    <row r="164" spans="1:11">
      <c r="A164" s="59"/>
      <c r="B164" s="59"/>
      <c r="C164" s="59"/>
      <c r="D164" s="59"/>
      <c r="E164" s="59"/>
      <c r="F164" s="59"/>
      <c r="G164" s="59"/>
      <c r="H164" s="59"/>
      <c r="I164" s="59"/>
      <c r="J164" s="59"/>
      <c r="K164" s="59"/>
    </row>
    <row r="165" spans="1:11">
      <c r="A165" s="59"/>
      <c r="B165" s="59"/>
      <c r="C165" s="59"/>
      <c r="D165" s="59"/>
      <c r="E165" s="59"/>
      <c r="F165" s="59"/>
      <c r="G165" s="59"/>
      <c r="H165" s="59"/>
      <c r="I165" s="59"/>
      <c r="J165" s="59"/>
      <c r="K165" s="59"/>
    </row>
    <row r="166" spans="1:11">
      <c r="A166" s="59"/>
      <c r="B166" s="59"/>
      <c r="C166" s="59"/>
      <c r="D166" s="59"/>
      <c r="E166" s="59"/>
      <c r="F166" s="59"/>
      <c r="G166" s="59"/>
      <c r="H166" s="59"/>
      <c r="I166" s="59"/>
      <c r="J166" s="59"/>
      <c r="K166" s="59"/>
    </row>
    <row r="167" spans="1:11">
      <c r="A167" s="59"/>
      <c r="B167" s="59"/>
      <c r="C167" s="59"/>
      <c r="D167" s="59"/>
      <c r="E167" s="59"/>
      <c r="F167" s="59"/>
      <c r="G167" s="59"/>
      <c r="H167" s="59"/>
      <c r="I167" s="59"/>
      <c r="J167" s="59"/>
      <c r="K167" s="59"/>
    </row>
    <row r="168" spans="1:11">
      <c r="A168" s="59"/>
      <c r="B168" s="59"/>
      <c r="C168" s="59"/>
      <c r="D168" s="59"/>
      <c r="E168" s="59"/>
      <c r="F168" s="59"/>
      <c r="G168" s="59"/>
      <c r="H168" s="59"/>
      <c r="I168" s="59"/>
      <c r="J168" s="59"/>
      <c r="K168" s="59"/>
    </row>
    <row r="169" spans="1:11">
      <c r="A169" s="59"/>
      <c r="B169" s="59"/>
      <c r="C169" s="59"/>
      <c r="D169" s="59"/>
      <c r="E169" s="59"/>
      <c r="F169" s="59"/>
      <c r="G169" s="59"/>
      <c r="H169" s="59"/>
      <c r="I169" s="59"/>
      <c r="J169" s="59"/>
      <c r="K169" s="59"/>
    </row>
    <row r="170" spans="1:11">
      <c r="A170" s="59"/>
      <c r="B170" s="59"/>
      <c r="C170" s="59"/>
      <c r="D170" s="59"/>
      <c r="E170" s="59"/>
      <c r="F170" s="59"/>
      <c r="G170" s="59"/>
      <c r="H170" s="59"/>
      <c r="I170" s="59"/>
      <c r="J170" s="59"/>
      <c r="K170" s="59"/>
    </row>
    <row r="171" spans="1:11">
      <c r="A171" s="59"/>
      <c r="B171" s="59"/>
      <c r="C171" s="59"/>
      <c r="D171" s="59"/>
      <c r="E171" s="59"/>
      <c r="F171" s="59"/>
      <c r="G171" s="59"/>
      <c r="H171" s="59"/>
      <c r="I171" s="59"/>
      <c r="J171" s="59"/>
      <c r="K171" s="59"/>
    </row>
    <row r="172" spans="1:11">
      <c r="A172" s="59"/>
      <c r="B172" s="59"/>
      <c r="C172" s="59"/>
      <c r="D172" s="59"/>
      <c r="E172" s="59"/>
      <c r="F172" s="59"/>
      <c r="G172" s="59"/>
      <c r="H172" s="59"/>
      <c r="I172" s="59"/>
      <c r="J172" s="59"/>
      <c r="K172" s="59"/>
    </row>
    <row r="173" spans="1:11">
      <c r="A173" s="59"/>
      <c r="B173" s="59"/>
      <c r="C173" s="59"/>
      <c r="D173" s="59"/>
      <c r="E173" s="59"/>
      <c r="F173" s="59"/>
      <c r="G173" s="59"/>
      <c r="H173" s="59"/>
      <c r="I173" s="59"/>
      <c r="J173" s="59"/>
      <c r="K173" s="59"/>
    </row>
    <row r="174" spans="1:11">
      <c r="A174" s="59"/>
      <c r="B174" s="59"/>
      <c r="C174" s="59"/>
      <c r="D174" s="59"/>
      <c r="E174" s="59"/>
      <c r="F174" s="59"/>
      <c r="G174" s="59"/>
      <c r="H174" s="59"/>
      <c r="I174" s="59"/>
      <c r="J174" s="59"/>
      <c r="K174" s="59"/>
    </row>
    <row r="175" spans="1:11">
      <c r="A175" s="59"/>
      <c r="B175" s="59"/>
      <c r="C175" s="59"/>
      <c r="D175" s="59"/>
      <c r="E175" s="59"/>
      <c r="F175" s="59"/>
      <c r="G175" s="59"/>
      <c r="H175" s="59"/>
      <c r="I175" s="59"/>
      <c r="J175" s="59"/>
      <c r="K175" s="59"/>
    </row>
    <row r="176" spans="1:11">
      <c r="A176" s="59"/>
      <c r="B176" s="59"/>
      <c r="C176" s="59"/>
      <c r="D176" s="59"/>
      <c r="E176" s="59"/>
      <c r="F176" s="59"/>
      <c r="G176" s="59"/>
      <c r="H176" s="59"/>
      <c r="I176" s="59"/>
      <c r="J176" s="59"/>
      <c r="K176" s="59"/>
    </row>
    <row r="177" spans="1:11">
      <c r="A177" s="59"/>
      <c r="B177" s="59"/>
      <c r="C177" s="59"/>
      <c r="D177" s="59"/>
      <c r="E177" s="59"/>
      <c r="F177" s="59"/>
      <c r="G177" s="59"/>
      <c r="H177" s="59"/>
      <c r="I177" s="59"/>
      <c r="J177" s="59"/>
      <c r="K177" s="59"/>
    </row>
    <row r="178" spans="1:11">
      <c r="A178" s="59"/>
      <c r="B178" s="59"/>
      <c r="C178" s="59"/>
      <c r="D178" s="59"/>
      <c r="E178" s="59"/>
      <c r="F178" s="59"/>
      <c r="G178" s="59"/>
      <c r="H178" s="59"/>
      <c r="I178" s="59"/>
      <c r="J178" s="59"/>
      <c r="K178" s="59"/>
    </row>
    <row r="179" spans="1:11">
      <c r="A179" s="59"/>
      <c r="B179" s="59"/>
      <c r="C179" s="59"/>
      <c r="D179" s="59"/>
      <c r="E179" s="59"/>
      <c r="F179" s="59"/>
      <c r="G179" s="59"/>
      <c r="H179" s="59"/>
      <c r="I179" s="59"/>
      <c r="J179" s="59"/>
      <c r="K179" s="59"/>
    </row>
    <row r="180" spans="1:11">
      <c r="A180" s="59"/>
      <c r="B180" s="59"/>
      <c r="C180" s="59"/>
      <c r="D180" s="59"/>
      <c r="E180" s="59"/>
      <c r="F180" s="59"/>
      <c r="G180" s="59"/>
      <c r="H180" s="59"/>
      <c r="I180" s="59"/>
      <c r="J180" s="59"/>
      <c r="K180" s="59"/>
    </row>
    <row r="181" spans="1:11">
      <c r="A181" s="59"/>
      <c r="B181" s="59"/>
      <c r="C181" s="59"/>
      <c r="D181" s="59"/>
      <c r="E181" s="59"/>
      <c r="F181" s="59"/>
      <c r="G181" s="59"/>
      <c r="H181" s="59"/>
      <c r="I181" s="59"/>
      <c r="J181" s="59"/>
      <c r="K181" s="59"/>
    </row>
    <row r="182" spans="1:11">
      <c r="A182" s="59"/>
      <c r="B182" s="59"/>
      <c r="C182" s="59"/>
      <c r="D182" s="59"/>
      <c r="E182" s="59"/>
      <c r="F182" s="59"/>
      <c r="G182" s="59"/>
      <c r="H182" s="59"/>
      <c r="I182" s="59"/>
      <c r="J182" s="59"/>
      <c r="K182" s="59"/>
    </row>
    <row r="183" spans="1:11">
      <c r="A183" s="59"/>
      <c r="B183" s="59"/>
      <c r="C183" s="59"/>
      <c r="D183" s="59"/>
      <c r="E183" s="59"/>
      <c r="F183" s="59"/>
      <c r="G183" s="59"/>
      <c r="H183" s="59"/>
      <c r="I183" s="59"/>
      <c r="J183" s="59"/>
      <c r="K183" s="59"/>
    </row>
    <row r="184" spans="1:11">
      <c r="A184" s="59"/>
      <c r="B184" s="59"/>
      <c r="C184" s="59"/>
      <c r="D184" s="59"/>
      <c r="E184" s="59"/>
      <c r="F184" s="59"/>
      <c r="G184" s="59"/>
      <c r="H184" s="59"/>
      <c r="I184" s="59"/>
      <c r="J184" s="59"/>
      <c r="K184" s="59"/>
    </row>
    <row r="185" spans="1:11">
      <c r="A185" s="59"/>
      <c r="B185" s="59"/>
      <c r="C185" s="59"/>
      <c r="D185" s="59"/>
      <c r="E185" s="59"/>
      <c r="F185" s="59"/>
      <c r="G185" s="59"/>
      <c r="H185" s="59"/>
      <c r="I185" s="59"/>
      <c r="J185" s="59"/>
      <c r="K185" s="59"/>
    </row>
    <row r="186" spans="1:11">
      <c r="A186" s="59"/>
      <c r="B186" s="59"/>
      <c r="C186" s="59"/>
      <c r="D186" s="59"/>
      <c r="E186" s="59"/>
      <c r="F186" s="59"/>
      <c r="G186" s="59"/>
      <c r="H186" s="59"/>
      <c r="I186" s="59"/>
      <c r="J186" s="59"/>
      <c r="K186" s="59"/>
    </row>
    <row r="187" spans="1:11">
      <c r="A187" s="59"/>
      <c r="B187" s="59"/>
      <c r="C187" s="59"/>
      <c r="D187" s="59"/>
      <c r="E187" s="59"/>
      <c r="F187" s="59"/>
      <c r="G187" s="59"/>
      <c r="H187" s="59"/>
      <c r="I187" s="59"/>
      <c r="J187" s="59"/>
      <c r="K187" s="59"/>
    </row>
    <row r="188" spans="1:11">
      <c r="A188" s="59"/>
      <c r="B188" s="59"/>
      <c r="C188" s="59"/>
      <c r="D188" s="59"/>
      <c r="E188" s="59"/>
      <c r="F188" s="59"/>
      <c r="G188" s="59"/>
      <c r="H188" s="59"/>
      <c r="I188" s="59"/>
      <c r="J188" s="59"/>
      <c r="K188" s="59"/>
    </row>
    <row r="189" spans="1:11">
      <c r="A189" s="59"/>
      <c r="B189" s="59"/>
      <c r="C189" s="59"/>
      <c r="D189" s="59"/>
      <c r="E189" s="59"/>
      <c r="F189" s="59"/>
      <c r="G189" s="59"/>
      <c r="H189" s="59"/>
      <c r="I189" s="59"/>
      <c r="J189" s="59"/>
      <c r="K189" s="59"/>
    </row>
    <row r="190" spans="1:11">
      <c r="A190" s="59"/>
      <c r="B190" s="59"/>
      <c r="C190" s="59"/>
      <c r="D190" s="59"/>
      <c r="E190" s="59"/>
      <c r="F190" s="59"/>
      <c r="G190" s="59"/>
      <c r="H190" s="59"/>
      <c r="I190" s="59"/>
      <c r="J190" s="59"/>
      <c r="K190" s="59"/>
    </row>
    <row r="191" spans="1:11">
      <c r="A191" s="59"/>
      <c r="B191" s="59"/>
      <c r="C191" s="59"/>
      <c r="D191" s="59"/>
      <c r="E191" s="59"/>
      <c r="F191" s="59"/>
      <c r="G191" s="59"/>
      <c r="H191" s="59"/>
      <c r="I191" s="59"/>
      <c r="J191" s="59"/>
      <c r="K191" s="59"/>
    </row>
    <row r="192" spans="1:11">
      <c r="A192" s="59"/>
      <c r="B192" s="59"/>
      <c r="C192" s="59"/>
      <c r="D192" s="59"/>
      <c r="E192" s="59"/>
      <c r="F192" s="59"/>
      <c r="G192" s="59"/>
      <c r="H192" s="59"/>
      <c r="I192" s="59"/>
      <c r="J192" s="59"/>
      <c r="K192" s="59"/>
    </row>
    <row r="193" spans="1:11">
      <c r="A193" s="59"/>
      <c r="B193" s="59"/>
      <c r="C193" s="59"/>
      <c r="D193" s="59"/>
      <c r="E193" s="59"/>
      <c r="F193" s="59"/>
      <c r="G193" s="59"/>
      <c r="H193" s="59"/>
      <c r="I193" s="59"/>
      <c r="J193" s="59"/>
      <c r="K193" s="59"/>
    </row>
    <row r="194" spans="1:11">
      <c r="A194" s="59"/>
      <c r="B194" s="59"/>
      <c r="C194" s="59"/>
      <c r="D194" s="59"/>
      <c r="E194" s="59"/>
      <c r="F194" s="59"/>
      <c r="G194" s="59"/>
      <c r="H194" s="59"/>
      <c r="I194" s="59"/>
      <c r="J194" s="59"/>
      <c r="K194" s="59"/>
    </row>
    <row r="195" spans="1:11">
      <c r="A195" s="59"/>
      <c r="B195" s="59"/>
      <c r="C195" s="59"/>
      <c r="D195" s="59"/>
      <c r="E195" s="59"/>
      <c r="F195" s="59"/>
      <c r="G195" s="59"/>
      <c r="H195" s="59"/>
      <c r="I195" s="59"/>
      <c r="J195" s="59"/>
      <c r="K195" s="59"/>
    </row>
    <row r="196" spans="1:11">
      <c r="A196" s="59"/>
      <c r="B196" s="59"/>
      <c r="C196" s="59"/>
      <c r="D196" s="59"/>
      <c r="E196" s="59"/>
      <c r="F196" s="59"/>
      <c r="G196" s="59"/>
      <c r="H196" s="59"/>
      <c r="I196" s="59"/>
      <c r="J196" s="59"/>
      <c r="K196" s="59"/>
    </row>
    <row r="197" spans="1:11">
      <c r="A197" s="59"/>
      <c r="B197" s="59"/>
      <c r="C197" s="59"/>
      <c r="D197" s="59"/>
      <c r="E197" s="59"/>
      <c r="F197" s="59"/>
      <c r="G197" s="59"/>
      <c r="H197" s="59"/>
      <c r="I197" s="59"/>
      <c r="J197" s="59"/>
      <c r="K197" s="59"/>
    </row>
    <row r="198" spans="1:11">
      <c r="A198" s="59"/>
      <c r="B198" s="59"/>
      <c r="C198" s="59"/>
      <c r="D198" s="59"/>
      <c r="E198" s="59"/>
      <c r="F198" s="59"/>
      <c r="G198" s="59"/>
      <c r="H198" s="59"/>
      <c r="I198" s="59"/>
      <c r="J198" s="59"/>
      <c r="K198" s="59"/>
    </row>
    <row r="199" spans="1:11">
      <c r="A199" s="59"/>
      <c r="B199" s="59"/>
      <c r="C199" s="59"/>
      <c r="D199" s="59"/>
      <c r="E199" s="59"/>
      <c r="F199" s="59"/>
      <c r="G199" s="59"/>
      <c r="H199" s="59"/>
      <c r="I199" s="59"/>
      <c r="J199" s="59"/>
      <c r="K199" s="59"/>
    </row>
    <row r="200" spans="1:11">
      <c r="A200" s="59"/>
      <c r="B200" s="59"/>
      <c r="C200" s="59"/>
      <c r="D200" s="59"/>
      <c r="E200" s="59"/>
      <c r="F200" s="59"/>
      <c r="G200" s="59"/>
      <c r="H200" s="59"/>
      <c r="I200" s="59"/>
      <c r="J200" s="59"/>
      <c r="K200" s="59"/>
    </row>
  </sheetData>
  <autoFilter ref="A95:M95" xr:uid="{1E079143-08A1-2A4C-8911-5F21B309639F}">
    <sortState xmlns:xlrd2="http://schemas.microsoft.com/office/spreadsheetml/2017/richdata2" ref="A96:M148">
      <sortCondition ref="E95:E148"/>
    </sortState>
  </autoFilter>
  <conditionalFormatting sqref="A96:K148 M96:M98 M100 M147">
    <cfRule type="expression" dxfId="39" priority="11" stopIfTrue="1">
      <formula>$K96="Yes"</formula>
    </cfRule>
  </conditionalFormatting>
  <conditionalFormatting sqref="B13:B16">
    <cfRule type="dataBar" priority="7">
      <dataBar>
        <cfvo type="min"/>
        <cfvo type="max"/>
        <color rgb="FF4D93D9"/>
      </dataBar>
      <extLst>
        <ext xmlns:x14="http://schemas.microsoft.com/office/spreadsheetml/2009/9/main" uri="{B025F937-C7B1-47D3-B67F-A62EFF666E3E}">
          <x14:id>{A57D00C3-E58A-1442-8455-6C4CFEAA15FC}</x14:id>
        </ext>
      </extLst>
    </cfRule>
  </conditionalFormatting>
  <conditionalFormatting sqref="B38:B41">
    <cfRule type="dataBar" priority="8">
      <dataBar>
        <cfvo type="min"/>
        <cfvo type="max"/>
        <color rgb="FF4CAF50"/>
      </dataBar>
      <extLst>
        <ext xmlns:x14="http://schemas.microsoft.com/office/spreadsheetml/2009/9/main" uri="{B025F937-C7B1-47D3-B67F-A62EFF666E3E}">
          <x14:id>{81EBE31C-B13C-0C4D-83A1-72BC9AC251D3}</x14:id>
        </ext>
      </extLst>
    </cfRule>
  </conditionalFormatting>
  <conditionalFormatting sqref="D96:D148">
    <cfRule type="dataBar" priority="10">
      <dataBar>
        <cfvo type="min"/>
        <cfvo type="max"/>
        <color rgb="FF215C98"/>
      </dataBar>
      <extLst>
        <ext xmlns:x14="http://schemas.microsoft.com/office/spreadsheetml/2009/9/main" uri="{B025F937-C7B1-47D3-B67F-A62EFF666E3E}">
          <x14:id>{062FE691-1AD5-0445-AAF3-131FC0E61784}</x14:id>
        </ext>
      </extLst>
    </cfRule>
    <cfRule type="dataBar" priority="16">
      <dataBar>
        <cfvo type="min"/>
        <cfvo type="max"/>
        <color rgb="FF215C98"/>
      </dataBar>
      <extLst>
        <ext xmlns:x14="http://schemas.microsoft.com/office/spreadsheetml/2009/9/main" uri="{B025F937-C7B1-47D3-B67F-A62EFF666E3E}">
          <x14:id>{B668BFF1-02FA-614E-8C9B-EBFB9488F7AE}</x14:id>
        </ext>
      </extLst>
    </cfRule>
  </conditionalFormatting>
  <conditionalFormatting sqref="E13:E16">
    <cfRule type="colorScale" priority="6">
      <colorScale>
        <cfvo type="min"/>
        <cfvo type="percentile" val="50"/>
        <cfvo type="max"/>
        <color rgb="FF4CAF50"/>
        <color rgb="FFFFF9C4"/>
        <color rgb="FFE53935"/>
      </colorScale>
    </cfRule>
  </conditionalFormatting>
  <conditionalFormatting sqref="E96:E148">
    <cfRule type="colorScale" priority="9">
      <colorScale>
        <cfvo type="min"/>
        <cfvo type="percentile" val="50"/>
        <cfvo type="max"/>
        <color rgb="FFE8F5E9"/>
        <color rgb="FFFFF9C4"/>
        <color rgb="FFFFCDD2"/>
      </colorScale>
    </cfRule>
    <cfRule type="colorScale" priority="15">
      <colorScale>
        <cfvo type="min"/>
        <cfvo type="percentile" val="50"/>
        <cfvo type="max"/>
        <color rgb="FFE8F5E9"/>
        <color rgb="FFFFF9C4"/>
        <color rgb="FFFFCDD2"/>
      </colorScale>
    </cfRule>
  </conditionalFormatting>
  <conditionalFormatting sqref="G13:G16">
    <cfRule type="colorScale" priority="5">
      <colorScale>
        <cfvo type="min"/>
        <cfvo type="percentile" val="50"/>
        <cfvo type="max"/>
        <color rgb="FF4CAF50"/>
        <color rgb="FFFFF9C4"/>
        <color rgb="FFE53935"/>
      </colorScale>
    </cfRule>
  </conditionalFormatting>
  <conditionalFormatting sqref="M96:M98 A96:K148 M100 M147">
    <cfRule type="expression" dxfId="38" priority="12">
      <formula>AND($F96&lt;6000,$F96&gt;0,$K96&lt;&gt;"Yes")</formula>
    </cfRule>
    <cfRule type="expression" dxfId="37" priority="13">
      <formula>AND($F96&gt;=6000,$F96&lt;10000,$K96&lt;&gt;"Yes")</formula>
    </cfRule>
    <cfRule type="expression" dxfId="36" priority="14">
      <formula>AND($F96&gt;=10000,$K96&lt;&gt;"Yes")</formula>
    </cfRule>
  </conditionalFormatting>
  <conditionalFormatting sqref="M96:M98 L96:L100 A96:K148 M100 L145:L148 M147:M148">
    <cfRule type="expression" dxfId="35" priority="1">
      <formula>AND($F96&lt;6000,$F96&gt;0)</formula>
    </cfRule>
    <cfRule type="expression" dxfId="34" priority="2">
      <formula>AND($F96&gt;=6000,$F96&lt;10000)</formula>
    </cfRule>
    <cfRule type="expression" dxfId="33" priority="3">
      <formula>$F96&gt;=10000</formula>
    </cfRule>
    <cfRule type="expression" dxfId="32" priority="4">
      <formula>$K96="Yes"</formula>
    </cfRule>
  </conditionalFormatting>
  <hyperlinks>
    <hyperlink ref="M96" r:id="rId1" xr:uid="{178BB526-0AE6-2041-A53F-9A8F8F3A48D2}"/>
    <hyperlink ref="M98" r:id="rId2" xr:uid="{C3E7C665-050B-104A-8471-8289C49C5704}"/>
    <hyperlink ref="M99" r:id="rId3" xr:uid="{4FA0C336-AB3E-BF45-AF0E-B17C7F6BF0CF}"/>
    <hyperlink ref="M148" r:id="rId4" xr:uid="{44148BA9-EB4A-2C47-85DB-024A18EAD78C}"/>
    <hyperlink ref="M147" r:id="rId5" xr:uid="{E0C77491-2219-9540-8FD0-D0E6A24FBD2F}"/>
  </hyperlinks>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x14:cfRule type="dataBar" id="{A57D00C3-E58A-1442-8455-6C4CFEAA15FC}">
            <x14:dataBar minLength="0" maxLength="100" direction="leftToRight" negativeBarColorSameAsPositive="1" axisPosition="none">
              <x14:cfvo type="min"/>
              <x14:cfvo type="max"/>
            </x14:dataBar>
          </x14:cfRule>
          <xm:sqref>B13:B16</xm:sqref>
        </x14:conditionalFormatting>
        <x14:conditionalFormatting xmlns:xm="http://schemas.microsoft.com/office/excel/2006/main">
          <x14:cfRule type="dataBar" id="{81EBE31C-B13C-0C4D-83A1-72BC9AC251D3}">
            <x14:dataBar minLength="0" maxLength="100" direction="leftToRight" negativeBarColorSameAsPositive="1" axisPosition="none">
              <x14:cfvo type="min"/>
              <x14:cfvo type="max"/>
            </x14:dataBar>
          </x14:cfRule>
          <xm:sqref>B38:B41</xm:sqref>
        </x14:conditionalFormatting>
        <x14:conditionalFormatting xmlns:xm="http://schemas.microsoft.com/office/excel/2006/main">
          <x14:cfRule type="dataBar" id="{062FE691-1AD5-0445-AAF3-131FC0E61784}">
            <x14:dataBar minLength="0" maxLength="100" direction="leftToRight" negativeBarColorSameAsPositive="1" axisPosition="none">
              <x14:cfvo type="min"/>
              <x14:cfvo type="max"/>
            </x14:dataBar>
          </x14:cfRule>
          <x14:cfRule type="dataBar" id="{B668BFF1-02FA-614E-8C9B-EBFB9488F7AE}">
            <x14:dataBar minLength="0" maxLength="100" direction="leftToRight" negativeBarColorSameAsPositive="1" axisPosition="none">
              <x14:cfvo type="min"/>
              <x14:cfvo type="max"/>
            </x14:dataBar>
          </x14:cfRule>
          <xm:sqref>D96:D148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4988-0935-814F-AACF-97BD8BCAB230}">
  <dimension ref="A1:O200"/>
  <sheetViews>
    <sheetView zoomScale="108" workbookViewId="0">
      <pane ySplit="2" topLeftCell="A92" activePane="bottomLeft" state="frozen"/>
      <selection pane="bottomLeft" activeCell="C106" sqref="C106"/>
    </sheetView>
  </sheetViews>
  <sheetFormatPr baseColWidth="10" defaultRowHeight="16" outlineLevelCol="1"/>
  <cols>
    <col min="1" max="1" width="46.6640625" customWidth="1"/>
    <col min="2" max="11" width="18.33203125" customWidth="1"/>
    <col min="12" max="12" width="35.5" bestFit="1" customWidth="1"/>
    <col min="13" max="15" width="10.83203125" outlineLevel="1"/>
  </cols>
  <sheetData>
    <row r="1" spans="1:15" ht="24">
      <c r="A1" s="53" t="s">
        <v>6400</v>
      </c>
      <c r="B1" s="53"/>
      <c r="C1" s="53"/>
      <c r="D1" s="53"/>
      <c r="E1" s="53"/>
      <c r="F1" s="53"/>
      <c r="G1" s="53"/>
      <c r="H1" s="53"/>
      <c r="I1" s="53"/>
      <c r="J1" s="53"/>
      <c r="K1" s="53"/>
    </row>
    <row r="2" spans="1:15">
      <c r="A2" s="54" t="s">
        <v>6401</v>
      </c>
      <c r="B2" s="59"/>
      <c r="C2" s="59"/>
      <c r="D2" s="59"/>
      <c r="E2" s="59"/>
      <c r="F2" s="59"/>
      <c r="G2" s="59"/>
      <c r="H2" s="59"/>
      <c r="I2" s="59"/>
      <c r="J2" s="59"/>
      <c r="K2" s="59"/>
    </row>
    <row r="3" spans="1:15">
      <c r="A3" s="59"/>
      <c r="B3" s="59"/>
      <c r="C3" s="59"/>
      <c r="D3" s="59"/>
      <c r="E3" s="59"/>
      <c r="F3" s="59"/>
      <c r="G3" s="59"/>
      <c r="H3" s="59"/>
      <c r="I3" s="59"/>
      <c r="J3" s="59"/>
      <c r="K3" s="59"/>
    </row>
    <row r="4" spans="1:15" ht="19">
      <c r="A4" s="55" t="s">
        <v>6402</v>
      </c>
      <c r="B4" s="55"/>
      <c r="C4" s="55"/>
      <c r="D4" s="55"/>
      <c r="E4" s="55"/>
      <c r="F4" s="55"/>
      <c r="G4" s="55"/>
      <c r="H4" s="55"/>
      <c r="I4" s="55"/>
      <c r="J4" s="55"/>
      <c r="K4" s="55"/>
      <c r="M4" s="69" t="s">
        <v>6214</v>
      </c>
      <c r="N4" s="69" t="s">
        <v>6215</v>
      </c>
    </row>
    <row r="5" spans="1:15">
      <c r="A5" s="305" t="s">
        <v>6214</v>
      </c>
      <c r="B5" s="305" t="s">
        <v>6215</v>
      </c>
      <c r="C5" s="305" t="s">
        <v>6216</v>
      </c>
      <c r="D5" s="305" t="s">
        <v>6217</v>
      </c>
      <c r="E5" s="305" t="s">
        <v>6218</v>
      </c>
      <c r="F5" s="305" t="s">
        <v>6219</v>
      </c>
      <c r="G5" s="305" t="s">
        <v>6220</v>
      </c>
      <c r="H5" s="305" t="s">
        <v>6221</v>
      </c>
      <c r="I5" s="305" t="s">
        <v>6230</v>
      </c>
      <c r="J5" s="305" t="s">
        <v>6231</v>
      </c>
      <c r="K5" s="56"/>
      <c r="M5" s="232" t="s">
        <v>6441</v>
      </c>
      <c r="N5" s="303">
        <f>B6</f>
        <v>2</v>
      </c>
    </row>
    <row r="6" spans="1:15">
      <c r="A6" s="309" t="s">
        <v>26</v>
      </c>
      <c r="B6" s="117" cm="1">
        <f t="array" ref="B6">SUMPRODUCT(('Medical Sales'!N3:N196="Medical")*(LEFT('Medical Sales'!D3:D196,4)="2022")*('Medical Sales'!U3:U196&lt;&gt;"Yes"))</f>
        <v>2</v>
      </c>
      <c r="C6" s="118" cm="1">
        <f t="array" ref="C6">SUMPRODUCT(('Medical Sales'!N3:N196="Medical")*(LEFT('Medical Sales'!D3:D196,4)="2022")*('Medical Sales'!U3:U196&lt;&gt;"Yes")*('Medical Sales'!E3:E196))</f>
        <v>8635000</v>
      </c>
      <c r="D6" s="118">
        <f>IF(B6=0,"-",C6/B6)</f>
        <v>4317500</v>
      </c>
      <c r="E6" s="118" cm="1">
        <f t="array" ref="E6">IFERROR(MEDIAN(IF(('Medical Sales'!N3:N196="Medical")*(LEFT('Medical Sales'!D3:D196,4)="2022")*('Medical Sales'!U3:U196&lt;&gt;"Yes"),'Medical Sales'!E3:E196)),"-")</f>
        <v>4317500</v>
      </c>
      <c r="F6" s="119" cm="1">
        <f t="array" ref="F6">IF(B6=0,"-",SUMPRODUCT(('Medical Sales'!N3:N196="Medical")*(LEFT('Medical Sales'!D3:D196,4)="2022")*('Medical Sales'!U3:U196&lt;&gt;"Yes")*('Medical Sales'!F3:F196))/B6)</f>
        <v>811.35383652565338</v>
      </c>
      <c r="G6" s="119" cm="1">
        <f t="array" ref="G6">IFERROR(MEDIAN(IF(('Medical Sales'!N3:N196="Medical")*(LEFT('Medical Sales'!D3:D196,4)="2022")*('Medical Sales'!U3:U196&lt;&gt;"Yes"),'Medical Sales'!F3:F196)),"-")</f>
        <v>811.35383652565338</v>
      </c>
      <c r="H6" s="117" cm="1">
        <f t="array" ref="H6">IF(B6=0,"-",SUMPRODUCT(('Medical Sales'!N3:N196="Medical")*(LEFT('Medical Sales'!D3:D196,4)="2022")*('Medical Sales'!U3:U196&lt;&gt;"Yes")*('Medical Sales'!G3:G196))/B6)</f>
        <v>5299</v>
      </c>
      <c r="I6" s="118" cm="1">
        <f t="array" ref="I6">IFERROR(MIN(IF(('Medical Sales'!N3:N196="Medical")*(LEFT('Medical Sales'!D3:D196,4)="2022")*('Medical Sales'!U3:U196&lt;&gt;"Yes"),'Medical Sales'!E3:E196)),"-")</f>
        <v>3735000</v>
      </c>
      <c r="J6" s="118" cm="1">
        <f t="array" ref="J6">IFERROR(MAX(IF(('Medical Sales'!N3:N196="Medical")*(LEFT('Medical Sales'!D3:D196,4)="2022")*('Medical Sales'!U3:U196&lt;&gt;"Yes"),'Medical Sales'!E3:E196)),"-")</f>
        <v>4900000</v>
      </c>
      <c r="K6" s="59"/>
      <c r="M6" s="232" t="s">
        <v>6442</v>
      </c>
      <c r="N6" s="303">
        <f>B7</f>
        <v>2</v>
      </c>
    </row>
    <row r="7" spans="1:15">
      <c r="A7" s="309" t="s">
        <v>1519</v>
      </c>
      <c r="B7" s="117" cm="1">
        <f t="array" ref="B7">SUMPRODUCT(('Medical Sales'!N3:N196="Multi-Tenant Medical")*(LEFT('Medical Sales'!D3:D196,4)="2022")*('Medical Sales'!U3:U196&lt;&gt;"Yes"))</f>
        <v>2</v>
      </c>
      <c r="C7" s="118" cm="1">
        <f t="array" ref="C7">SUMPRODUCT(('Medical Sales'!N3:N196="Multi-Tenant Medical")*(LEFT('Medical Sales'!D3:D196,4)="2022")*('Medical Sales'!U3:U196&lt;&gt;"Yes")*('Medical Sales'!E3:E196))</f>
        <v>8146500</v>
      </c>
      <c r="D7" s="118">
        <f>IF(B7=0,"-",C7/B7)</f>
        <v>4073250</v>
      </c>
      <c r="E7" s="118" cm="1">
        <f t="array" ref="E7">IFERROR(MEDIAN(IF(('Medical Sales'!N3:N196="Multi-Tenant Medical")*(LEFT('Medical Sales'!D3:D196,4)="2022")*('Medical Sales'!U3:U196&lt;&gt;"Yes"),'Medical Sales'!E3:E196)),"-")</f>
        <v>4073250</v>
      </c>
      <c r="F7" s="119" cm="1">
        <f t="array" ref="F7">IF(B7=0,"-",SUMPRODUCT(('Medical Sales'!N3:N196="Multi-Tenant Medical")*(LEFT('Medical Sales'!D3:D196,4)="2022")*('Medical Sales'!U3:U196&lt;&gt;"Yes")*('Medical Sales'!F3:F196))/B7)</f>
        <v>365.37175837213761</v>
      </c>
      <c r="G7" s="119" cm="1">
        <f t="array" ref="G7">IFERROR(MEDIAN(IF(('Medical Sales'!N3:N196="Multi-Tenant Medical")*(LEFT('Medical Sales'!D3:D196,4)="2022")*('Medical Sales'!U3:U196&lt;&gt;"Yes"),'Medical Sales'!F3:F196)),"-")</f>
        <v>365.37175837213761</v>
      </c>
      <c r="H7" s="117" cm="1">
        <f t="array" ref="H7">IF(B7=0,"-",SUMPRODUCT(('Medical Sales'!N3:N196="Multi-Tenant Medical")*(LEFT('Medical Sales'!D3:D196,4)="2022")*('Medical Sales'!U3:U196&lt;&gt;"Yes")*('Medical Sales'!G3:G196))/B7)</f>
        <v>29253.5</v>
      </c>
      <c r="I7" s="118" cm="1">
        <f t="array" ref="I7">IFERROR(MIN(IF(('Medical Sales'!N3:N196="Multi-Tenant Medical")*(LEFT('Medical Sales'!D3:D196,4)="2022")*('Medical Sales'!U3:U196&lt;&gt;"Yes"),'Medical Sales'!E3:E196)),"-")</f>
        <v>3735000</v>
      </c>
      <c r="J7" s="118" cm="1">
        <f t="array" ref="J7">IFERROR(MAX(IF(('Medical Sales'!N3:N196="Multi-Tenant Medical")*(LEFT('Medical Sales'!D3:D196,4)="2022")*('Medical Sales'!U3:U196&lt;&gt;"Yes"),'Medical Sales'!E3:E196)),"-")</f>
        <v>4411500</v>
      </c>
      <c r="K7" s="59"/>
      <c r="M7" s="232" t="s">
        <v>6443</v>
      </c>
      <c r="N7" s="303">
        <f>B8</f>
        <v>0</v>
      </c>
    </row>
    <row r="8" spans="1:15">
      <c r="A8" s="309" t="s">
        <v>6212</v>
      </c>
      <c r="B8" s="117" cm="1">
        <f t="array" ref="B8">SUMPRODUCT(('Medical Sales'!N3:N196="Hospitals")*(LEFT('Medical Sales'!D3:D196,4)="2022")*('Medical Sales'!U3:U196&lt;&gt;"Yes"))</f>
        <v>0</v>
      </c>
      <c r="C8" s="118" cm="1">
        <f t="array" ref="C8">SUMPRODUCT(('Medical Sales'!N3:N196="Hospitals")*(LEFT('Medical Sales'!D3:D196,4)="2022")*('Medical Sales'!U3:U196&lt;&gt;"Yes")*('Medical Sales'!E3:E196))</f>
        <v>0</v>
      </c>
      <c r="D8" s="118" t="str">
        <f>IF(B8=0,"-",C8/B8)</f>
        <v>-</v>
      </c>
      <c r="E8" s="118" t="str" cm="1">
        <f t="array" ref="E8">IFERROR(MEDIAN(IF(('Medical Sales'!N3:N196="Hospitals")*(LEFT('Medical Sales'!D3:D196,4)="2022")*('Medical Sales'!U3:U196&lt;&gt;"Yes"),'Medical Sales'!E3:E196)),"-")</f>
        <v>-</v>
      </c>
      <c r="F8" s="119" t="str" cm="1">
        <f t="array" ref="F8">IF(B8=0,"-",SUMPRODUCT(('Medical Sales'!N3:N196="Hospitals")*(LEFT('Medical Sales'!D3:D196,4)="2022")*('Medical Sales'!U3:U196&lt;&gt;"Yes")*('Medical Sales'!F3:F196))/B8)</f>
        <v>-</v>
      </c>
      <c r="G8" s="119" t="str" cm="1">
        <f t="array" ref="G8">IFERROR(MEDIAN(IF(('Medical Sales'!N3:N196="Hospitals")*(LEFT('Medical Sales'!D3:D196,4)="2022")*('Medical Sales'!U3:U196&lt;&gt;"Yes"),'Medical Sales'!F3:F196)),"-")</f>
        <v>-</v>
      </c>
      <c r="H8" s="117" t="str" cm="1">
        <f t="array" ref="H8">IF(B8=0,"-",SUMPRODUCT(('Medical Sales'!N3:N196="Hospitals")*(LEFT('Medical Sales'!D3:D196,4)="2022")*('Medical Sales'!U3:U196&lt;&gt;"Yes")*('Medical Sales'!G3:G196))/B8)</f>
        <v>-</v>
      </c>
      <c r="I8" s="118" cm="1">
        <f t="array" ref="I8">IFERROR(MIN(IF(('Medical Sales'!N3:N196="Hospitals")*(LEFT('Medical Sales'!D3:D196,4)="2022")*('Medical Sales'!U3:U196&lt;&gt;"Yes"),'Medical Sales'!E3:E196)),"-")</f>
        <v>0</v>
      </c>
      <c r="J8" s="118" cm="1">
        <f t="array" ref="J8">IFERROR(MAX(IF(('Medical Sales'!N3:N196="Hospitals")*(LEFT('Medical Sales'!D3:D196,4)="2022")*('Medical Sales'!U3:U196&lt;&gt;"Yes"),'Medical Sales'!E3:E196)),"-")</f>
        <v>0</v>
      </c>
      <c r="K8" s="59"/>
    </row>
    <row r="9" spans="1:15">
      <c r="A9" s="309" t="s">
        <v>6222</v>
      </c>
      <c r="B9" s="306">
        <f>SUM(B6:B8)</f>
        <v>4</v>
      </c>
      <c r="C9" s="307">
        <f>SUM(C6:C8)</f>
        <v>16781500</v>
      </c>
      <c r="D9" s="307">
        <f>IF(B9=0,"-",C9/B9)</f>
        <v>4195375</v>
      </c>
      <c r="E9" s="307" cm="1">
        <f t="array" ref="E9">MEDIAN(IF((LEFT('Medical Sales'!D3:D196,4)="2022")*('Medical Sales'!U3:U196&lt;&gt;"Yes"),'Medical Sales'!E3:E196))</f>
        <v>4073250</v>
      </c>
      <c r="F9" s="308" cm="1">
        <f t="array" ref="F9">IF(B9=0,"-",SUMPRODUCT((LEFT('Medical Sales'!D3:D196,4)="2022")*('Medical Sales'!U3:U196&lt;&gt;"Yes")*('Medical Sales'!F3:F196))/SUMPRODUCT((LEFT('Medical Sales'!D3:D196,4)="2022")*('Medical Sales'!U3:U196&lt;&gt;"Yes")*('Medical Sales'!F3:F196&lt;&gt;0)*1))</f>
        <v>588.36279744889555</v>
      </c>
      <c r="G9" s="308" cm="1">
        <f t="array" ref="G9">MEDIAN(IF((LEFT('Medical Sales'!D3:D196,4)="2022")*('Medical Sales'!U3:U196&lt;&gt;"Yes"),'Medical Sales'!F3:F196))</f>
        <v>709.55131284812967</v>
      </c>
      <c r="H9" s="306" cm="1">
        <f t="array" ref="H9">IF(B9=0,"-",SUMPRODUCT((LEFT('Medical Sales'!D3:D196,4)="2022")*('Medical Sales'!U3:U196&lt;&gt;"Yes")*('Medical Sales'!G3:G196))/B9)</f>
        <v>17276.25</v>
      </c>
      <c r="I9" s="307" cm="1">
        <f t="array" ref="I9">MIN(IF((LEFT('Medical Sales'!D3:D196,4)="2022")*('Medical Sales'!U3:U196&lt;&gt;"Yes"),'Medical Sales'!E3:E196))</f>
        <v>3735000</v>
      </c>
      <c r="J9" s="307" cm="1">
        <f t="array" ref="J9">MAX(IF((LEFT('Medical Sales'!D3:D196,4)="2022")*('Medical Sales'!U3:U196&lt;&gt;"Yes"),'Medical Sales'!E3:E196))</f>
        <v>4900000</v>
      </c>
      <c r="K9" s="59"/>
    </row>
    <row r="10" spans="1:15">
      <c r="A10" s="59"/>
      <c r="B10" s="59"/>
      <c r="C10" s="59"/>
      <c r="D10" s="59"/>
      <c r="E10" s="59"/>
      <c r="F10" s="59"/>
      <c r="G10" s="59"/>
      <c r="H10" s="59"/>
      <c r="I10" s="59"/>
      <c r="J10" s="59"/>
      <c r="K10" s="59"/>
      <c r="M10" s="69" t="s">
        <v>2</v>
      </c>
      <c r="N10" s="69" t="s">
        <v>6215</v>
      </c>
      <c r="O10" s="69" t="s">
        <v>6220</v>
      </c>
    </row>
    <row r="11" spans="1:15" ht="19">
      <c r="A11" s="55" t="s">
        <v>6403</v>
      </c>
      <c r="B11" s="55"/>
      <c r="C11" s="55"/>
      <c r="D11" s="55"/>
      <c r="E11" s="55"/>
      <c r="F11" s="55"/>
      <c r="G11" s="55"/>
      <c r="H11" s="55"/>
      <c r="I11" s="55"/>
      <c r="J11" s="55"/>
      <c r="K11" s="55"/>
      <c r="M11" t="s">
        <v>6444</v>
      </c>
      <c r="N11" s="302">
        <f>B13</f>
        <v>2</v>
      </c>
      <c r="O11" s="68">
        <f>G13</f>
        <v>467.17428204966131</v>
      </c>
    </row>
    <row r="12" spans="1:15">
      <c r="A12" s="305" t="s">
        <v>2</v>
      </c>
      <c r="B12" s="305" t="s">
        <v>6215</v>
      </c>
      <c r="C12" s="305" t="s">
        <v>6216</v>
      </c>
      <c r="D12" s="305" t="s">
        <v>6217</v>
      </c>
      <c r="E12" s="305" t="s">
        <v>6218</v>
      </c>
      <c r="F12" s="305" t="s">
        <v>6219</v>
      </c>
      <c r="G12" s="305" t="s">
        <v>6220</v>
      </c>
      <c r="H12" s="305" t="s">
        <v>6221</v>
      </c>
      <c r="I12" s="305" t="s">
        <v>6230</v>
      </c>
      <c r="J12" s="305" t="s">
        <v>6231</v>
      </c>
      <c r="K12" s="59"/>
      <c r="M12" t="s">
        <v>6445</v>
      </c>
      <c r="N12" s="302">
        <f>B14</f>
        <v>2</v>
      </c>
      <c r="O12" s="68">
        <f>G14</f>
        <v>709.55131284812967</v>
      </c>
    </row>
    <row r="13" spans="1:15">
      <c r="A13" s="309" t="s">
        <v>33</v>
      </c>
      <c r="B13" s="117" cm="1">
        <f t="array" ref="B13">SUMPRODUCT(('Medical Sales'!C3:C196="Orange")*(LEFT('Medical Sales'!D3:D196,4)="2022")*('Medical Sales'!U3:U196&lt;&gt;"Yes"))</f>
        <v>2</v>
      </c>
      <c r="C13" s="118" cm="1">
        <f t="array" ref="C13">SUMPRODUCT(('Medical Sales'!C3:C196="Orange")*(LEFT('Medical Sales'!D3:D196,4)="2022")*('Medical Sales'!U3:U196&lt;&gt;"Yes")*('Medical Sales'!E3:E196))</f>
        <v>9311500</v>
      </c>
      <c r="D13" s="118">
        <f>IF(B13=0,"-",C13/B13)</f>
        <v>4655750</v>
      </c>
      <c r="E13" s="118" cm="1">
        <f t="array" ref="E13">IFERROR(MEDIAN(IF(('Medical Sales'!C3:C196="Orange")*(LEFT('Medical Sales'!D3:D196,4)="2022")*('Medical Sales'!U3:U196&lt;&gt;"Yes"),'Medical Sales'!E3:E196)),"-")</f>
        <v>4655750</v>
      </c>
      <c r="F13" s="119" cm="1">
        <f t="array" ref="F13">IF(B13=0,"-",SUMPRODUCT(('Medical Sales'!C3:C196="Orange")*(LEFT('Medical Sales'!D3:D196,4)="2022")*('Medical Sales'!U3:U196&lt;&gt;"Yes")*('Medical Sales'!F3:F196))/B13)</f>
        <v>467.17428204966131</v>
      </c>
      <c r="G13" s="119" cm="1">
        <f t="array" ref="G13">IFERROR(MEDIAN(IF(('Medical Sales'!C3:C196="Orange")*(LEFT('Medical Sales'!D3:D196,4)="2022")*('Medical Sales'!U3:U196&lt;&gt;"Yes"),'Medical Sales'!F3:F196)),"-")</f>
        <v>467.17428204966131</v>
      </c>
      <c r="H13" s="117" cm="1">
        <f t="array" ref="H13">IF(B13=0,"-",SUMPRODUCT(('Medical Sales'!C3:C196="Orange")*(LEFT('Medical Sales'!D3:D196,4)="2022")*('Medical Sales'!U3:U196&lt;&gt;"Yes")*('Medical Sales'!G3:G196))/B13)</f>
        <v>29247.5</v>
      </c>
      <c r="I13" s="118" cm="1">
        <f t="array" ref="I13">IF(B13=0,"-",MIN(IF(('Medical Sales'!C3:C196="Orange")*(LEFT('Medical Sales'!D3:D196,4)="2022")*('Medical Sales'!U3:U196&lt;&gt;"Yes"),'Medical Sales'!E3:E196)))</f>
        <v>4411500</v>
      </c>
      <c r="J13" s="118" cm="1">
        <f t="array" ref="J13">IF(B13=0,"-",MAX(IF(('Medical Sales'!C3:C196="Orange")*(LEFT('Medical Sales'!D3:D196,4)="2022")*('Medical Sales'!U3:U196&lt;&gt;"Yes"),'Medical Sales'!E3:E196)))</f>
        <v>4900000</v>
      </c>
      <c r="K13" s="59"/>
      <c r="M13" t="s">
        <v>6446</v>
      </c>
      <c r="N13" s="302">
        <f>B15</f>
        <v>0</v>
      </c>
      <c r="O13" s="68" t="str">
        <f>G15</f>
        <v>-</v>
      </c>
    </row>
    <row r="14" spans="1:15">
      <c r="A14" s="309" t="s">
        <v>20</v>
      </c>
      <c r="B14" s="117" cm="1">
        <f t="array" ref="B14">SUMPRODUCT(('Medical Sales'!C3:C196="Seminole")*(LEFT('Medical Sales'!D3:D196,4)="2022")*('Medical Sales'!U3:U196&lt;&gt;"Yes"))</f>
        <v>2</v>
      </c>
      <c r="C14" s="118" cm="1">
        <f t="array" ref="C14">SUMPRODUCT(('Medical Sales'!C3:C196="Seminole")*(LEFT('Medical Sales'!D3:D196,4)="2022")*('Medical Sales'!U3:U196&lt;&gt;"Yes")*('Medical Sales'!E3:E196))</f>
        <v>7470000</v>
      </c>
      <c r="D14" s="118">
        <f>IF(B14=0,"-",C14/B14)</f>
        <v>3735000</v>
      </c>
      <c r="E14" s="118" cm="1">
        <f t="array" ref="E14">IFERROR(MEDIAN(IF(('Medical Sales'!C3:C196="Seminole")*(LEFT('Medical Sales'!D3:D196,4)="2022")*('Medical Sales'!U3:U196&lt;&gt;"Yes"),'Medical Sales'!E3:E196)),"-")</f>
        <v>3735000</v>
      </c>
      <c r="F14" s="119" cm="1">
        <f t="array" ref="F14">IF(B14=0,"-",SUMPRODUCT(('Medical Sales'!C3:C196="Seminole")*(LEFT('Medical Sales'!D3:D196,4)="2022")*('Medical Sales'!U3:U196&lt;&gt;"Yes")*('Medical Sales'!F3:F196))/B14)</f>
        <v>709.55131284812967</v>
      </c>
      <c r="G14" s="119" cm="1">
        <f t="array" ref="G14">IFERROR(MEDIAN(IF(('Medical Sales'!C3:C196="Seminole")*(LEFT('Medical Sales'!D3:D196,4)="2022")*('Medical Sales'!U3:U196&lt;&gt;"Yes"),'Medical Sales'!F3:F196)),"-")</f>
        <v>709.55131284812967</v>
      </c>
      <c r="H14" s="117" cm="1">
        <f t="array" ref="H14">IF(B14=0,"-",SUMPRODUCT(('Medical Sales'!C3:C196="Seminole")*(LEFT('Medical Sales'!D3:D196,4)="2022")*('Medical Sales'!U3:U196&lt;&gt;"Yes")*('Medical Sales'!G3:G196))/B14)</f>
        <v>5305</v>
      </c>
      <c r="I14" s="118" cm="1">
        <f t="array" ref="I14">IF(B14=0,"-",MIN(IF(('Medical Sales'!C3:C196="Seminole")*(LEFT('Medical Sales'!D3:D196,4)="2022")*('Medical Sales'!U3:U196&lt;&gt;"Yes"),'Medical Sales'!E3:E196)))</f>
        <v>3735000</v>
      </c>
      <c r="J14" s="118" cm="1">
        <f t="array" ref="J14">IF(B14=0,"-",MAX(IF(('Medical Sales'!C3:C196="Seminole")*(LEFT('Medical Sales'!D3:D196,4)="2022")*('Medical Sales'!U3:U196&lt;&gt;"Yes"),'Medical Sales'!E3:E196)))</f>
        <v>3735000</v>
      </c>
      <c r="K14" s="59"/>
      <c r="M14" t="s">
        <v>6447</v>
      </c>
      <c r="N14" s="302">
        <f>B16</f>
        <v>0</v>
      </c>
      <c r="O14" s="68" t="str">
        <f>G16</f>
        <v>-</v>
      </c>
    </row>
    <row r="15" spans="1:15">
      <c r="A15" s="309" t="s">
        <v>678</v>
      </c>
      <c r="B15" s="117" cm="1">
        <f t="array" ref="B15">SUMPRODUCT(('Medical Sales'!C3:C196="Osceola")*(LEFT('Medical Sales'!D3:D196,4)="2022")*('Medical Sales'!U3:U196&lt;&gt;"Yes"))</f>
        <v>0</v>
      </c>
      <c r="C15" s="118" cm="1">
        <f t="array" ref="C15">SUMPRODUCT(('Medical Sales'!C3:C196="Osceola")*(LEFT('Medical Sales'!D3:D196,4)="2022")*('Medical Sales'!U3:U196&lt;&gt;"Yes")*('Medical Sales'!E3:E196))</f>
        <v>0</v>
      </c>
      <c r="D15" s="118" t="str">
        <f>IF(B15=0,"-",C15/B15)</f>
        <v>-</v>
      </c>
      <c r="E15" s="118" t="str" cm="1">
        <f t="array" ref="E15">IFERROR(MEDIAN(IF(('Medical Sales'!C3:C196="Osceola")*(LEFT('Medical Sales'!D3:D196,4)="2022")*('Medical Sales'!U3:U196&lt;&gt;"Yes"),'Medical Sales'!E3:E196)),"-")</f>
        <v>-</v>
      </c>
      <c r="F15" s="119" t="str" cm="1">
        <f t="array" ref="F15">IF(B15=0,"-",SUMPRODUCT(('Medical Sales'!C3:C196="Osceola")*(LEFT('Medical Sales'!D3:D196,4)="2022")*('Medical Sales'!U3:U196&lt;&gt;"Yes")*('Medical Sales'!F3:F196))/B15)</f>
        <v>-</v>
      </c>
      <c r="G15" s="119" t="str" cm="1">
        <f t="array" ref="G15">IFERROR(MEDIAN(IF(('Medical Sales'!C3:C196="Osceola")*(LEFT('Medical Sales'!D3:D196,4)="2022")*('Medical Sales'!U3:U196&lt;&gt;"Yes"),'Medical Sales'!F3:F196)),"-")</f>
        <v>-</v>
      </c>
      <c r="H15" s="117" t="str" cm="1">
        <f t="array" ref="H15">IF(B15=0,"-",SUMPRODUCT(('Medical Sales'!C3:C196="Osceola")*(LEFT('Medical Sales'!D3:D196,4)="2022")*('Medical Sales'!U3:U196&lt;&gt;"Yes")*('Medical Sales'!G3:G196))/B15)</f>
        <v>-</v>
      </c>
      <c r="I15" s="118" t="str" cm="1">
        <f t="array" ref="I15">IF(B15=0,"-",MIN(IF(('Medical Sales'!C3:C196="Osceola")*(LEFT('Medical Sales'!D3:D196,4)="2022")*('Medical Sales'!U3:U196&lt;&gt;"Yes"),'Medical Sales'!E3:E196)))</f>
        <v>-</v>
      </c>
      <c r="J15" s="118" t="str" cm="1">
        <f t="array" ref="J15">IF(B15=0,"-",MAX(IF(('Medical Sales'!C3:C196="Osceola")*(LEFT('Medical Sales'!D3:D196,4)="2022")*('Medical Sales'!U3:U196&lt;&gt;"Yes"),'Medical Sales'!E3:E196)))</f>
        <v>-</v>
      </c>
      <c r="K15" s="59"/>
    </row>
    <row r="16" spans="1:15">
      <c r="A16" s="309" t="s">
        <v>184</v>
      </c>
      <c r="B16" s="117" cm="1">
        <f t="array" ref="B16">SUMPRODUCT(('Medical Sales'!C3:C196="Lake")*(LEFT('Medical Sales'!D3:D196,4)="2022")*('Medical Sales'!U3:U196&lt;&gt;"Yes"))</f>
        <v>0</v>
      </c>
      <c r="C16" s="118" cm="1">
        <f t="array" ref="C16">SUMPRODUCT(('Medical Sales'!C3:C196="Lake")*(LEFT('Medical Sales'!D3:D196,4)="2022")*('Medical Sales'!U3:U196&lt;&gt;"Yes")*('Medical Sales'!E3:E196))</f>
        <v>0</v>
      </c>
      <c r="D16" s="118" t="str">
        <f>IF(B16=0,"-",C16/B16)</f>
        <v>-</v>
      </c>
      <c r="E16" s="118" t="str" cm="1">
        <f t="array" ref="E16">IFERROR(MEDIAN(IF(('Medical Sales'!C3:C196="Lake")*(LEFT('Medical Sales'!D3:D196,4)="2022")*('Medical Sales'!U3:U196&lt;&gt;"Yes"),'Medical Sales'!E3:E196)),"-")</f>
        <v>-</v>
      </c>
      <c r="F16" s="119" t="str" cm="1">
        <f t="array" ref="F16">IF(B16=0,"-",SUMPRODUCT(('Medical Sales'!C3:C196="Lake")*(LEFT('Medical Sales'!D3:D196,4)="2022")*('Medical Sales'!U3:U196&lt;&gt;"Yes")*('Medical Sales'!F3:F196))/B16)</f>
        <v>-</v>
      </c>
      <c r="G16" s="119" t="str" cm="1">
        <f t="array" ref="G16">IFERROR(MEDIAN(IF(('Medical Sales'!C3:C196="Lake")*(LEFT('Medical Sales'!D3:D196,4)="2022")*('Medical Sales'!U3:U196&lt;&gt;"Yes"),'Medical Sales'!F3:F196)),"-")</f>
        <v>-</v>
      </c>
      <c r="H16" s="117" t="str" cm="1">
        <f t="array" ref="H16">IF(B16=0,"-",SUMPRODUCT(('Medical Sales'!C3:C196="Lake")*(LEFT('Medical Sales'!D3:D196,4)="2022")*('Medical Sales'!U3:U196&lt;&gt;"Yes")*('Medical Sales'!G3:G196))/B16)</f>
        <v>-</v>
      </c>
      <c r="I16" s="118" t="str" cm="1">
        <f t="array" ref="I16">IF(B16=0,"-",MIN(IF(('Medical Sales'!C3:C196="Lake")*(LEFT('Medical Sales'!D3:D196,4)="2022")*('Medical Sales'!U3:U196&lt;&gt;"Yes"),'Medical Sales'!E3:E196)))</f>
        <v>-</v>
      </c>
      <c r="J16" s="118" t="str" cm="1">
        <f t="array" ref="J16">IF(B16=0,"-",MAX(IF(('Medical Sales'!C3:C196="Lake")*(LEFT('Medical Sales'!D3:D196,4)="2022")*('Medical Sales'!U3:U196&lt;&gt;"Yes"),'Medical Sales'!E3:E196)))</f>
        <v>-</v>
      </c>
      <c r="K16" s="59"/>
    </row>
    <row r="17" spans="1:15">
      <c r="A17" s="59"/>
      <c r="B17" s="59"/>
      <c r="C17" s="59"/>
      <c r="D17" s="59"/>
      <c r="E17" s="59"/>
      <c r="F17" s="59"/>
      <c r="G17" s="59"/>
      <c r="H17" s="59"/>
      <c r="I17" s="59"/>
      <c r="J17" s="59"/>
      <c r="K17" s="59"/>
      <c r="M17" s="69" t="s">
        <v>6279</v>
      </c>
      <c r="N17" s="69" t="s">
        <v>6218</v>
      </c>
      <c r="O17" s="69" t="s">
        <v>6220</v>
      </c>
    </row>
    <row r="18" spans="1:15" ht="19">
      <c r="A18" s="55" t="s">
        <v>6303</v>
      </c>
      <c r="B18" s="55"/>
      <c r="C18" s="55"/>
      <c r="D18" s="55"/>
      <c r="E18" s="55"/>
      <c r="F18" s="55"/>
      <c r="G18" s="55"/>
      <c r="H18" s="55"/>
      <c r="I18" s="55"/>
      <c r="J18" s="55"/>
      <c r="K18" s="55"/>
      <c r="M18" t="s">
        <v>6448</v>
      </c>
      <c r="N18" s="304">
        <f>B28</f>
        <v>3735000</v>
      </c>
      <c r="O18" s="68">
        <f>B30</f>
        <v>772.0132286068623</v>
      </c>
    </row>
    <row r="19" spans="1:15">
      <c r="A19" s="305" t="s">
        <v>2</v>
      </c>
      <c r="B19" s="305" t="s">
        <v>6215</v>
      </c>
      <c r="C19" s="305" t="s">
        <v>6216</v>
      </c>
      <c r="D19" s="305" t="s">
        <v>6217</v>
      </c>
      <c r="E19" s="305" t="s">
        <v>6218</v>
      </c>
      <c r="F19" s="305" t="s">
        <v>6219</v>
      </c>
      <c r="G19" s="305" t="s">
        <v>6220</v>
      </c>
      <c r="H19" s="59"/>
      <c r="I19" s="59"/>
      <c r="J19" s="59"/>
      <c r="K19" s="59"/>
      <c r="M19" t="s">
        <v>6449</v>
      </c>
      <c r="N19" s="304">
        <f>B66</f>
        <v>4411500</v>
      </c>
      <c r="O19" s="68">
        <f>B68</f>
        <v>83.654119654878158</v>
      </c>
    </row>
    <row r="20" spans="1:15">
      <c r="A20" s="309" t="s">
        <v>6304</v>
      </c>
      <c r="B20" s="117" cm="1">
        <f t="array" ref="B20">SUMPRODUCT(('Medical Sales'!C3:C196="Orange")*(LEFT('Medical Sales'!D3:D196,4)="2022")*('Medical Sales'!N3:N196&lt;&gt;"Hospitals")*('Medical Sales'!U3:U196&lt;&gt;"Yes"))</f>
        <v>2</v>
      </c>
      <c r="C20" s="118" cm="1">
        <f t="array" ref="C20">SUMPRODUCT(('Medical Sales'!C3:C196="Orange")*(LEFT('Medical Sales'!D3:D196,4)="2022")*('Medical Sales'!N3:N196&lt;&gt;"Hospitals")*('Medical Sales'!U3:U196&lt;&gt;"Yes")*('Medical Sales'!E3:E196))</f>
        <v>9311500</v>
      </c>
      <c r="D20" s="118">
        <f>IF(B20=0,"-",C20/B20)</f>
        <v>4655750</v>
      </c>
      <c r="E20" s="118" cm="1">
        <f t="array" ref="E20">IFERROR(MEDIAN(IF(('Medical Sales'!C3:C196="Orange")*(LEFT('Medical Sales'!D3:D196,4)="2022")*('Medical Sales'!N3:N196&lt;&gt;"Hospitals")*('Medical Sales'!U3:U196&lt;&gt;"Yes"),'Medical Sales'!E3:E196)),"-")</f>
        <v>4655750</v>
      </c>
      <c r="F20" s="119" cm="1">
        <f t="array" ref="F20">IF(B20=0,"-",SUMPRODUCT(('Medical Sales'!C3:C196="Orange")*(LEFT('Medical Sales'!D3:D196,4)="2022")*('Medical Sales'!N3:N196&lt;&gt;"Hospitals")*('Medical Sales'!U3:U196&lt;&gt;"Yes")*('Medical Sales'!F3:F196))/B20)</f>
        <v>467.17428204966131</v>
      </c>
      <c r="G20" s="119" cm="1">
        <f t="array" ref="G20">IFERROR(MEDIAN(IF(('Medical Sales'!C3:C196="Orange")*(LEFT('Medical Sales'!D3:D196,4)="2022")*('Medical Sales'!N3:N196&lt;&gt;"Hospitals")*('Medical Sales'!U3:U196&lt;&gt;"Yes"),'Medical Sales'!F3:F196)),"-")</f>
        <v>467.17428204966131</v>
      </c>
      <c r="H20" s="59"/>
      <c r="I20" s="59"/>
      <c r="J20" s="59"/>
      <c r="K20" s="59"/>
    </row>
    <row r="21" spans="1:15">
      <c r="A21" s="309" t="s">
        <v>6305</v>
      </c>
      <c r="B21" s="117" cm="1">
        <f t="array" ref="B21">SUMPRODUCT((LEFT('Medical Sales'!D3:D196,4)="2022")*('Medical Sales'!N3:N196&lt;&gt;"Hospitals")*('Medical Sales'!U3:U196&lt;&gt;"Yes"))</f>
        <v>4</v>
      </c>
      <c r="C21" s="118" cm="1">
        <f t="array" ref="C21">SUMPRODUCT((LEFT('Medical Sales'!D3:D196,4)="2022")*('Medical Sales'!N3:N196&lt;&gt;"Hospitals")*('Medical Sales'!U3:U196&lt;&gt;"Yes")*('Medical Sales'!E3:E196))</f>
        <v>16781500</v>
      </c>
      <c r="D21" s="118">
        <f>IF(B21=0,"-",C21/B21)</f>
        <v>4195375</v>
      </c>
      <c r="E21" s="118" cm="1">
        <f t="array" ref="E21">MEDIAN(IF((LEFT('Medical Sales'!D3:D196,4)="2022")*('Medical Sales'!N3:N196&lt;&gt;"Hospitals")*('Medical Sales'!U3:U196&lt;&gt;"Yes"),'Medical Sales'!E3:E196))</f>
        <v>4073250</v>
      </c>
      <c r="F21" s="119" cm="1">
        <f t="array" ref="F21">IF(B21=0,"-",SUMPRODUCT((LEFT('Medical Sales'!D3:D196,4)="2022")*('Medical Sales'!N3:N196&lt;&gt;"Hospitals")*('Medical Sales'!U3:U196&lt;&gt;"Yes")*('Medical Sales'!F3:F196))/B21)</f>
        <v>588.36279744889555</v>
      </c>
      <c r="G21" s="119" cm="1">
        <f t="array" ref="G21">MEDIAN(IF((LEFT('Medical Sales'!D3:D196,4)="2022")*('Medical Sales'!N3:N196&lt;&gt;"Hospitals")*('Medical Sales'!U3:U196&lt;&gt;"Yes"),'Medical Sales'!F3:F196))</f>
        <v>709.55131284812967</v>
      </c>
      <c r="H21" s="59"/>
      <c r="I21" s="59"/>
      <c r="J21" s="59"/>
      <c r="K21" s="59"/>
    </row>
    <row r="22" spans="1:15">
      <c r="A22" s="270" t="s">
        <v>6348</v>
      </c>
      <c r="B22" s="59"/>
      <c r="C22" s="59"/>
      <c r="D22" s="59"/>
      <c r="E22" s="59"/>
      <c r="F22" s="59"/>
      <c r="G22" s="59"/>
      <c r="H22" s="59"/>
      <c r="I22" s="59"/>
      <c r="J22" s="59"/>
      <c r="K22" s="59"/>
      <c r="M22" s="69" t="s">
        <v>6233</v>
      </c>
      <c r="N22" s="69" t="s">
        <v>6215</v>
      </c>
    </row>
    <row r="23" spans="1:15">
      <c r="A23" s="59"/>
      <c r="B23" s="59"/>
      <c r="C23" s="59"/>
      <c r="D23" s="59"/>
      <c r="E23" s="59"/>
      <c r="F23" s="59"/>
      <c r="G23" s="59"/>
      <c r="H23" s="59"/>
      <c r="I23" s="59"/>
      <c r="J23" s="59"/>
      <c r="K23" s="59"/>
      <c r="M23" t="s">
        <v>6659</v>
      </c>
      <c r="N23" cm="1">
        <f t="array" ref="N23">SUMPRODUCT((LEFT('Medical Sales'!D3:D196,4)="2022")*('Medical Sales'!G3:G196&lt;3000)*('Medical Sales'!G3:G196&gt;0)*('Medical Sales'!U3:U196&lt;&gt;"Yes"))</f>
        <v>0</v>
      </c>
    </row>
    <row r="24" spans="1:15" ht="19">
      <c r="A24" s="84" t="s">
        <v>6256</v>
      </c>
      <c r="B24" s="84"/>
      <c r="C24" s="84"/>
      <c r="D24" s="84"/>
      <c r="E24" s="84"/>
      <c r="F24" s="84"/>
      <c r="G24" s="84"/>
      <c r="H24" s="84"/>
      <c r="I24" s="84"/>
      <c r="J24" s="84"/>
      <c r="K24" s="84"/>
      <c r="M24" t="s">
        <v>6658</v>
      </c>
      <c r="N24" cm="1">
        <f t="array" ref="N24">SUMPRODUCT((LEFT('Medical Sales'!D3:D196,4)="2022")*('Medical Sales'!G3:G196&gt;=3000)*('Medical Sales'!G3:G196&lt;6000)*('Medical Sales'!U3:U196&lt;&gt;"Yes"))</f>
        <v>3</v>
      </c>
    </row>
    <row r="25" spans="1:15">
      <c r="A25" s="86" t="s">
        <v>6257</v>
      </c>
      <c r="B25" s="59"/>
      <c r="C25" s="59"/>
      <c r="D25" s="315" t="s">
        <v>6285</v>
      </c>
      <c r="E25" s="106"/>
      <c r="F25" s="106"/>
      <c r="G25" s="106"/>
      <c r="H25" s="106"/>
      <c r="I25" s="106"/>
      <c r="J25" s="106"/>
      <c r="K25" s="317"/>
      <c r="M25" t="s">
        <v>6657</v>
      </c>
      <c r="N25" cm="1">
        <f t="array" ref="N25">SUMPRODUCT((LEFT('Medical Sales'!D3:D196,4)="2022")*('Medical Sales'!G3:G196&gt;=6000)*('Medical Sales'!G3:G196&lt;10000)*('Medical Sales'!U3:U196&lt;&gt;"Yes"))</f>
        <v>0</v>
      </c>
    </row>
    <row r="26" spans="1:15">
      <c r="A26" s="57" t="s">
        <v>6405</v>
      </c>
      <c r="B26" s="62" cm="1">
        <f t="array" ref="B26">SUMPRODUCT((LEFT('Medical Sales'!D3:D196,4)="2022")*('Medical Sales'!G3:G196&lt;6000)*('Medical Sales'!G3:G196&gt;0)*('Medical Sales'!U3:U196&lt;&gt;"Yes"))</f>
        <v>3</v>
      </c>
      <c r="C26" s="59"/>
      <c r="D26" s="316" t="s">
        <v>6404</v>
      </c>
      <c r="E26" s="108"/>
      <c r="F26" s="108"/>
      <c r="G26" s="108"/>
      <c r="H26" s="108"/>
      <c r="I26" s="108"/>
      <c r="J26" s="108"/>
      <c r="K26" s="168"/>
      <c r="M26" t="s">
        <v>6655</v>
      </c>
      <c r="N26" cm="1">
        <f t="array" ref="N26">SUMPRODUCT((LEFT('Medical Sales'!D3:D196,4)="2022")*('Medical Sales'!G3:G196&gt;=10000)*('Medical Sales'!G3:G196&lt;20000)*('Medical Sales'!U3:U196&lt;&gt;"Yes"))</f>
        <v>0</v>
      </c>
    </row>
    <row r="27" spans="1:15">
      <c r="A27" s="57" t="s">
        <v>6216</v>
      </c>
      <c r="B27" s="63" cm="1">
        <f t="array" ref="B27">SUMPRODUCT((LEFT('Medical Sales'!D3:D196,4)="2022")*('Medical Sales'!G3:G196&lt;6000)*('Medical Sales'!G3:G196&gt;0)*('Medical Sales'!U3:U196&lt;&gt;"Yes")*('Medical Sales'!E3:E196))</f>
        <v>12370000</v>
      </c>
      <c r="C27" s="59"/>
      <c r="D27" s="165"/>
      <c r="E27" s="108"/>
      <c r="F27" s="108"/>
      <c r="G27" s="108"/>
      <c r="H27" s="108"/>
      <c r="I27" s="108"/>
      <c r="J27" s="108"/>
      <c r="K27" s="168"/>
      <c r="M27" t="s">
        <v>6656</v>
      </c>
      <c r="N27" cm="1">
        <f t="array" ref="N27">SUMPRODUCT((LEFT('Medical Sales'!D3:D196,4)="2022")*('Medical Sales'!G3:G196&gt;=20000)*('Medical Sales'!U3:U196&lt;&gt;"Yes"))</f>
        <v>1</v>
      </c>
    </row>
    <row r="28" spans="1:15">
      <c r="A28" s="57" t="s">
        <v>6218</v>
      </c>
      <c r="B28" s="63" cm="1">
        <f t="array" ref="B28">MEDIAN(IF((LEFT('Medical Sales'!D3:D196,4)="2022")*('Medical Sales'!G3:G196&lt;6000)*('Medical Sales'!G3:G196&gt;0)*('Medical Sales'!U3:U196&lt;&gt;"Yes"),'Medical Sales'!E3:E196))</f>
        <v>3735000</v>
      </c>
      <c r="C28" s="59"/>
      <c r="D28" s="165"/>
      <c r="E28" s="108"/>
      <c r="F28" s="108"/>
      <c r="G28" s="108"/>
      <c r="H28" s="108"/>
      <c r="I28" s="108"/>
      <c r="J28" s="108"/>
      <c r="K28" s="168"/>
    </row>
    <row r="29" spans="1:15">
      <c r="A29" s="57" t="s">
        <v>6259</v>
      </c>
      <c r="B29" s="63">
        <f>IF(B26=0,"-",B27/B26)</f>
        <v>4123333.3333333335</v>
      </c>
      <c r="C29" s="59"/>
      <c r="D29" s="165"/>
      <c r="E29" s="108"/>
      <c r="F29" s="108"/>
      <c r="G29" s="108"/>
      <c r="H29" s="108"/>
      <c r="I29" s="108"/>
      <c r="J29" s="108"/>
      <c r="K29" s="168"/>
    </row>
    <row r="30" spans="1:15">
      <c r="A30" s="57" t="s">
        <v>6220</v>
      </c>
      <c r="B30" s="61" cm="1">
        <f t="array" ref="B30">MEDIAN(IF((LEFT('Medical Sales'!D3:D196,4)="2022")*('Medical Sales'!G3:G196&lt;6000)*('Medical Sales'!G3:G196&gt;0)*('Medical Sales'!U3:U196&lt;&gt;"Yes"),'Medical Sales'!F3:F196))</f>
        <v>772.0132286068623</v>
      </c>
      <c r="C30" s="59"/>
      <c r="D30" s="165"/>
      <c r="E30" s="108"/>
      <c r="F30" s="108"/>
      <c r="G30" s="108"/>
      <c r="H30" s="108"/>
      <c r="I30" s="108"/>
      <c r="J30" s="108"/>
      <c r="K30" s="168"/>
    </row>
    <row r="31" spans="1:15">
      <c r="A31" s="57" t="s">
        <v>6260</v>
      </c>
      <c r="B31" s="61" cm="1">
        <f t="array" ref="B31">IF(B26=0,"-",SUMPRODUCT((LEFT('Medical Sales'!D3:D196,4)="2022")*('Medical Sales'!G3:G196&lt;6000)*('Medical Sales'!G3:G196&gt;0)*('Medical Sales'!U3:U196&lt;&gt;"Yes")*('Medical Sales'!F3:F196))/B26)</f>
        <v>756.5990233802346</v>
      </c>
      <c r="C31" s="59"/>
      <c r="D31" s="165"/>
      <c r="E31" s="108"/>
      <c r="F31" s="108"/>
      <c r="G31" s="108"/>
      <c r="H31" s="108"/>
      <c r="I31" s="108"/>
      <c r="J31" s="108"/>
      <c r="K31" s="168"/>
    </row>
    <row r="32" spans="1:15">
      <c r="A32" s="57" t="s">
        <v>6261</v>
      </c>
      <c r="B32" s="62" cm="1">
        <f t="array" ref="B32">IF(B26=0,"-",SUMPRODUCT((LEFT('Medical Sales'!D3:D196,4)="2022")*('Medical Sales'!G3:G196&lt;6000)*('Medical Sales'!G3:G196&gt;0)*('Medical Sales'!U3:U196&lt;&gt;"Yes")*('Medical Sales'!G3:G196))/B26)</f>
        <v>5456.666666666667</v>
      </c>
      <c r="C32" s="59"/>
      <c r="D32" s="165"/>
      <c r="E32" s="108"/>
      <c r="F32" s="108"/>
      <c r="G32" s="108"/>
      <c r="H32" s="108"/>
      <c r="I32" s="108"/>
      <c r="J32" s="108"/>
      <c r="K32" s="168"/>
    </row>
    <row r="33" spans="1:11">
      <c r="A33" s="57" t="s">
        <v>6262</v>
      </c>
      <c r="B33" s="63" cm="1">
        <f t="array" ref="B33">MIN(IF((LEFT('Medical Sales'!D3:D196,4)="2022")*('Medical Sales'!G3:G196&lt;6000)*('Medical Sales'!G3:G196&gt;0)*('Medical Sales'!U3:U196&lt;&gt;"Yes"),'Medical Sales'!E3:E196))</f>
        <v>3735000</v>
      </c>
      <c r="C33" s="59"/>
      <c r="D33" s="165"/>
      <c r="E33" s="108"/>
      <c r="F33" s="108"/>
      <c r="G33" s="108"/>
      <c r="H33" s="108"/>
      <c r="I33" s="108"/>
      <c r="J33" s="108"/>
      <c r="K33" s="168"/>
    </row>
    <row r="34" spans="1:11" ht="17" thickBot="1">
      <c r="A34" s="57" t="s">
        <v>6263</v>
      </c>
      <c r="B34" s="63" cm="1">
        <f t="array" ref="B34">MAX(IF((LEFT('Medical Sales'!D3:D196,4)="2022")*('Medical Sales'!G3:G196&lt;6000)*('Medical Sales'!G3:G196&gt;0)*('Medical Sales'!U3:U196&lt;&gt;"Yes"),'Medical Sales'!E3:E196))</f>
        <v>4900000</v>
      </c>
      <c r="C34" s="59"/>
      <c r="D34" s="166"/>
      <c r="E34" s="162"/>
      <c r="F34" s="162"/>
      <c r="G34" s="162"/>
      <c r="H34" s="162"/>
      <c r="I34" s="162"/>
      <c r="J34" s="162"/>
      <c r="K34" s="169"/>
    </row>
    <row r="35" spans="1:11">
      <c r="A35" s="59"/>
      <c r="B35" s="59"/>
      <c r="C35" s="59"/>
      <c r="D35" s="59"/>
      <c r="E35" s="59"/>
      <c r="F35" s="59"/>
      <c r="G35" s="59"/>
      <c r="H35" s="59"/>
      <c r="I35" s="59"/>
      <c r="J35" s="59"/>
      <c r="K35" s="59"/>
    </row>
    <row r="36" spans="1:11">
      <c r="A36" s="86" t="s">
        <v>6264</v>
      </c>
      <c r="B36" s="59"/>
      <c r="C36" s="59"/>
      <c r="D36" s="59"/>
      <c r="E36" s="59"/>
      <c r="F36" s="59"/>
      <c r="G36" s="59"/>
      <c r="H36" s="59"/>
      <c r="I36" s="59"/>
      <c r="J36" s="59"/>
      <c r="K36" s="59"/>
    </row>
    <row r="37" spans="1:11">
      <c r="A37" s="310" t="s">
        <v>2</v>
      </c>
      <c r="B37" s="310" t="s">
        <v>6215</v>
      </c>
      <c r="C37" s="310" t="s">
        <v>6218</v>
      </c>
      <c r="D37" s="310" t="s">
        <v>6220</v>
      </c>
      <c r="E37" s="310" t="s">
        <v>6221</v>
      </c>
      <c r="F37" s="310" t="s">
        <v>6230</v>
      </c>
      <c r="G37" s="310" t="s">
        <v>6231</v>
      </c>
      <c r="H37" s="59"/>
      <c r="I37" s="59"/>
      <c r="J37" s="59"/>
      <c r="K37" s="59"/>
    </row>
    <row r="38" spans="1:11">
      <c r="A38" s="309" t="s">
        <v>33</v>
      </c>
      <c r="B38" s="117" cm="1">
        <f t="array" ref="B38">SUMPRODUCT(('Medical Sales'!C3:C196="Orange")*(LEFT('Medical Sales'!D3:D196,4)="2022")*('Medical Sales'!G3:G196&lt;6000)*('Medical Sales'!G3:G196&gt;0)*('Medical Sales'!U3:U196&lt;&gt;"Yes"))</f>
        <v>1</v>
      </c>
      <c r="C38" s="118" cm="1">
        <f t="array" ref="C38">IFERROR(MEDIAN(IF(('Medical Sales'!C3:C196="Orange")*(LEFT('Medical Sales'!D3:D196,4)="2022")*('Medical Sales'!G3:G196&lt;6000)*('Medical Sales'!G3:G196&gt;0)*('Medical Sales'!U3:U196&lt;&gt;"Yes"),'Medical Sales'!E3:E196)),"-")</f>
        <v>4900000</v>
      </c>
      <c r="D38" s="119" cm="1">
        <f t="array" ref="D38">IFERROR(MEDIAN(IF(('Medical Sales'!C3:C196="Orange")*(LEFT('Medical Sales'!D3:D196,4)="2022")*('Medical Sales'!G3:G196&lt;6000)*('Medical Sales'!G3:G196&gt;0)*('Medical Sales'!U3:U196&lt;&gt;"Yes"),'Medical Sales'!F3:F196)),"-")</f>
        <v>850.69444444444446</v>
      </c>
      <c r="E38" s="117" cm="1">
        <f t="array" ref="E38">IF(B38=0,"-",SUMPRODUCT(('Medical Sales'!C3:C196="Orange")*(LEFT('Medical Sales'!D3:D196,4)="2022")*('Medical Sales'!G3:G196&lt;6000)*('Medical Sales'!G3:G196&gt;0)*('Medical Sales'!U3:U196&lt;&gt;"Yes")*('Medical Sales'!G3:G196))/B38)</f>
        <v>5760</v>
      </c>
      <c r="F38" s="118" cm="1">
        <f t="array" ref="F38">IFERROR(MIN(IF(('Medical Sales'!C3:C196="Orange")*(LEFT('Medical Sales'!D3:D196,4)="2022")*('Medical Sales'!G3:G196&lt;6000)*('Medical Sales'!G3:G196&gt;0)*('Medical Sales'!U3:U196&lt;&gt;"Yes"),'Medical Sales'!E3:E196)),"-")</f>
        <v>4900000</v>
      </c>
      <c r="G38" s="118" cm="1">
        <f t="array" ref="G38">IFERROR(MAX(IF(('Medical Sales'!C3:C196="Orange")*(LEFT('Medical Sales'!D3:D196,4)="2022")*('Medical Sales'!G3:G196&lt;6000)*('Medical Sales'!G3:G196&gt;0)*('Medical Sales'!U3:U196&lt;&gt;"Yes"),'Medical Sales'!E3:E196)),"-")</f>
        <v>4900000</v>
      </c>
      <c r="H38" s="59"/>
      <c r="I38" s="59"/>
      <c r="J38" s="59"/>
      <c r="K38" s="59"/>
    </row>
    <row r="39" spans="1:11">
      <c r="A39" s="309" t="s">
        <v>20</v>
      </c>
      <c r="B39" s="117" cm="1">
        <f t="array" ref="B39">SUMPRODUCT(('Medical Sales'!C3:C196="Seminole")*(LEFT('Medical Sales'!D3:D196,4)="2022")*('Medical Sales'!G3:G196&lt;6000)*('Medical Sales'!G3:G196&gt;0)*('Medical Sales'!U3:U196&lt;&gt;"Yes"))</f>
        <v>2</v>
      </c>
      <c r="C39" s="118" cm="1">
        <f t="array" ref="C39">IFERROR(MEDIAN(IF(('Medical Sales'!C3:C196="Seminole")*(LEFT('Medical Sales'!D3:D196,4)="2022")*('Medical Sales'!G3:G196&lt;6000)*('Medical Sales'!G3:G196&gt;0)*('Medical Sales'!U3:U196&lt;&gt;"Yes"),'Medical Sales'!E3:E196)),"-")</f>
        <v>3735000</v>
      </c>
      <c r="D39" s="119" cm="1">
        <f t="array" ref="D39">IFERROR(MEDIAN(IF(('Medical Sales'!C3:C196="Seminole")*(LEFT('Medical Sales'!D3:D196,4)="2022")*('Medical Sales'!G3:G196&lt;6000)*('Medical Sales'!G3:G196&gt;0)*('Medical Sales'!U3:U196&lt;&gt;"Yes"),'Medical Sales'!F3:F196)),"-")</f>
        <v>709.55131284812967</v>
      </c>
      <c r="E39" s="117" cm="1">
        <f t="array" ref="E39">IF(B39=0,"-",SUMPRODUCT(('Medical Sales'!C3:C196="Seminole")*(LEFT('Medical Sales'!D3:D196,4)="2022")*('Medical Sales'!G3:G196&lt;6000)*('Medical Sales'!G3:G196&gt;0)*('Medical Sales'!U3:U196&lt;&gt;"Yes")*('Medical Sales'!G3:G196))/B39)</f>
        <v>5305</v>
      </c>
      <c r="F39" s="118" cm="1">
        <f t="array" ref="F39">IFERROR(MIN(IF(('Medical Sales'!C3:C196="Seminole")*(LEFT('Medical Sales'!D3:D196,4)="2022")*('Medical Sales'!G3:G196&lt;6000)*('Medical Sales'!G3:G196&gt;0)*('Medical Sales'!U3:U196&lt;&gt;"Yes"),'Medical Sales'!E3:E196)),"-")</f>
        <v>3735000</v>
      </c>
      <c r="G39" s="118" cm="1">
        <f t="array" ref="G39">IFERROR(MAX(IF(('Medical Sales'!C3:C196="Seminole")*(LEFT('Medical Sales'!D3:D196,4)="2022")*('Medical Sales'!G3:G196&lt;6000)*('Medical Sales'!G3:G196&gt;0)*('Medical Sales'!U3:U196&lt;&gt;"Yes"),'Medical Sales'!E3:E196)),"-")</f>
        <v>3735000</v>
      </c>
      <c r="H39" s="59"/>
      <c r="I39" s="59"/>
      <c r="J39" s="59"/>
      <c r="K39" s="59"/>
    </row>
    <row r="40" spans="1:11">
      <c r="A40" s="309" t="s">
        <v>678</v>
      </c>
      <c r="B40" s="117" cm="1">
        <f t="array" ref="B40">SUMPRODUCT(('Medical Sales'!C3:C196="Osceola")*(LEFT('Medical Sales'!D3:D196,4)="2022")*('Medical Sales'!G3:G196&lt;6000)*('Medical Sales'!G3:G196&gt;0)*('Medical Sales'!U3:U196&lt;&gt;"Yes"))</f>
        <v>0</v>
      </c>
      <c r="C40" s="118" t="str" cm="1">
        <f t="array" ref="C40">IFERROR(MEDIAN(IF(('Medical Sales'!C3:C196="Osceola")*(LEFT('Medical Sales'!D3:D196,4)="2022")*('Medical Sales'!G3:G196&lt;6000)*('Medical Sales'!G3:G196&gt;0)*('Medical Sales'!U3:U196&lt;&gt;"Yes"),'Medical Sales'!E3:E196)),"-")</f>
        <v>-</v>
      </c>
      <c r="D40" s="119" t="str" cm="1">
        <f t="array" ref="D40">IFERROR(MEDIAN(IF(('Medical Sales'!C3:C196="Osceola")*(LEFT('Medical Sales'!D3:D196,4)="2022")*('Medical Sales'!G3:G196&lt;6000)*('Medical Sales'!G3:G196&gt;0)*('Medical Sales'!U3:U196&lt;&gt;"Yes"),'Medical Sales'!F3:F196)),"-")</f>
        <v>-</v>
      </c>
      <c r="E40" s="117" t="str" cm="1">
        <f t="array" ref="E40">IF(B40=0,"-",SUMPRODUCT(('Medical Sales'!C3:C196="Osceola")*(LEFT('Medical Sales'!D3:D196,4)="2022")*('Medical Sales'!G3:G196&lt;6000)*('Medical Sales'!G3:G196&gt;0)*('Medical Sales'!U3:U196&lt;&gt;"Yes")*('Medical Sales'!G3:G196))/B40)</f>
        <v>-</v>
      </c>
      <c r="F40" s="118" cm="1">
        <f t="array" ref="F40">IFERROR(MIN(IF(('Medical Sales'!C3:C196="Osceola")*(LEFT('Medical Sales'!D3:D196,4)="2022")*('Medical Sales'!G3:G196&lt;6000)*('Medical Sales'!G3:G196&gt;0)*('Medical Sales'!U3:U196&lt;&gt;"Yes"),'Medical Sales'!E3:E196)),"-")</f>
        <v>0</v>
      </c>
      <c r="G40" s="118" cm="1">
        <f t="array" ref="G40">IFERROR(MAX(IF(('Medical Sales'!C3:C196="Osceola")*(LEFT('Medical Sales'!D3:D196,4)="2022")*('Medical Sales'!G3:G196&lt;6000)*('Medical Sales'!G3:G196&gt;0)*('Medical Sales'!U3:U196&lt;&gt;"Yes"),'Medical Sales'!E3:E196)),"-")</f>
        <v>0</v>
      </c>
      <c r="H40" s="59"/>
      <c r="I40" s="59"/>
      <c r="J40" s="59"/>
      <c r="K40" s="59"/>
    </row>
    <row r="41" spans="1:11">
      <c r="A41" s="309" t="s">
        <v>184</v>
      </c>
      <c r="B41" s="117" cm="1">
        <f t="array" ref="B41">SUMPRODUCT(('Medical Sales'!C3:C196="Lake")*(LEFT('Medical Sales'!D3:D196,4)="2022")*('Medical Sales'!G3:G196&lt;6000)*('Medical Sales'!G3:G196&gt;0)*('Medical Sales'!U3:U196&lt;&gt;"Yes"))</f>
        <v>0</v>
      </c>
      <c r="C41" s="118" t="str" cm="1">
        <f t="array" ref="C41">IFERROR(MEDIAN(IF(('Medical Sales'!C3:C196="Lake")*(LEFT('Medical Sales'!D3:D196,4)="2022")*('Medical Sales'!G3:G196&lt;6000)*('Medical Sales'!G3:G196&gt;0)*('Medical Sales'!U3:U196&lt;&gt;"Yes"),'Medical Sales'!E3:E196)),"-")</f>
        <v>-</v>
      </c>
      <c r="D41" s="119" t="str" cm="1">
        <f t="array" ref="D41">IFERROR(MEDIAN(IF(('Medical Sales'!C3:C196="Lake")*(LEFT('Medical Sales'!D3:D196,4)="2022")*('Medical Sales'!G3:G196&lt;6000)*('Medical Sales'!G3:G196&gt;0)*('Medical Sales'!U3:U196&lt;&gt;"Yes"),'Medical Sales'!F3:F196)),"-")</f>
        <v>-</v>
      </c>
      <c r="E41" s="117" t="str" cm="1">
        <f t="array" ref="E41">IF(B41=0,"-",SUMPRODUCT(('Medical Sales'!C3:C196="Lake")*(LEFT('Medical Sales'!D3:D196,4)="2022")*('Medical Sales'!G3:G196&lt;6000)*('Medical Sales'!G3:G196&gt;0)*('Medical Sales'!U3:U196&lt;&gt;"Yes")*('Medical Sales'!G3:G196))/B41)</f>
        <v>-</v>
      </c>
      <c r="F41" s="118" cm="1">
        <f t="array" ref="F41">IFERROR(MIN(IF(('Medical Sales'!C3:C196="Lake")*(LEFT('Medical Sales'!D3:D196,4)="2022")*('Medical Sales'!G3:G196&lt;6000)*('Medical Sales'!G3:G196&gt;0)*('Medical Sales'!U3:U196&lt;&gt;"Yes"),'Medical Sales'!E3:E196)),"-")</f>
        <v>0</v>
      </c>
      <c r="G41" s="118" cm="1">
        <f t="array" ref="G41">IFERROR(MAX(IF(('Medical Sales'!C3:C196="Lake")*(LEFT('Medical Sales'!D3:D196,4)="2022")*('Medical Sales'!G3:G196&lt;6000)*('Medical Sales'!G3:G196&gt;0)*('Medical Sales'!U3:U196&lt;&gt;"Yes"),'Medical Sales'!E3:E196)),"-")</f>
        <v>0</v>
      </c>
      <c r="H41" s="59"/>
      <c r="I41" s="59"/>
      <c r="J41" s="59"/>
      <c r="K41" s="59"/>
    </row>
    <row r="42" spans="1:11">
      <c r="A42" s="59"/>
      <c r="B42" s="59"/>
      <c r="C42" s="59"/>
      <c r="D42" s="59"/>
      <c r="E42" s="59"/>
      <c r="F42" s="59"/>
      <c r="G42" s="59"/>
      <c r="H42" s="59"/>
      <c r="I42" s="59"/>
      <c r="J42" s="59"/>
      <c r="K42" s="59"/>
    </row>
    <row r="43" spans="1:11" ht="19">
      <c r="A43" s="181" t="s">
        <v>6406</v>
      </c>
      <c r="B43" s="181"/>
      <c r="C43" s="181"/>
      <c r="D43" s="181"/>
      <c r="E43" s="181"/>
      <c r="F43" s="181"/>
      <c r="G43" s="181"/>
      <c r="H43" s="181"/>
      <c r="I43" s="181"/>
      <c r="J43" s="181"/>
      <c r="K43" s="181"/>
    </row>
    <row r="44" spans="1:11">
      <c r="A44" s="183" t="s">
        <v>6408</v>
      </c>
      <c r="B44" s="59"/>
      <c r="C44" s="59"/>
      <c r="D44" s="318" t="s">
        <v>6407</v>
      </c>
      <c r="E44" s="184"/>
      <c r="F44" s="184"/>
      <c r="G44" s="184"/>
      <c r="H44" s="184"/>
      <c r="I44" s="184"/>
      <c r="J44" s="184"/>
      <c r="K44" s="321"/>
    </row>
    <row r="45" spans="1:11">
      <c r="A45" s="57" t="s">
        <v>6409</v>
      </c>
      <c r="B45" s="62" cm="1">
        <f t="array" ref="B45">SUMPRODUCT((LEFT('Medical Sales'!D3:D196,4)="2022")*('Medical Sales'!G3:G196&gt;=6000)*('Medical Sales'!G3:G196&lt;10000)*('Medical Sales'!U3:U196&lt;&gt;"Yes"))</f>
        <v>0</v>
      </c>
      <c r="C45" s="59"/>
      <c r="D45" s="319" t="s">
        <v>6404</v>
      </c>
      <c r="E45" s="298"/>
      <c r="F45" s="298"/>
      <c r="G45" s="298"/>
      <c r="H45" s="298"/>
      <c r="I45" s="298"/>
      <c r="J45" s="298"/>
      <c r="K45" s="322"/>
    </row>
    <row r="46" spans="1:11">
      <c r="A46" s="57" t="s">
        <v>6216</v>
      </c>
      <c r="B46" s="63" cm="1">
        <f t="array" ref="B46">SUMPRODUCT((LEFT('Medical Sales'!D3:D196,4)="2022")*('Medical Sales'!G3:G196&gt;=6000)*('Medical Sales'!G3:G196&lt;10000)*('Medical Sales'!U3:U196&lt;&gt;"Yes")*('Medical Sales'!E3:E196))</f>
        <v>0</v>
      </c>
      <c r="C46" s="59"/>
      <c r="D46" s="320"/>
      <c r="E46" s="298"/>
      <c r="F46" s="298"/>
      <c r="G46" s="298"/>
      <c r="H46" s="298"/>
      <c r="I46" s="298"/>
      <c r="J46" s="298"/>
      <c r="K46" s="322"/>
    </row>
    <row r="47" spans="1:11">
      <c r="A47" s="57" t="s">
        <v>6218</v>
      </c>
      <c r="B47" s="63" t="str" cm="1">
        <f t="array" ref="B47">IFERROR(MEDIAN(IF((LEFT('Medical Sales'!D3:D196,4)="2022")*('Medical Sales'!G3:G196&gt;=6000)*('Medical Sales'!G3:G196&lt;10000)*('Medical Sales'!U3:U196&lt;&gt;"Yes"),'Medical Sales'!E3:E196)),"-")</f>
        <v>-</v>
      </c>
      <c r="C47" s="59"/>
      <c r="D47" s="320"/>
      <c r="E47" s="298"/>
      <c r="F47" s="298"/>
      <c r="G47" s="298"/>
      <c r="H47" s="298"/>
      <c r="I47" s="298"/>
      <c r="J47" s="298"/>
      <c r="K47" s="322"/>
    </row>
    <row r="48" spans="1:11">
      <c r="A48" s="57" t="s">
        <v>6259</v>
      </c>
      <c r="B48" s="63" t="str">
        <f>IF(B45=0,"-",B46/B45)</f>
        <v>-</v>
      </c>
      <c r="C48" s="59"/>
      <c r="D48" s="320"/>
      <c r="E48" s="298"/>
      <c r="F48" s="298"/>
      <c r="G48" s="298"/>
      <c r="H48" s="298"/>
      <c r="I48" s="298"/>
      <c r="J48" s="298"/>
      <c r="K48" s="322"/>
    </row>
    <row r="49" spans="1:11">
      <c r="A49" s="57" t="s">
        <v>6220</v>
      </c>
      <c r="B49" s="61" t="str" cm="1">
        <f t="array" ref="B49">IFERROR(MEDIAN(IF((LEFT('Medical Sales'!D3:D196,4)="2022")*('Medical Sales'!G3:G196&gt;=6000)*('Medical Sales'!G3:G196&lt;10000)*('Medical Sales'!U3:U196&lt;&gt;"Yes"),'Medical Sales'!F3:F196)),"-")</f>
        <v>-</v>
      </c>
      <c r="C49" s="59"/>
      <c r="D49" s="320"/>
      <c r="E49" s="298"/>
      <c r="F49" s="298"/>
      <c r="G49" s="298"/>
      <c r="H49" s="298"/>
      <c r="I49" s="298"/>
      <c r="J49" s="298"/>
      <c r="K49" s="322"/>
    </row>
    <row r="50" spans="1:11">
      <c r="A50" s="57" t="s">
        <v>6260</v>
      </c>
      <c r="B50" s="61" t="str" cm="1">
        <f t="array" ref="B50">IF(B45=0,"-",SUMPRODUCT((LEFT('Medical Sales'!D3:D196,4)="2022")*('Medical Sales'!G3:G196&gt;=6000)*('Medical Sales'!G3:G196&lt;10000)*('Medical Sales'!U3:U196&lt;&gt;"Yes")*('Medical Sales'!F3:F196))/B45)</f>
        <v>-</v>
      </c>
      <c r="C50" s="59"/>
      <c r="D50" s="320"/>
      <c r="E50" s="298"/>
      <c r="F50" s="298"/>
      <c r="G50" s="298"/>
      <c r="H50" s="298"/>
      <c r="I50" s="298"/>
      <c r="J50" s="298"/>
      <c r="K50" s="322"/>
    </row>
    <row r="51" spans="1:11">
      <c r="A51" s="57" t="s">
        <v>6261</v>
      </c>
      <c r="B51" s="62" t="str" cm="1">
        <f t="array" ref="B51">IF(B45=0,"-",SUMPRODUCT((LEFT('Medical Sales'!D3:D196,4)="2022")*('Medical Sales'!G3:G196&gt;=6000)*('Medical Sales'!G3:G196&lt;10000)*('Medical Sales'!U3:U196&lt;&gt;"Yes")*('Medical Sales'!G3:G196))/B45)</f>
        <v>-</v>
      </c>
      <c r="C51" s="59"/>
      <c r="D51" s="320"/>
      <c r="E51" s="298"/>
      <c r="F51" s="298"/>
      <c r="G51" s="298"/>
      <c r="H51" s="298"/>
      <c r="I51" s="298"/>
      <c r="J51" s="298"/>
      <c r="K51" s="322"/>
    </row>
    <row r="52" spans="1:11">
      <c r="A52" s="57" t="s">
        <v>6262</v>
      </c>
      <c r="B52" s="63" cm="1">
        <f t="array" ref="B52">IFERROR(MIN(IF((LEFT('Medical Sales'!D3:D196,4)="2022")*('Medical Sales'!G3:G196&gt;=6000)*('Medical Sales'!G3:G196&lt;10000)*('Medical Sales'!U3:U196&lt;&gt;"Yes"),'Medical Sales'!E3:E196)),"-")</f>
        <v>0</v>
      </c>
      <c r="C52" s="59"/>
      <c r="D52" s="320"/>
      <c r="E52" s="298"/>
      <c r="F52" s="298"/>
      <c r="G52" s="298"/>
      <c r="H52" s="298"/>
      <c r="I52" s="298"/>
      <c r="J52" s="298"/>
      <c r="K52" s="322"/>
    </row>
    <row r="53" spans="1:11" ht="17" thickBot="1">
      <c r="A53" s="57" t="s">
        <v>6263</v>
      </c>
      <c r="B53" s="63" cm="1">
        <f t="array" ref="B53">IFERROR(MAX(IF((LEFT('Medical Sales'!D3:D196,4)="2022")*('Medical Sales'!G3:G196&gt;=6000)*('Medical Sales'!G3:G196&lt;10000)*('Medical Sales'!U3:U196&lt;&gt;"Yes"),'Medical Sales'!E3:E196)),"-")</f>
        <v>0</v>
      </c>
      <c r="C53" s="59"/>
      <c r="D53" s="323"/>
      <c r="E53" s="324"/>
      <c r="F53" s="324"/>
      <c r="G53" s="324"/>
      <c r="H53" s="324"/>
      <c r="I53" s="324"/>
      <c r="J53" s="324"/>
      <c r="K53" s="325"/>
    </row>
    <row r="54" spans="1:11">
      <c r="A54" s="59"/>
      <c r="B54" s="59"/>
      <c r="C54" s="59"/>
      <c r="D54" s="59"/>
      <c r="E54" s="59"/>
      <c r="F54" s="59"/>
      <c r="G54" s="59"/>
      <c r="H54" s="59"/>
      <c r="I54" s="59"/>
      <c r="J54" s="59"/>
      <c r="K54" s="59"/>
    </row>
    <row r="55" spans="1:11">
      <c r="A55" s="183" t="s">
        <v>6410</v>
      </c>
      <c r="B55" s="59"/>
      <c r="C55" s="59"/>
      <c r="D55" s="59"/>
      <c r="E55" s="59"/>
      <c r="F55" s="59"/>
      <c r="G55" s="59"/>
      <c r="H55" s="59"/>
      <c r="I55" s="59"/>
      <c r="J55" s="59"/>
      <c r="K55" s="59"/>
    </row>
    <row r="56" spans="1:11">
      <c r="A56" s="311" t="s">
        <v>2</v>
      </c>
      <c r="B56" s="311" t="s">
        <v>6215</v>
      </c>
      <c r="C56" s="311" t="s">
        <v>6218</v>
      </c>
      <c r="D56" s="311" t="s">
        <v>6220</v>
      </c>
      <c r="E56" s="311" t="s">
        <v>6221</v>
      </c>
      <c r="F56" s="311" t="s">
        <v>6230</v>
      </c>
      <c r="G56" s="311" t="s">
        <v>6231</v>
      </c>
      <c r="H56" s="59"/>
      <c r="I56" s="59"/>
      <c r="J56" s="59"/>
      <c r="K56" s="59"/>
    </row>
    <row r="57" spans="1:11">
      <c r="A57" s="309" t="s">
        <v>33</v>
      </c>
      <c r="B57" s="117" cm="1">
        <f t="array" ref="B57">SUMPRODUCT(('Medical Sales'!C3:C196="Orange")*(LEFT('Medical Sales'!D3:D196,4)="2022")*('Medical Sales'!G3:G196&gt;=6000)*('Medical Sales'!G3:G196&lt;10000)*('Medical Sales'!U3:U196&lt;&gt;"Yes"))</f>
        <v>0</v>
      </c>
      <c r="C57" s="118" t="str" cm="1">
        <f t="array" ref="C57">IFERROR(MEDIAN(IF(('Medical Sales'!C3:C196="Orange")*(LEFT('Medical Sales'!D3:D196,4)="2022")*('Medical Sales'!G3:G196&gt;=6000)*('Medical Sales'!G3:G196&lt;10000)*('Medical Sales'!U3:U196&lt;&gt;"Yes"),'Medical Sales'!E3:E196)),"-")</f>
        <v>-</v>
      </c>
      <c r="D57" s="119" t="str" cm="1">
        <f t="array" ref="D57">IFERROR(MEDIAN(IF(('Medical Sales'!C3:C196="Orange")*(LEFT('Medical Sales'!D3:D196,4)="2022")*('Medical Sales'!G3:G196&gt;=6000)*('Medical Sales'!G3:G196&lt;10000)*('Medical Sales'!U3:U196&lt;&gt;"Yes"),'Medical Sales'!F3:F196)),"-")</f>
        <v>-</v>
      </c>
      <c r="E57" s="117" t="str" cm="1">
        <f t="array" ref="E57">IF(B57=0,"-",SUMPRODUCT(('Medical Sales'!C3:C196="Orange")*(LEFT('Medical Sales'!D3:D196,4)="2022")*('Medical Sales'!G3:G196&gt;=6000)*('Medical Sales'!G3:G196&lt;10000)*('Medical Sales'!U3:U196&lt;&gt;"Yes")*('Medical Sales'!G3:G196))/B57)</f>
        <v>-</v>
      </c>
      <c r="F57" s="118" cm="1">
        <f t="array" ref="F57">IFERROR(MIN(IF(('Medical Sales'!C3:C196="Orange")*(LEFT('Medical Sales'!D3:D196,4)="2022")*('Medical Sales'!G3:G196&gt;=6000)*('Medical Sales'!G3:G196&lt;10000)*('Medical Sales'!U3:U196&lt;&gt;"Yes"),'Medical Sales'!E3:E196)),"-")</f>
        <v>0</v>
      </c>
      <c r="G57" s="118" cm="1">
        <f t="array" ref="G57">IFERROR(MAX(IF(('Medical Sales'!C3:C196="Orange")*(LEFT('Medical Sales'!D3:D196,4)="2022")*('Medical Sales'!G3:G196&gt;=6000)*('Medical Sales'!G3:G196&lt;10000)*('Medical Sales'!U3:U196&lt;&gt;"Yes"),'Medical Sales'!E3:E196)),"-")</f>
        <v>0</v>
      </c>
      <c r="H57" s="59"/>
      <c r="I57" s="59"/>
      <c r="J57" s="59"/>
      <c r="K57" s="59"/>
    </row>
    <row r="58" spans="1:11">
      <c r="A58" s="309" t="s">
        <v>20</v>
      </c>
      <c r="B58" s="117" cm="1">
        <f t="array" ref="B58">SUMPRODUCT(('Medical Sales'!C3:C196="Seminole")*(LEFT('Medical Sales'!D3:D196,4)="2022")*('Medical Sales'!G3:G196&gt;=6000)*('Medical Sales'!G3:G196&lt;10000)*('Medical Sales'!U3:U196&lt;&gt;"Yes"))</f>
        <v>0</v>
      </c>
      <c r="C58" s="118" t="str" cm="1">
        <f t="array" ref="C58">IFERROR(MEDIAN(IF(('Medical Sales'!C3:C196="Seminole")*(LEFT('Medical Sales'!D3:D196,4)="2022")*('Medical Sales'!G3:G196&gt;=6000)*('Medical Sales'!G3:G196&lt;10000)*('Medical Sales'!U3:U196&lt;&gt;"Yes"),'Medical Sales'!E3:E196)),"-")</f>
        <v>-</v>
      </c>
      <c r="D58" s="119" t="str" cm="1">
        <f t="array" ref="D58">IFERROR(MEDIAN(IF(('Medical Sales'!C3:C196="Seminole")*(LEFT('Medical Sales'!D3:D196,4)="2022")*('Medical Sales'!G3:G196&gt;=6000)*('Medical Sales'!G3:G196&lt;10000)*('Medical Sales'!U3:U196&lt;&gt;"Yes"),'Medical Sales'!F3:F196)),"-")</f>
        <v>-</v>
      </c>
      <c r="E58" s="117" t="str" cm="1">
        <f t="array" ref="E58">IF(B58=0,"-",SUMPRODUCT(('Medical Sales'!C3:C196="Seminole")*(LEFT('Medical Sales'!D3:D196,4)="2022")*('Medical Sales'!G3:G196&gt;=6000)*('Medical Sales'!G3:G196&lt;10000)*('Medical Sales'!U3:U196&lt;&gt;"Yes")*('Medical Sales'!G3:G196))/B58)</f>
        <v>-</v>
      </c>
      <c r="F58" s="118" cm="1">
        <f t="array" ref="F58">IFERROR(MIN(IF(('Medical Sales'!C3:C196="Seminole")*(LEFT('Medical Sales'!D3:D196,4)="2022")*('Medical Sales'!G3:G196&gt;=6000)*('Medical Sales'!G3:G196&lt;10000)*('Medical Sales'!U3:U196&lt;&gt;"Yes"),'Medical Sales'!E3:E196)),"-")</f>
        <v>0</v>
      </c>
      <c r="G58" s="118" cm="1">
        <f t="array" ref="G58">IFERROR(MAX(IF(('Medical Sales'!C3:C196="Seminole")*(LEFT('Medical Sales'!D3:D196,4)="2022")*('Medical Sales'!G3:G196&gt;=6000)*('Medical Sales'!G3:G196&lt;10000)*('Medical Sales'!U3:U196&lt;&gt;"Yes"),'Medical Sales'!E3:E196)),"-")</f>
        <v>0</v>
      </c>
      <c r="H58" s="59"/>
      <c r="I58" s="59"/>
      <c r="J58" s="59"/>
      <c r="K58" s="59"/>
    </row>
    <row r="59" spans="1:11">
      <c r="A59" s="309" t="s">
        <v>678</v>
      </c>
      <c r="B59" s="117" cm="1">
        <f t="array" ref="B59">SUMPRODUCT(('Medical Sales'!C3:C196="Osceola")*(LEFT('Medical Sales'!D3:D196,4)="2022")*('Medical Sales'!G3:G196&gt;=6000)*('Medical Sales'!G3:G196&lt;10000)*('Medical Sales'!U3:U196&lt;&gt;"Yes"))</f>
        <v>0</v>
      </c>
      <c r="C59" s="118" t="str" cm="1">
        <f t="array" ref="C59">IFERROR(MEDIAN(IF(('Medical Sales'!C3:C196="Osceola")*(LEFT('Medical Sales'!D3:D196,4)="2022")*('Medical Sales'!G3:G196&gt;=6000)*('Medical Sales'!G3:G196&lt;10000)*('Medical Sales'!U3:U196&lt;&gt;"Yes"),'Medical Sales'!E3:E196)),"-")</f>
        <v>-</v>
      </c>
      <c r="D59" s="119" t="str" cm="1">
        <f t="array" ref="D59">IFERROR(MEDIAN(IF(('Medical Sales'!C3:C196="Osceola")*(LEFT('Medical Sales'!D3:D196,4)="2022")*('Medical Sales'!G3:G196&gt;=6000)*('Medical Sales'!G3:G196&lt;10000)*('Medical Sales'!U3:U196&lt;&gt;"Yes"),'Medical Sales'!F3:F196)),"-")</f>
        <v>-</v>
      </c>
      <c r="E59" s="117" t="str" cm="1">
        <f t="array" ref="E59">IF(B59=0,"-",SUMPRODUCT(('Medical Sales'!C3:C196="Osceola")*(LEFT('Medical Sales'!D3:D196,4)="2022")*('Medical Sales'!G3:G196&gt;=6000)*('Medical Sales'!G3:G196&lt;10000)*('Medical Sales'!U3:U196&lt;&gt;"Yes")*('Medical Sales'!G3:G196))/B59)</f>
        <v>-</v>
      </c>
      <c r="F59" s="118" cm="1">
        <f t="array" ref="F59">IFERROR(MIN(IF(('Medical Sales'!C3:C196="Osceola")*(LEFT('Medical Sales'!D3:D196,4)="2022")*('Medical Sales'!G3:G196&gt;=6000)*('Medical Sales'!G3:G196&lt;10000)*('Medical Sales'!U3:U196&lt;&gt;"Yes"),'Medical Sales'!E3:E196)),"-")</f>
        <v>0</v>
      </c>
      <c r="G59" s="118" cm="1">
        <f t="array" ref="G59">IFERROR(MAX(IF(('Medical Sales'!C3:C196="Osceola")*(LEFT('Medical Sales'!D3:D196,4)="2022")*('Medical Sales'!G3:G196&gt;=6000)*('Medical Sales'!G3:G196&lt;10000)*('Medical Sales'!U3:U196&lt;&gt;"Yes"),'Medical Sales'!E3:E196)),"-")</f>
        <v>0</v>
      </c>
      <c r="H59" s="59"/>
      <c r="I59" s="59"/>
      <c r="J59" s="59"/>
      <c r="K59" s="59"/>
    </row>
    <row r="60" spans="1:11">
      <c r="A60" s="309" t="s">
        <v>184</v>
      </c>
      <c r="B60" s="117" cm="1">
        <f t="array" ref="B60">SUMPRODUCT(('Medical Sales'!C3:C196="Lake")*(LEFT('Medical Sales'!D3:D196,4)="2022")*('Medical Sales'!G3:G196&gt;=6000)*('Medical Sales'!G3:G196&lt;10000)*('Medical Sales'!U3:U196&lt;&gt;"Yes"))</f>
        <v>0</v>
      </c>
      <c r="C60" s="118" t="str" cm="1">
        <f t="array" ref="C60">IFERROR(MEDIAN(IF(('Medical Sales'!C3:C196="Lake")*(LEFT('Medical Sales'!D3:D196,4)="2022")*('Medical Sales'!G3:G196&gt;=6000)*('Medical Sales'!G3:G196&lt;10000)*('Medical Sales'!U3:U196&lt;&gt;"Yes"),'Medical Sales'!E3:E196)),"-")</f>
        <v>-</v>
      </c>
      <c r="D60" s="119" t="str" cm="1">
        <f t="array" ref="D60">IFERROR(MEDIAN(IF(('Medical Sales'!C3:C196="Lake")*(LEFT('Medical Sales'!D3:D196,4)="2022")*('Medical Sales'!G3:G196&gt;=6000)*('Medical Sales'!G3:G196&lt;10000)*('Medical Sales'!U3:U196&lt;&gt;"Yes"),'Medical Sales'!F3:F196)),"-")</f>
        <v>-</v>
      </c>
      <c r="E60" s="117" t="str" cm="1">
        <f t="array" ref="E60">IF(B60=0,"-",SUMPRODUCT(('Medical Sales'!C3:C196="Lake")*(LEFT('Medical Sales'!D3:D196,4)="2022")*('Medical Sales'!G3:G196&gt;=6000)*('Medical Sales'!G3:G196&lt;10000)*('Medical Sales'!U3:U196&lt;&gt;"Yes")*('Medical Sales'!G3:G196))/B60)</f>
        <v>-</v>
      </c>
      <c r="F60" s="118" cm="1">
        <f t="array" ref="F60">IFERROR(MIN(IF(('Medical Sales'!C3:C196="Lake")*(LEFT('Medical Sales'!D3:D196,4)="2022")*('Medical Sales'!G3:G196&gt;=6000)*('Medical Sales'!G3:G196&lt;10000)*('Medical Sales'!U3:U196&lt;&gt;"Yes"),'Medical Sales'!E3:E196)),"-")</f>
        <v>0</v>
      </c>
      <c r="G60" s="118" cm="1">
        <f t="array" ref="G60">IFERROR(MAX(IF(('Medical Sales'!C3:C196="Lake")*(LEFT('Medical Sales'!D3:D196,4)="2022")*('Medical Sales'!G3:G196&gt;=6000)*('Medical Sales'!G3:G196&lt;10000)*('Medical Sales'!U3:U196&lt;&gt;"Yes"),'Medical Sales'!E3:E196)),"-")</f>
        <v>0</v>
      </c>
      <c r="H60" s="59"/>
      <c r="I60" s="59"/>
      <c r="J60" s="59"/>
      <c r="K60" s="59"/>
    </row>
    <row r="61" spans="1:11">
      <c r="A61" s="59"/>
      <c r="B61" s="59"/>
      <c r="C61" s="59"/>
      <c r="D61" s="59"/>
      <c r="E61" s="59"/>
      <c r="F61" s="59"/>
      <c r="G61" s="59"/>
      <c r="H61" s="59"/>
      <c r="I61" s="59"/>
      <c r="J61" s="59"/>
      <c r="K61" s="59"/>
    </row>
    <row r="62" spans="1:11" ht="19">
      <c r="A62" s="87" t="s">
        <v>6265</v>
      </c>
      <c r="B62" s="87"/>
      <c r="C62" s="87"/>
      <c r="D62" s="87"/>
      <c r="E62" s="87"/>
      <c r="F62" s="87"/>
      <c r="G62" s="87"/>
      <c r="H62" s="87"/>
      <c r="I62" s="87"/>
      <c r="J62" s="87"/>
      <c r="K62" s="87"/>
    </row>
    <row r="63" spans="1:11">
      <c r="A63" s="89" t="s">
        <v>6266</v>
      </c>
      <c r="B63" s="59"/>
      <c r="C63" s="59"/>
      <c r="D63" s="326" t="s">
        <v>6288</v>
      </c>
      <c r="E63" s="109"/>
      <c r="F63" s="109"/>
      <c r="G63" s="109"/>
      <c r="H63" s="109"/>
      <c r="I63" s="109"/>
      <c r="J63" s="109"/>
      <c r="K63" s="328"/>
    </row>
    <row r="64" spans="1:11">
      <c r="A64" s="57" t="s">
        <v>6411</v>
      </c>
      <c r="B64" s="62" cm="1">
        <f t="array" ref="B64">SUMPRODUCT((LEFT('Medical Sales'!D3:D196,4)="2022")*('Medical Sales'!G3:G196&gt;=10000)*('Medical Sales'!U3:U196&lt;&gt;"Yes"))</f>
        <v>1</v>
      </c>
      <c r="C64" s="59"/>
      <c r="D64" s="327" t="s">
        <v>6404</v>
      </c>
      <c r="E64" s="111"/>
      <c r="F64" s="111"/>
      <c r="G64" s="111"/>
      <c r="H64" s="111"/>
      <c r="I64" s="111"/>
      <c r="J64" s="111"/>
      <c r="K64" s="178"/>
    </row>
    <row r="65" spans="1:11">
      <c r="A65" s="57" t="s">
        <v>6216</v>
      </c>
      <c r="B65" s="63" cm="1">
        <f t="array" ref="B65">SUMPRODUCT((LEFT('Medical Sales'!D3:D196,4)="2022")*('Medical Sales'!G3:G196&gt;=10000)*('Medical Sales'!U3:U196&lt;&gt;"Yes")*('Medical Sales'!E3:E196))</f>
        <v>4411500</v>
      </c>
      <c r="C65" s="59"/>
      <c r="D65" s="175"/>
      <c r="E65" s="111"/>
      <c r="F65" s="111"/>
      <c r="G65" s="111"/>
      <c r="H65" s="111"/>
      <c r="I65" s="111"/>
      <c r="J65" s="111"/>
      <c r="K65" s="178"/>
    </row>
    <row r="66" spans="1:11">
      <c r="A66" s="57" t="s">
        <v>6218</v>
      </c>
      <c r="B66" s="63" cm="1">
        <f t="array" ref="B66">IFERROR(MEDIAN(IF((LEFT('Medical Sales'!D3:D196,4)="2022")*('Medical Sales'!G3:G196&gt;=10000)*('Medical Sales'!U3:U196&lt;&gt;"Yes"),'Medical Sales'!E3:E196)),"-")</f>
        <v>4411500</v>
      </c>
      <c r="C66" s="59"/>
      <c r="D66" s="175"/>
      <c r="E66" s="111"/>
      <c r="F66" s="111"/>
      <c r="G66" s="111"/>
      <c r="H66" s="111"/>
      <c r="I66" s="111"/>
      <c r="J66" s="111"/>
      <c r="K66" s="178"/>
    </row>
    <row r="67" spans="1:11">
      <c r="A67" s="57" t="s">
        <v>6259</v>
      </c>
      <c r="B67" s="63">
        <f>IF(B64=0,"-",B65/B64)</f>
        <v>4411500</v>
      </c>
      <c r="C67" s="59"/>
      <c r="D67" s="175"/>
      <c r="E67" s="111"/>
      <c r="F67" s="111"/>
      <c r="G67" s="111"/>
      <c r="H67" s="111"/>
      <c r="I67" s="111"/>
      <c r="J67" s="111"/>
      <c r="K67" s="178"/>
    </row>
    <row r="68" spans="1:11">
      <c r="A68" s="57" t="s">
        <v>6220</v>
      </c>
      <c r="B68" s="61" cm="1">
        <f t="array" ref="B68">IFERROR(MEDIAN(IF((LEFT('Medical Sales'!D3:D196,4)="2022")*('Medical Sales'!G3:G196&gt;=10000)*('Medical Sales'!U3:U196&lt;&gt;"Yes"),'Medical Sales'!F3:F196)),"-")</f>
        <v>83.654119654878158</v>
      </c>
      <c r="C68" s="59"/>
      <c r="D68" s="175"/>
      <c r="E68" s="111"/>
      <c r="F68" s="111"/>
      <c r="G68" s="111"/>
      <c r="H68" s="111"/>
      <c r="I68" s="111"/>
      <c r="J68" s="111"/>
      <c r="K68" s="178"/>
    </row>
    <row r="69" spans="1:11">
      <c r="A69" s="57" t="s">
        <v>6260</v>
      </c>
      <c r="B69" s="61" cm="1">
        <f t="array" ref="B69">IF(B64=0,"-",SUMPRODUCT((LEFT('Medical Sales'!D3:D196,4)="2022")*('Medical Sales'!G3:G196&gt;=10000)*('Medical Sales'!U3:U196&lt;&gt;"Yes")*('Medical Sales'!F3:F196))/B64)</f>
        <v>83.654119654878158</v>
      </c>
      <c r="C69" s="59"/>
      <c r="D69" s="175"/>
      <c r="E69" s="111"/>
      <c r="F69" s="111"/>
      <c r="G69" s="111"/>
      <c r="H69" s="111"/>
      <c r="I69" s="111"/>
      <c r="J69" s="111"/>
      <c r="K69" s="178"/>
    </row>
    <row r="70" spans="1:11">
      <c r="A70" s="57" t="s">
        <v>6261</v>
      </c>
      <c r="B70" s="62" cm="1">
        <f t="array" ref="B70">IF(B64=0,"-",SUMPRODUCT((LEFT('Medical Sales'!D3:D196,4)="2022")*('Medical Sales'!G3:G196&gt;=10000)*('Medical Sales'!U3:U196&lt;&gt;"Yes")*('Medical Sales'!G3:G196))/B64)</f>
        <v>52735</v>
      </c>
      <c r="C70" s="59"/>
      <c r="D70" s="175"/>
      <c r="E70" s="111"/>
      <c r="F70" s="111"/>
      <c r="G70" s="111"/>
      <c r="H70" s="111"/>
      <c r="I70" s="111"/>
      <c r="J70" s="111"/>
      <c r="K70" s="178"/>
    </row>
    <row r="71" spans="1:11">
      <c r="A71" s="57" t="s">
        <v>6262</v>
      </c>
      <c r="B71" s="63" cm="1">
        <f t="array" ref="B71">IFERROR(MIN(IF((LEFT('Medical Sales'!D3:D196,4)="2022")*('Medical Sales'!G3:G196&gt;=10000)*('Medical Sales'!U3:U196&lt;&gt;"Yes"),'Medical Sales'!E3:E196)),"-")</f>
        <v>4411500</v>
      </c>
      <c r="C71" s="59"/>
      <c r="D71" s="175"/>
      <c r="E71" s="111"/>
      <c r="F71" s="111"/>
      <c r="G71" s="111"/>
      <c r="H71" s="111"/>
      <c r="I71" s="111"/>
      <c r="J71" s="111"/>
      <c r="K71" s="178"/>
    </row>
    <row r="72" spans="1:11" ht="17" thickBot="1">
      <c r="A72" s="57" t="s">
        <v>6263</v>
      </c>
      <c r="B72" s="63" cm="1">
        <f t="array" ref="B72">IFERROR(MAX(IF((LEFT('Medical Sales'!D3:D196,4)="2022")*('Medical Sales'!G3:G196&gt;=10000)*('Medical Sales'!U3:U196&lt;&gt;"Yes"),'Medical Sales'!E3:E196)),"-")</f>
        <v>4411500</v>
      </c>
      <c r="C72" s="59"/>
      <c r="D72" s="176"/>
      <c r="E72" s="172"/>
      <c r="F72" s="172"/>
      <c r="G72" s="172"/>
      <c r="H72" s="172"/>
      <c r="I72" s="172"/>
      <c r="J72" s="172"/>
      <c r="K72" s="179"/>
    </row>
    <row r="73" spans="1:11">
      <c r="A73" s="59"/>
      <c r="B73" s="59"/>
      <c r="C73" s="59"/>
      <c r="D73" s="59"/>
      <c r="E73" s="59"/>
      <c r="F73" s="59"/>
      <c r="G73" s="59"/>
      <c r="H73" s="59"/>
      <c r="I73" s="59"/>
      <c r="J73" s="59"/>
      <c r="K73" s="59"/>
    </row>
    <row r="74" spans="1:11">
      <c r="A74" s="89" t="s">
        <v>6268</v>
      </c>
      <c r="B74" s="59"/>
      <c r="C74" s="59"/>
      <c r="D74" s="59"/>
      <c r="E74" s="59"/>
      <c r="F74" s="59"/>
      <c r="G74" s="59"/>
      <c r="H74" s="59"/>
      <c r="I74" s="59"/>
      <c r="J74" s="59"/>
      <c r="K74" s="59"/>
    </row>
    <row r="75" spans="1:11">
      <c r="A75" s="312" t="s">
        <v>2</v>
      </c>
      <c r="B75" s="312" t="s">
        <v>6215</v>
      </c>
      <c r="C75" s="312" t="s">
        <v>6218</v>
      </c>
      <c r="D75" s="312" t="s">
        <v>6220</v>
      </c>
      <c r="E75" s="312" t="s">
        <v>6221</v>
      </c>
      <c r="F75" s="312" t="s">
        <v>6230</v>
      </c>
      <c r="G75" s="312" t="s">
        <v>6231</v>
      </c>
      <c r="H75" s="59"/>
      <c r="I75" s="59"/>
      <c r="J75" s="59"/>
      <c r="K75" s="59"/>
    </row>
    <row r="76" spans="1:11">
      <c r="A76" s="309" t="s">
        <v>33</v>
      </c>
      <c r="B76" s="117" cm="1">
        <f t="array" ref="B76">SUMPRODUCT(('Medical Sales'!C3:C196="Orange")*(LEFT('Medical Sales'!D3:D196,4)="2022")*('Medical Sales'!G3:G196&gt;=10000)*('Medical Sales'!U3:U196&lt;&gt;"Yes"))</f>
        <v>1</v>
      </c>
      <c r="C76" s="118" cm="1">
        <f t="array" ref="C76">IF(B76=0,"-",IFERROR(MEDIAN(IF(('Medical Sales'!C3:C196="Orange")*(LEFT('Medical Sales'!D3:D196,4)="2022")*('Medical Sales'!G3:G196&gt;=10000)*('Medical Sales'!U3:U196&lt;&gt;"Yes"),'Medical Sales'!E3:E196)),"-"))</f>
        <v>4411500</v>
      </c>
      <c r="D76" s="119" cm="1">
        <f t="array" ref="D76">IF(B76=0,"-",IFERROR(MEDIAN(IF(('Medical Sales'!C3:C196="Orange")*(LEFT('Medical Sales'!D3:D196,4)="2022")*('Medical Sales'!G3:G196&gt;=10000)*('Medical Sales'!U3:U196&lt;&gt;"Yes"),'Medical Sales'!F3:F196)),"-"))</f>
        <v>83.654119654878158</v>
      </c>
      <c r="E76" s="117" cm="1">
        <f t="array" ref="E76">IF(B76=0,"-",SUMPRODUCT(('Medical Sales'!C3:C196="Orange")*(LEFT('Medical Sales'!D3:D196,4)="2022")*('Medical Sales'!G3:G196&gt;=10000)*('Medical Sales'!U3:U196&lt;&gt;"Yes")*('Medical Sales'!G3:G196))/B76)</f>
        <v>52735</v>
      </c>
      <c r="F76" s="118" cm="1">
        <f t="array" ref="F76">IF(B76=0,"-",IFERROR(MIN(IF(('Medical Sales'!C3:C196="Orange")*(LEFT('Medical Sales'!D3:D196,4)="2022")*('Medical Sales'!G3:G196&gt;=10000)*('Medical Sales'!U3:U196&lt;&gt;"Yes"),'Medical Sales'!E3:E196)),"-"))</f>
        <v>4411500</v>
      </c>
      <c r="G76" s="118" cm="1">
        <f t="array" ref="G76">IF(B76=0,"-",IFERROR(MAX(IF(('Medical Sales'!C3:C196="Orange")*(LEFT('Medical Sales'!D3:D196,4)="2022")*('Medical Sales'!G3:G196&gt;=10000)*('Medical Sales'!U3:U196&lt;&gt;"Yes"),'Medical Sales'!E3:E196)),"-"))</f>
        <v>4411500</v>
      </c>
      <c r="H76" s="59"/>
      <c r="I76" s="59"/>
      <c r="J76" s="59"/>
      <c r="K76" s="59"/>
    </row>
    <row r="77" spans="1:11">
      <c r="A77" s="309" t="s">
        <v>20</v>
      </c>
      <c r="B77" s="117" cm="1">
        <f t="array" ref="B77">SUMPRODUCT(('Medical Sales'!C3:C196="Seminole")*(LEFT('Medical Sales'!D3:D196,4)="2022")*('Medical Sales'!G3:G196&gt;=10000)*('Medical Sales'!U3:U196&lt;&gt;"Yes"))</f>
        <v>0</v>
      </c>
      <c r="C77" s="118" t="str" cm="1">
        <f t="array" ref="C77">IF(B77=0,"-",IFERROR(MEDIAN(IF(('Medical Sales'!C3:C196="Seminole")*(LEFT('Medical Sales'!D3:D196,4)="2022")*('Medical Sales'!G3:G196&gt;=10000)*('Medical Sales'!U3:U196&lt;&gt;"Yes"),'Medical Sales'!E3:E196)),"-"))</f>
        <v>-</v>
      </c>
      <c r="D77" s="119" t="str" cm="1">
        <f t="array" ref="D77">IF(B77=0,"-",IFERROR(MEDIAN(IF(('Medical Sales'!C3:C196="Seminole")*(LEFT('Medical Sales'!D3:D196,4)="2022")*('Medical Sales'!G3:G196&gt;=10000)*('Medical Sales'!U3:U196&lt;&gt;"Yes"),'Medical Sales'!F3:F196)),"-"))</f>
        <v>-</v>
      </c>
      <c r="E77" s="117" t="str" cm="1">
        <f t="array" ref="E77">IF(B77=0,"-",SUMPRODUCT(('Medical Sales'!C3:C196="Seminole")*(LEFT('Medical Sales'!D3:D196,4)="2022")*('Medical Sales'!G3:G196&gt;=10000)*('Medical Sales'!U3:U196&lt;&gt;"Yes")*('Medical Sales'!G3:G196))/B77)</f>
        <v>-</v>
      </c>
      <c r="F77" s="118" t="str" cm="1">
        <f t="array" ref="F77">IF(B77=0,"-",IFERROR(MIN(IF(('Medical Sales'!C3:C196="Seminole")*(LEFT('Medical Sales'!D3:D196,4)="2022")*('Medical Sales'!G3:G196&gt;=10000)*('Medical Sales'!U3:U196&lt;&gt;"Yes"),'Medical Sales'!E3:E196)),"-"))</f>
        <v>-</v>
      </c>
      <c r="G77" s="118" t="str" cm="1">
        <f t="array" ref="G77">IF(B77=0,"-",IFERROR(MAX(IF(('Medical Sales'!C3:C196="Seminole")*(LEFT('Medical Sales'!D3:D196,4)="2022")*('Medical Sales'!G3:G196&gt;=10000)*('Medical Sales'!U3:U196&lt;&gt;"Yes"),'Medical Sales'!E3:E196)),"-"))</f>
        <v>-</v>
      </c>
      <c r="H77" s="59"/>
      <c r="I77" s="59"/>
      <c r="J77" s="59"/>
      <c r="K77" s="59"/>
    </row>
    <row r="78" spans="1:11">
      <c r="A78" s="309" t="s">
        <v>678</v>
      </c>
      <c r="B78" s="117" cm="1">
        <f t="array" ref="B78">SUMPRODUCT(('Medical Sales'!C3:C196="Osceola")*(LEFT('Medical Sales'!D3:D196,4)="2022")*('Medical Sales'!G3:G196&gt;=10000)*('Medical Sales'!U3:U196&lt;&gt;"Yes"))</f>
        <v>0</v>
      </c>
      <c r="C78" s="118" t="str" cm="1">
        <f t="array" ref="C78">IF(B78=0,"-",IFERROR(MEDIAN(IF(('Medical Sales'!C3:C196="Osceola")*(LEFT('Medical Sales'!D3:D196,4)="2022")*('Medical Sales'!G3:G196&gt;=10000)*('Medical Sales'!U3:U196&lt;&gt;"Yes"),'Medical Sales'!E3:E196)),"-"))</f>
        <v>-</v>
      </c>
      <c r="D78" s="119" t="str" cm="1">
        <f t="array" ref="D78">IF(B78=0,"-",IFERROR(MEDIAN(IF(('Medical Sales'!C3:C196="Osceola")*(LEFT('Medical Sales'!D3:D196,4)="2022")*('Medical Sales'!G3:G196&gt;=10000)*('Medical Sales'!U3:U196&lt;&gt;"Yes"),'Medical Sales'!F3:F196)),"-"))</f>
        <v>-</v>
      </c>
      <c r="E78" s="117" t="str" cm="1">
        <f t="array" ref="E78">IF(B78=0,"-",SUMPRODUCT(('Medical Sales'!C3:C196="Osceola")*(LEFT('Medical Sales'!D3:D196,4)="2022")*('Medical Sales'!G3:G196&gt;=10000)*('Medical Sales'!U3:U196&lt;&gt;"Yes")*('Medical Sales'!G3:G196))/B78)</f>
        <v>-</v>
      </c>
      <c r="F78" s="118" t="str" cm="1">
        <f t="array" ref="F78">IF(B78=0,"-",IFERROR(MIN(IF(('Medical Sales'!C3:C196="Osceola")*(LEFT('Medical Sales'!D3:D196,4)="2022")*('Medical Sales'!G3:G196&gt;=10000)*('Medical Sales'!U3:U196&lt;&gt;"Yes"),'Medical Sales'!E3:E196)),"-"))</f>
        <v>-</v>
      </c>
      <c r="G78" s="118" t="str" cm="1">
        <f t="array" ref="G78">IF(B78=0,"-",IFERROR(MAX(IF(('Medical Sales'!C3:C196="Osceola")*(LEFT('Medical Sales'!D3:D196,4)="2022")*('Medical Sales'!G3:G196&gt;=10000)*('Medical Sales'!U3:U196&lt;&gt;"Yes"),'Medical Sales'!E3:E196)),"-"))</f>
        <v>-</v>
      </c>
      <c r="H78" s="59"/>
      <c r="I78" s="59"/>
      <c r="J78" s="59"/>
      <c r="K78" s="59"/>
    </row>
    <row r="79" spans="1:11">
      <c r="A79" s="309" t="s">
        <v>184</v>
      </c>
      <c r="B79" s="117" cm="1">
        <f t="array" ref="B79">SUMPRODUCT(('Medical Sales'!C3:C196="Lake")*(LEFT('Medical Sales'!D3:D196,4)="2022")*('Medical Sales'!G3:G196&gt;=10000)*('Medical Sales'!U3:U196&lt;&gt;"Yes"))</f>
        <v>0</v>
      </c>
      <c r="C79" s="118" t="str" cm="1">
        <f t="array" ref="C79">IF(B79=0,"-",IFERROR(MEDIAN(IF(('Medical Sales'!C3:C196="Lake")*(LEFT('Medical Sales'!D3:D196,4)="2022")*('Medical Sales'!G3:G196&gt;=10000)*('Medical Sales'!U3:U196&lt;&gt;"Yes"),'Medical Sales'!E3:E196)),"-"))</f>
        <v>-</v>
      </c>
      <c r="D79" s="119" t="str" cm="1">
        <f t="array" ref="D79">IF(B79=0,"-",IFERROR(MEDIAN(IF(('Medical Sales'!C3:C196="Lake")*(LEFT('Medical Sales'!D3:D196,4)="2022")*('Medical Sales'!G3:G196&gt;=10000)*('Medical Sales'!U3:U196&lt;&gt;"Yes"),'Medical Sales'!F3:F196)),"-"))</f>
        <v>-</v>
      </c>
      <c r="E79" s="117" t="str" cm="1">
        <f t="array" ref="E79">IF(B79=0,"-",SUMPRODUCT(('Medical Sales'!C3:C196="Lake")*(LEFT('Medical Sales'!D3:D196,4)="2022")*('Medical Sales'!G3:G196&gt;=10000)*('Medical Sales'!U3:U196&lt;&gt;"Yes")*('Medical Sales'!G3:G196))/B79)</f>
        <v>-</v>
      </c>
      <c r="F79" s="118" t="str" cm="1">
        <f t="array" ref="F79">IF(B79=0,"-",IFERROR(MIN(IF(('Medical Sales'!C3:C196="Lake")*(LEFT('Medical Sales'!D3:D196,4)="2022")*('Medical Sales'!G3:G196&gt;=10000)*('Medical Sales'!U3:U196&lt;&gt;"Yes"),'Medical Sales'!E3:E196)),"-"))</f>
        <v>-</v>
      </c>
      <c r="G79" s="118" t="str" cm="1">
        <f t="array" ref="G79">IF(B79=0,"-",IFERROR(MAX(IF(('Medical Sales'!C3:C196="Lake")*(LEFT('Medical Sales'!D3:D196,4)="2022")*('Medical Sales'!G3:G196&gt;=10000)*('Medical Sales'!U3:U196&lt;&gt;"Yes"),'Medical Sales'!E3:E196)),"-"))</f>
        <v>-</v>
      </c>
      <c r="H79" s="59"/>
      <c r="I79" s="59"/>
      <c r="J79" s="59"/>
      <c r="K79" s="59"/>
    </row>
    <row r="80" spans="1:11">
      <c r="A80" s="59"/>
      <c r="B80" s="59"/>
      <c r="C80" s="59"/>
      <c r="D80" s="59"/>
      <c r="E80" s="59"/>
      <c r="F80" s="59"/>
      <c r="G80" s="59"/>
      <c r="H80" s="59"/>
      <c r="I80" s="59"/>
      <c r="J80" s="59"/>
      <c r="K80" s="59"/>
    </row>
    <row r="81" spans="1:13">
      <c r="A81" s="89" t="s">
        <v>6269</v>
      </c>
      <c r="B81" s="59"/>
      <c r="C81" s="59"/>
      <c r="D81" s="59"/>
      <c r="E81" s="59"/>
      <c r="F81" s="59"/>
      <c r="G81" s="59"/>
      <c r="H81" s="59"/>
      <c r="I81" s="59"/>
      <c r="J81" s="59"/>
      <c r="K81" s="59"/>
    </row>
    <row r="82" spans="1:13">
      <c r="A82" s="312" t="s">
        <v>6214</v>
      </c>
      <c r="B82" s="312" t="s">
        <v>6215</v>
      </c>
      <c r="C82" s="312" t="s">
        <v>6216</v>
      </c>
      <c r="D82" s="312" t="s">
        <v>6218</v>
      </c>
      <c r="E82" s="312" t="s">
        <v>6220</v>
      </c>
      <c r="F82" s="312" t="s">
        <v>6221</v>
      </c>
      <c r="G82" s="312" t="s">
        <v>6231</v>
      </c>
      <c r="H82" s="59"/>
      <c r="I82" s="59"/>
      <c r="J82" s="59"/>
      <c r="K82" s="59"/>
    </row>
    <row r="83" spans="1:13">
      <c r="A83" s="309" t="s">
        <v>26</v>
      </c>
      <c r="B83" s="117" cm="1">
        <f t="array" ref="B83">SUMPRODUCT(('Medical Sales'!N3:N196="Medical")*(LEFT('Medical Sales'!D3:D196,4)="2022")*('Medical Sales'!G3:G196&gt;=10000)*('Medical Sales'!U3:U196&lt;&gt;"Yes"))</f>
        <v>0</v>
      </c>
      <c r="C83" s="118" cm="1">
        <f t="array" ref="C83">SUMPRODUCT(('Medical Sales'!N3:N196="Medical")*(LEFT('Medical Sales'!D3:D196,4)="2022")*('Medical Sales'!G3:G196&gt;=10000)*('Medical Sales'!U3:U196&lt;&gt;"Yes")*('Medical Sales'!E3:E196))</f>
        <v>0</v>
      </c>
      <c r="D83" s="118" t="str" cm="1">
        <f t="array" ref="D83">IF(B83=0,"-",IFERROR(MEDIAN(IF(('Medical Sales'!N3:N196="Medical")*(LEFT('Medical Sales'!D3:D196,4)="2022")*('Medical Sales'!G3:G196&gt;=10000)*('Medical Sales'!U3:U196&lt;&gt;"Yes"),'Medical Sales'!E3:E196)),"-"))</f>
        <v>-</v>
      </c>
      <c r="E83" s="119" t="str" cm="1">
        <f t="array" ref="E83">IF(B83=0,"-",IFERROR(MEDIAN(IF(('Medical Sales'!N3:N196="Medical")*(LEFT('Medical Sales'!D3:D196,4)="2022")*('Medical Sales'!G3:G196&gt;=10000)*('Medical Sales'!U3:U196&lt;&gt;"Yes"),'Medical Sales'!F3:F196)),"-"))</f>
        <v>-</v>
      </c>
      <c r="F83" s="117" t="str" cm="1">
        <f t="array" ref="F83">IF(B83=0,"-",SUMPRODUCT(('Medical Sales'!N3:N196="Medical")*(LEFT('Medical Sales'!D3:D196,4)="2022")*('Medical Sales'!G3:G196&gt;=10000)*('Medical Sales'!U3:U196&lt;&gt;"Yes")*('Medical Sales'!G3:G196))/B83)</f>
        <v>-</v>
      </c>
      <c r="G83" s="118" t="str" cm="1">
        <f t="array" ref="G83">IF(B83=0,"-",IFERROR(MAX(IF(('Medical Sales'!N3:N196="Medical")*(LEFT('Medical Sales'!D3:D196,4)="2022")*('Medical Sales'!G3:G196&gt;=10000)*('Medical Sales'!U3:U196&lt;&gt;"Yes"),'Medical Sales'!E3:E196)),"-"))</f>
        <v>-</v>
      </c>
      <c r="H83" s="59"/>
      <c r="I83" s="59"/>
      <c r="J83" s="59"/>
      <c r="K83" s="59"/>
    </row>
    <row r="84" spans="1:13">
      <c r="A84" s="309" t="s">
        <v>1519</v>
      </c>
      <c r="B84" s="117" cm="1">
        <f t="array" ref="B84">SUMPRODUCT(('Medical Sales'!N3:N196="Multi-Tenant Medical")*(LEFT('Medical Sales'!D3:D196,4)="2022")*('Medical Sales'!G3:G196&gt;=10000)*('Medical Sales'!U3:U196&lt;&gt;"Yes"))</f>
        <v>1</v>
      </c>
      <c r="C84" s="118" cm="1">
        <f t="array" ref="C84">SUMPRODUCT(('Medical Sales'!N3:N196="Multi-Tenant Medical")*(LEFT('Medical Sales'!D3:D196,4)="2022")*('Medical Sales'!G3:G196&gt;=10000)*('Medical Sales'!U3:U196&lt;&gt;"Yes")*('Medical Sales'!E3:E196))</f>
        <v>4411500</v>
      </c>
      <c r="D84" s="118" cm="1">
        <f t="array" ref="D84">IF(B84=0,"-",IFERROR(MEDIAN(IF(('Medical Sales'!N3:N196="Multi-Tenant Medical")*(LEFT('Medical Sales'!D3:D196,4)="2022")*('Medical Sales'!G3:G196&gt;=10000)*('Medical Sales'!U3:U196&lt;&gt;"Yes"),'Medical Sales'!E3:E196)),"-"))</f>
        <v>4411500</v>
      </c>
      <c r="E84" s="119" cm="1">
        <f t="array" ref="E84">IF(B84=0,"-",IFERROR(MEDIAN(IF(('Medical Sales'!N3:N196="Multi-Tenant Medical")*(LEFT('Medical Sales'!D3:D196,4)="2022")*('Medical Sales'!G3:G196&gt;=10000)*('Medical Sales'!U3:U196&lt;&gt;"Yes"),'Medical Sales'!F3:F196)),"-"))</f>
        <v>83.654119654878158</v>
      </c>
      <c r="F84" s="117" cm="1">
        <f t="array" ref="F84">IF(B84=0,"-",SUMPRODUCT(('Medical Sales'!N3:N196="Multi-Tenant Medical")*(LEFT('Medical Sales'!D3:D196,4)="2022")*('Medical Sales'!G3:G196&gt;=10000)*('Medical Sales'!U3:U196&lt;&gt;"Yes")*('Medical Sales'!G3:G196))/B84)</f>
        <v>52735</v>
      </c>
      <c r="G84" s="118" cm="1">
        <f t="array" ref="G84">IF(B84=0,"-",IFERROR(MAX(IF(('Medical Sales'!N3:N196="Multi-Tenant Medical")*(LEFT('Medical Sales'!D3:D196,4)="2022")*('Medical Sales'!G3:G196&gt;=10000)*('Medical Sales'!U3:U196&lt;&gt;"Yes"),'Medical Sales'!E3:E196)),"-"))</f>
        <v>4411500</v>
      </c>
      <c r="H84" s="59"/>
      <c r="I84" s="59"/>
      <c r="J84" s="59"/>
      <c r="K84" s="59"/>
    </row>
    <row r="85" spans="1:13">
      <c r="A85" s="309" t="s">
        <v>6212</v>
      </c>
      <c r="B85" s="117" cm="1">
        <f t="array" ref="B85">SUMPRODUCT(('Medical Sales'!N3:N196="Hospitals")*(LEFT('Medical Sales'!D3:D196,4)="2022")*('Medical Sales'!G3:G196&gt;=10000)*('Medical Sales'!U3:U196&lt;&gt;"Yes"))</f>
        <v>0</v>
      </c>
      <c r="C85" s="118" cm="1">
        <f t="array" ref="C85">SUMPRODUCT(('Medical Sales'!N3:N196="Hospitals")*(LEFT('Medical Sales'!D3:D196,4)="2022")*('Medical Sales'!G3:G196&gt;=10000)*('Medical Sales'!U3:U196&lt;&gt;"Yes")*('Medical Sales'!E3:E196))</f>
        <v>0</v>
      </c>
      <c r="D85" s="118" t="str" cm="1">
        <f t="array" ref="D85">IF(B85=0,"-",IFERROR(MEDIAN(IF(('Medical Sales'!N3:N196="Hospitals")*(LEFT('Medical Sales'!D3:D196,4)="2022")*('Medical Sales'!G3:G196&gt;=10000)*('Medical Sales'!U3:U196&lt;&gt;"Yes"),'Medical Sales'!E3:E196)),"-"))</f>
        <v>-</v>
      </c>
      <c r="E85" s="119" t="str" cm="1">
        <f t="array" ref="E85">IF(B85=0,"-",IFERROR(MEDIAN(IF(('Medical Sales'!N3:N196="Hospitals")*(LEFT('Medical Sales'!D3:D196,4)="2022")*('Medical Sales'!G3:G196&gt;=10000)*('Medical Sales'!U3:U196&lt;&gt;"Yes"),'Medical Sales'!F3:F196)),"-"))</f>
        <v>-</v>
      </c>
      <c r="F85" s="117" t="str" cm="1">
        <f t="array" ref="F85">IF(B85=0,"-",SUMPRODUCT(('Medical Sales'!N3:N196="Hospitals")*(LEFT('Medical Sales'!D3:D196,4)="2022")*('Medical Sales'!G3:G196&gt;=10000)*('Medical Sales'!U3:U196&lt;&gt;"Yes")*('Medical Sales'!G3:G196))/B85)</f>
        <v>-</v>
      </c>
      <c r="G85" s="118" t="str" cm="1">
        <f t="array" ref="G85">IF(B85=0,"-",IFERROR(MAX(IF(('Medical Sales'!N3:N196="Hospitals")*(LEFT('Medical Sales'!D3:D196,4)="2022")*('Medical Sales'!G3:G196&gt;=10000)*('Medical Sales'!U3:U196&lt;&gt;"Yes"),'Medical Sales'!E3:E196)),"-"))</f>
        <v>-</v>
      </c>
      <c r="H85" s="59"/>
      <c r="I85" s="59"/>
      <c r="J85" s="59"/>
      <c r="K85" s="59"/>
    </row>
    <row r="86" spans="1:13">
      <c r="A86" s="59"/>
      <c r="B86" s="59"/>
      <c r="C86" s="59"/>
      <c r="D86" s="59"/>
      <c r="E86" s="59"/>
      <c r="F86" s="59"/>
      <c r="G86" s="59"/>
      <c r="H86" s="59"/>
      <c r="I86" s="59"/>
      <c r="J86" s="59"/>
      <c r="K86" s="59"/>
    </row>
    <row r="87" spans="1:13">
      <c r="A87" s="59"/>
      <c r="B87" s="59"/>
      <c r="C87" s="59"/>
      <c r="D87" s="59"/>
      <c r="E87" s="59"/>
      <c r="F87" s="59"/>
      <c r="G87" s="59"/>
      <c r="H87" s="59"/>
      <c r="I87" s="59"/>
      <c r="J87" s="59"/>
      <c r="K87" s="59"/>
    </row>
    <row r="88" spans="1:13" ht="19">
      <c r="A88" s="55" t="s">
        <v>6412</v>
      </c>
      <c r="B88" s="55"/>
      <c r="C88" s="55"/>
      <c r="D88" s="55"/>
      <c r="E88" s="55"/>
      <c r="F88" s="55"/>
      <c r="G88" s="55"/>
      <c r="H88" s="55"/>
      <c r="I88" s="55"/>
      <c r="J88" s="55"/>
      <c r="K88" s="55"/>
    </row>
    <row r="89" spans="1:13">
      <c r="A89" s="305" t="s">
        <v>6413</v>
      </c>
      <c r="B89" s="305" t="s">
        <v>6215</v>
      </c>
      <c r="C89" s="305" t="s">
        <v>6219</v>
      </c>
      <c r="D89" s="305" t="s">
        <v>6220</v>
      </c>
      <c r="E89" s="305" t="s">
        <v>6221</v>
      </c>
      <c r="F89" s="59"/>
      <c r="G89" s="59"/>
      <c r="H89" s="59"/>
      <c r="I89" s="59"/>
      <c r="J89" s="59"/>
      <c r="K89" s="59"/>
    </row>
    <row r="90" spans="1:13">
      <c r="A90" s="309" t="s">
        <v>6414</v>
      </c>
      <c r="B90" s="117" cm="1">
        <f t="array" ref="B90">SUMPRODUCT((LEFT('Medical Sales'!D3:D196,4)="2022")*('Medical Sales'!T3:T196&lt;=5)*('Medical Sales'!T3:T196&lt;&gt;"")*('Medical Sales'!U3:U196&lt;&gt;"Yes"))</f>
        <v>0</v>
      </c>
      <c r="C90" s="119" t="str" cm="1">
        <f t="array" ref="C90">IF(B90=0,"-",SUMPRODUCT((LEFT('Medical Sales'!D3:D196,4)="2022")*('Medical Sales'!T3:T196&lt;=5)*('Medical Sales'!T3:T196&lt;&gt;"")*('Medical Sales'!U3:U196&lt;&gt;"Yes")*('Medical Sales'!F3:F196))/B90)</f>
        <v>-</v>
      </c>
      <c r="D90" s="119" t="str" cm="1">
        <f t="array" ref="D90">IFERROR(MEDIAN(IF((LEFT('Medical Sales'!D3:D196,4)="2022")*('Medical Sales'!T3:T196&lt;=5)*('Medical Sales'!T3:T196&lt;&gt;"")*('Medical Sales'!U3:U196&lt;&gt;"Yes"),'Medical Sales'!F3:F196)),"-")</f>
        <v>-</v>
      </c>
      <c r="E90" s="117" t="str" cm="1">
        <f t="array" ref="E90">IF(B90=0,"-",SUMPRODUCT((LEFT('Medical Sales'!D3:D196,4)="2022")*('Medical Sales'!T3:T196&lt;=5)*('Medical Sales'!T3:T196&lt;&gt;"")*('Medical Sales'!U3:U196&lt;&gt;"Yes")*('Medical Sales'!G3:G196))/B90)</f>
        <v>-</v>
      </c>
      <c r="F90" s="59"/>
      <c r="G90" s="59"/>
      <c r="H90" s="59"/>
      <c r="I90" s="59"/>
      <c r="J90" s="59"/>
      <c r="K90" s="59"/>
    </row>
    <row r="91" spans="1:13">
      <c r="A91" s="309" t="s">
        <v>6415</v>
      </c>
      <c r="B91" s="117" cm="1">
        <f t="array" ref="B91">SUMPRODUCT((LEFT('Medical Sales'!D3:D196,4)="2022")*('Medical Sales'!T3:T196&gt;5)*('Medical Sales'!T3:T196&lt;=20)*('Medical Sales'!T3:T196&lt;&gt;"")*('Medical Sales'!U3:U196&lt;&gt;"Yes"))</f>
        <v>0</v>
      </c>
      <c r="C91" s="119" t="str" cm="1">
        <f t="array" ref="C91">IF(B91=0,"-",SUMPRODUCT((LEFT('Medical Sales'!D3:D196,4)="2022")*('Medical Sales'!T3:T196&gt;5)*('Medical Sales'!T3:T196&lt;=20)*('Medical Sales'!T3:T196&lt;&gt;"")*('Medical Sales'!U3:U196&lt;&gt;"Yes")*('Medical Sales'!F3:F196))/B91)</f>
        <v>-</v>
      </c>
      <c r="D91" s="119" t="str" cm="1">
        <f t="array" ref="D91">IFERROR(MEDIAN(IF((LEFT('Medical Sales'!D3:D196,4)="2022")*('Medical Sales'!T3:T196&gt;5)*('Medical Sales'!T3:T196&lt;=20)*('Medical Sales'!T3:T196&lt;&gt;"")*('Medical Sales'!U3:U196&lt;&gt;"Yes"),'Medical Sales'!F3:F196)),"-")</f>
        <v>-</v>
      </c>
      <c r="E91" s="117" t="str" cm="1">
        <f t="array" ref="E91">IF(B91=0,"-",SUMPRODUCT((LEFT('Medical Sales'!D3:D196,4)="2022")*('Medical Sales'!T3:T196&gt;5)*('Medical Sales'!T3:T196&lt;=20)*('Medical Sales'!T3:T196&lt;&gt;"")*('Medical Sales'!U3:U196&lt;&gt;"Yes")*('Medical Sales'!G3:G196))/B91)</f>
        <v>-</v>
      </c>
      <c r="F91" s="59"/>
      <c r="G91" s="59"/>
      <c r="H91" s="59"/>
      <c r="I91" s="59"/>
      <c r="J91" s="59"/>
      <c r="K91" s="59"/>
    </row>
    <row r="92" spans="1:13">
      <c r="A92" s="309" t="s">
        <v>6416</v>
      </c>
      <c r="B92" s="117" cm="1">
        <f t="array" ref="B92">SUMPRODUCT((LEFT('Medical Sales'!D3:D196,4)="2022")*('Medical Sales'!T3:T196&gt;20)*('Medical Sales'!T3:T196&lt;&gt;"")*('Medical Sales'!U3:U196&lt;&gt;"Yes"))</f>
        <v>4</v>
      </c>
      <c r="C92" s="119" cm="1">
        <f t="array" ref="C92">IF(B92=0,"-",SUMPRODUCT((LEFT('Medical Sales'!D3:D196,4)="2022")*('Medical Sales'!T3:T196&gt;20)*('Medical Sales'!T3:T196&lt;&gt;"")*('Medical Sales'!U3:U196&lt;&gt;"Yes")*('Medical Sales'!F3:F196))/B92)</f>
        <v>588.36279744889555</v>
      </c>
      <c r="D92" s="119" cm="1">
        <f t="array" ref="D92">IFERROR(MEDIAN(IF((LEFT('Medical Sales'!D3:D196,4)="2022")*('Medical Sales'!T3:T196&gt;20)*('Medical Sales'!T3:T196&lt;&gt;"")*('Medical Sales'!U3:U196&lt;&gt;"Yes"),'Medical Sales'!F3:F196)),"-")</f>
        <v>709.55131284812967</v>
      </c>
      <c r="E92" s="117" cm="1">
        <f t="array" ref="E92">IF(B92=0,"-",SUMPRODUCT((LEFT('Medical Sales'!D3:D196,4)="2022")*('Medical Sales'!T3:T196&gt;20)*('Medical Sales'!T3:T196&lt;&gt;"")*('Medical Sales'!U3:U196&lt;&gt;"Yes")*('Medical Sales'!G3:G196))/B92)</f>
        <v>17276.25</v>
      </c>
      <c r="F92" s="59"/>
      <c r="G92" s="59"/>
      <c r="H92" s="59"/>
      <c r="I92" s="59"/>
      <c r="J92" s="59"/>
      <c r="K92" s="59"/>
    </row>
    <row r="93" spans="1:13">
      <c r="A93" s="270" t="s">
        <v>6417</v>
      </c>
      <c r="B93" s="59"/>
      <c r="C93" s="59"/>
      <c r="D93" s="59"/>
      <c r="E93" s="59"/>
      <c r="F93" s="59"/>
      <c r="G93" s="59"/>
      <c r="H93" s="59"/>
      <c r="I93" s="59"/>
      <c r="J93" s="59"/>
      <c r="K93" s="59"/>
    </row>
    <row r="94" spans="1:13">
      <c r="A94" s="59"/>
      <c r="B94" s="59"/>
      <c r="C94" s="59"/>
      <c r="D94" s="59"/>
      <c r="E94" s="59"/>
      <c r="F94" s="59"/>
      <c r="G94" s="59"/>
      <c r="H94" s="59"/>
      <c r="I94" s="59"/>
      <c r="J94" s="59"/>
      <c r="K94" s="59"/>
    </row>
    <row r="95" spans="1:13" ht="19">
      <c r="A95" s="55" t="s">
        <v>6418</v>
      </c>
      <c r="B95" s="55"/>
      <c r="C95" s="55"/>
      <c r="D95" s="55"/>
      <c r="E95" s="55"/>
      <c r="F95" s="55"/>
      <c r="G95" s="55"/>
      <c r="H95" s="55"/>
      <c r="I95" s="55"/>
      <c r="J95" s="55"/>
      <c r="K95" s="55"/>
      <c r="L95" s="55"/>
      <c r="M95" s="55"/>
    </row>
    <row r="96" spans="1:13">
      <c r="A96" s="305" t="s">
        <v>6271</v>
      </c>
      <c r="B96" s="305" t="s">
        <v>2</v>
      </c>
      <c r="C96" s="305" t="s">
        <v>6272</v>
      </c>
      <c r="D96" s="305" t="s">
        <v>4</v>
      </c>
      <c r="E96" s="305" t="s">
        <v>5</v>
      </c>
      <c r="F96" s="305" t="s">
        <v>6273</v>
      </c>
      <c r="G96" s="305" t="s">
        <v>6214</v>
      </c>
      <c r="H96" s="305" t="s">
        <v>15</v>
      </c>
      <c r="I96" s="305" t="s">
        <v>6274</v>
      </c>
      <c r="J96" s="305" t="s">
        <v>6199</v>
      </c>
      <c r="K96" s="305" t="s">
        <v>6317</v>
      </c>
      <c r="L96" s="354" t="s">
        <v>6319</v>
      </c>
      <c r="M96" s="354" t="s">
        <v>6522</v>
      </c>
    </row>
    <row r="97" spans="1:13">
      <c r="A97" s="313" t="s">
        <v>663</v>
      </c>
      <c r="B97" s="130" t="s">
        <v>33</v>
      </c>
      <c r="C97" s="130" t="s">
        <v>133</v>
      </c>
      <c r="D97" s="118">
        <v>4411500</v>
      </c>
      <c r="E97" s="119">
        <v>83.654119654878201</v>
      </c>
      <c r="F97" s="117">
        <v>52735</v>
      </c>
      <c r="G97" s="130" t="s">
        <v>1519</v>
      </c>
      <c r="H97" s="130" t="s">
        <v>6433</v>
      </c>
      <c r="I97" s="131">
        <v>1960</v>
      </c>
      <c r="J97" s="130" t="s">
        <v>6275</v>
      </c>
      <c r="K97" s="130" t="s">
        <v>6318</v>
      </c>
      <c r="L97" s="355" t="s">
        <v>6516</v>
      </c>
      <c r="M97" s="361" t="s">
        <v>6554</v>
      </c>
    </row>
    <row r="98" spans="1:13">
      <c r="A98" s="314" t="s">
        <v>1120</v>
      </c>
      <c r="B98" s="125" t="s">
        <v>184</v>
      </c>
      <c r="C98" s="125" t="s">
        <v>407</v>
      </c>
      <c r="D98" s="126">
        <v>390000</v>
      </c>
      <c r="E98" s="357">
        <v>106.732348111658</v>
      </c>
      <c r="F98" s="128">
        <v>3654</v>
      </c>
      <c r="G98" s="125" t="s">
        <v>26</v>
      </c>
      <c r="H98" s="125" t="s">
        <v>6420</v>
      </c>
      <c r="I98" s="129">
        <v>1984</v>
      </c>
      <c r="J98" s="125" t="s">
        <v>6275</v>
      </c>
      <c r="K98" s="125"/>
    </row>
    <row r="99" spans="1:13">
      <c r="A99" s="313" t="s">
        <v>1096</v>
      </c>
      <c r="B99" s="130" t="s">
        <v>184</v>
      </c>
      <c r="C99" s="130" t="s">
        <v>474</v>
      </c>
      <c r="D99" s="118">
        <v>650000</v>
      </c>
      <c r="E99" s="119">
        <v>135.416666666667</v>
      </c>
      <c r="F99" s="117">
        <v>4800</v>
      </c>
      <c r="G99" s="130" t="s">
        <v>26</v>
      </c>
      <c r="H99" s="130" t="s">
        <v>1099</v>
      </c>
      <c r="I99" s="131">
        <v>1996</v>
      </c>
      <c r="J99" s="130" t="s">
        <v>6275</v>
      </c>
      <c r="K99" s="130"/>
    </row>
    <row r="100" spans="1:13">
      <c r="A100" s="313" t="s">
        <v>1001</v>
      </c>
      <c r="B100" s="130" t="s">
        <v>20</v>
      </c>
      <c r="C100" s="130" t="s">
        <v>407</v>
      </c>
      <c r="D100" s="118">
        <v>685000</v>
      </c>
      <c r="E100" s="119">
        <v>152.222222222222</v>
      </c>
      <c r="F100" s="117">
        <v>4500</v>
      </c>
      <c r="G100" s="130" t="s">
        <v>26</v>
      </c>
      <c r="H100" s="130" t="s">
        <v>1004</v>
      </c>
      <c r="I100" s="131">
        <v>2023</v>
      </c>
      <c r="J100" s="130" t="s">
        <v>6277</v>
      </c>
      <c r="K100" s="130"/>
    </row>
    <row r="101" spans="1:13">
      <c r="A101" s="313" t="s">
        <v>1557</v>
      </c>
      <c r="B101" s="130" t="s">
        <v>33</v>
      </c>
      <c r="C101" s="130" t="s">
        <v>407</v>
      </c>
      <c r="D101" s="118">
        <v>7000000</v>
      </c>
      <c r="E101" s="119">
        <v>152.45894498410101</v>
      </c>
      <c r="F101" s="117">
        <v>45914</v>
      </c>
      <c r="G101" s="130" t="s">
        <v>1519</v>
      </c>
      <c r="H101" s="130" t="s">
        <v>1560</v>
      </c>
      <c r="I101" s="131">
        <v>1983</v>
      </c>
      <c r="J101" s="130" t="s">
        <v>6275</v>
      </c>
      <c r="K101" s="130"/>
    </row>
    <row r="102" spans="1:13">
      <c r="A102" s="313" t="s">
        <v>1037</v>
      </c>
      <c r="B102" s="130" t="s">
        <v>20</v>
      </c>
      <c r="C102" s="130" t="s">
        <v>591</v>
      </c>
      <c r="D102" s="118">
        <v>350000</v>
      </c>
      <c r="E102" s="119">
        <v>171.82130584192399</v>
      </c>
      <c r="F102" s="117">
        <v>2037</v>
      </c>
      <c r="G102" s="130" t="s">
        <v>26</v>
      </c>
      <c r="H102" s="130" t="s">
        <v>6419</v>
      </c>
      <c r="I102" s="131">
        <v>1989</v>
      </c>
      <c r="J102" s="130" t="s">
        <v>6275</v>
      </c>
      <c r="K102" s="130"/>
    </row>
    <row r="103" spans="1:13">
      <c r="A103" s="314" t="s">
        <v>1248</v>
      </c>
      <c r="B103" s="125" t="s">
        <v>20</v>
      </c>
      <c r="C103" s="125" t="s">
        <v>253</v>
      </c>
      <c r="D103" s="126">
        <v>460000</v>
      </c>
      <c r="E103" s="127">
        <v>180.392156862745</v>
      </c>
      <c r="F103" s="128">
        <v>2550</v>
      </c>
      <c r="G103" s="125" t="s">
        <v>26</v>
      </c>
      <c r="H103" s="125" t="s">
        <v>6422</v>
      </c>
      <c r="I103" s="129">
        <v>1983</v>
      </c>
      <c r="J103" s="125" t="s">
        <v>6275</v>
      </c>
      <c r="K103" s="125"/>
    </row>
    <row r="104" spans="1:13">
      <c r="A104" s="314" t="s">
        <v>638</v>
      </c>
      <c r="B104" s="125" t="s">
        <v>33</v>
      </c>
      <c r="C104" s="125" t="s">
        <v>133</v>
      </c>
      <c r="D104" s="126">
        <v>7125000</v>
      </c>
      <c r="E104" s="127">
        <v>184.858469761046</v>
      </c>
      <c r="F104" s="128">
        <v>38543</v>
      </c>
      <c r="G104" s="125" t="s">
        <v>1519</v>
      </c>
      <c r="H104" s="125" t="s">
        <v>6437</v>
      </c>
      <c r="I104" s="129">
        <v>1960</v>
      </c>
      <c r="J104" s="125" t="s">
        <v>6275</v>
      </c>
      <c r="K104" s="125"/>
    </row>
    <row r="105" spans="1:13">
      <c r="A105" s="313" t="s">
        <v>1108</v>
      </c>
      <c r="B105" s="130" t="s">
        <v>184</v>
      </c>
      <c r="C105" s="130" t="s">
        <v>407</v>
      </c>
      <c r="D105" s="118">
        <v>475000</v>
      </c>
      <c r="E105" s="119">
        <v>193.089430894309</v>
      </c>
      <c r="F105" s="117">
        <v>2460</v>
      </c>
      <c r="G105" s="130" t="s">
        <v>26</v>
      </c>
      <c r="H105" s="130" t="s">
        <v>1111</v>
      </c>
      <c r="I105" s="131">
        <v>1974</v>
      </c>
      <c r="J105" s="130" t="s">
        <v>6275</v>
      </c>
      <c r="K105" s="130"/>
    </row>
    <row r="106" spans="1:13">
      <c r="A106" s="313" t="s">
        <v>1149</v>
      </c>
      <c r="B106" s="130" t="s">
        <v>184</v>
      </c>
      <c r="C106" s="130" t="s">
        <v>407</v>
      </c>
      <c r="D106" s="118">
        <v>399000</v>
      </c>
      <c r="E106" s="119">
        <v>199.5</v>
      </c>
      <c r="F106" s="117">
        <v>2000</v>
      </c>
      <c r="G106" s="130" t="s">
        <v>26</v>
      </c>
      <c r="H106" s="130" t="s">
        <v>6421</v>
      </c>
      <c r="I106" s="131">
        <v>2008</v>
      </c>
      <c r="J106" s="130" t="s">
        <v>6276</v>
      </c>
      <c r="K106" s="130"/>
    </row>
    <row r="107" spans="1:13">
      <c r="A107" s="314" t="s">
        <v>473</v>
      </c>
      <c r="B107" s="125" t="s">
        <v>33</v>
      </c>
      <c r="C107" s="125" t="s">
        <v>474</v>
      </c>
      <c r="D107" s="126">
        <v>4216800</v>
      </c>
      <c r="E107" s="127">
        <v>200.81912563101201</v>
      </c>
      <c r="F107" s="128">
        <v>20998</v>
      </c>
      <c r="G107" s="125" t="s">
        <v>1519</v>
      </c>
      <c r="H107" s="125" t="s">
        <v>6432</v>
      </c>
      <c r="I107" s="129">
        <v>1971</v>
      </c>
      <c r="J107" s="125" t="s">
        <v>6275</v>
      </c>
      <c r="K107" s="125"/>
    </row>
    <row r="108" spans="1:13">
      <c r="A108" s="314" t="s">
        <v>1236</v>
      </c>
      <c r="B108" s="125" t="s">
        <v>20</v>
      </c>
      <c r="C108" s="125" t="s">
        <v>124</v>
      </c>
      <c r="D108" s="126">
        <v>510000</v>
      </c>
      <c r="E108" s="127">
        <v>202.060221870048</v>
      </c>
      <c r="F108" s="128">
        <v>2524</v>
      </c>
      <c r="G108" s="125" t="s">
        <v>26</v>
      </c>
      <c r="H108" s="125" t="s">
        <v>6423</v>
      </c>
      <c r="I108" s="129">
        <v>1966</v>
      </c>
      <c r="J108" s="125" t="s">
        <v>6275</v>
      </c>
      <c r="K108" s="125"/>
    </row>
    <row r="109" spans="1:13">
      <c r="A109" s="313" t="s">
        <v>1463</v>
      </c>
      <c r="B109" s="130" t="s">
        <v>20</v>
      </c>
      <c r="C109" s="130" t="s">
        <v>554</v>
      </c>
      <c r="D109" s="118">
        <v>1200000</v>
      </c>
      <c r="E109" s="119">
        <v>216.68472372697701</v>
      </c>
      <c r="F109" s="117">
        <v>5538</v>
      </c>
      <c r="G109" s="130" t="s">
        <v>26</v>
      </c>
      <c r="H109" s="130" t="s">
        <v>1467</v>
      </c>
      <c r="I109" s="131">
        <v>1996</v>
      </c>
      <c r="J109" s="130" t="s">
        <v>6275</v>
      </c>
      <c r="K109" s="130"/>
    </row>
    <row r="110" spans="1:13">
      <c r="A110" s="314" t="s">
        <v>364</v>
      </c>
      <c r="B110" s="125" t="s">
        <v>33</v>
      </c>
      <c r="C110" s="125" t="s">
        <v>141</v>
      </c>
      <c r="D110" s="126">
        <v>649000</v>
      </c>
      <c r="E110" s="127">
        <v>224.56747404844299</v>
      </c>
      <c r="F110" s="128">
        <v>2890</v>
      </c>
      <c r="G110" s="125" t="s">
        <v>26</v>
      </c>
      <c r="H110" s="125" t="s">
        <v>368</v>
      </c>
      <c r="I110" s="129">
        <v>2003</v>
      </c>
      <c r="J110" s="125" t="s">
        <v>6276</v>
      </c>
      <c r="K110" s="125"/>
    </row>
    <row r="111" spans="1:13">
      <c r="A111" s="313" t="s">
        <v>1043</v>
      </c>
      <c r="B111" s="130" t="s">
        <v>20</v>
      </c>
      <c r="C111" s="130" t="s">
        <v>253</v>
      </c>
      <c r="D111" s="118">
        <v>4100000</v>
      </c>
      <c r="E111" s="119">
        <v>227.777777777778</v>
      </c>
      <c r="F111" s="117">
        <v>18000</v>
      </c>
      <c r="G111" s="130" t="s">
        <v>26</v>
      </c>
      <c r="H111" s="130" t="s">
        <v>6431</v>
      </c>
      <c r="I111" s="131">
        <v>1997</v>
      </c>
      <c r="J111" s="130" t="s">
        <v>6276</v>
      </c>
      <c r="K111" s="130"/>
    </row>
    <row r="112" spans="1:13">
      <c r="A112" s="313" t="s">
        <v>1019</v>
      </c>
      <c r="B112" s="130" t="s">
        <v>20</v>
      </c>
      <c r="C112" s="130" t="s">
        <v>124</v>
      </c>
      <c r="D112" s="118">
        <v>625000</v>
      </c>
      <c r="E112" s="119">
        <v>231.56724712856601</v>
      </c>
      <c r="F112" s="117">
        <v>2699</v>
      </c>
      <c r="G112" s="130" t="s">
        <v>26</v>
      </c>
      <c r="H112" s="130" t="s">
        <v>1022</v>
      </c>
      <c r="I112" s="131">
        <v>1989</v>
      </c>
      <c r="J112" s="130" t="s">
        <v>6275</v>
      </c>
      <c r="K112" s="130"/>
    </row>
    <row r="113" spans="1:11">
      <c r="A113" s="314" t="s">
        <v>1398</v>
      </c>
      <c r="B113" s="125" t="s">
        <v>20</v>
      </c>
      <c r="C113" s="125" t="s">
        <v>1399</v>
      </c>
      <c r="D113" s="126">
        <v>580000</v>
      </c>
      <c r="E113" s="127">
        <v>239.27392739273901</v>
      </c>
      <c r="F113" s="128">
        <v>2424</v>
      </c>
      <c r="G113" s="125" t="s">
        <v>26</v>
      </c>
      <c r="H113" s="125" t="s">
        <v>6425</v>
      </c>
      <c r="I113" s="129">
        <v>2008</v>
      </c>
      <c r="J113" s="125" t="s">
        <v>6276</v>
      </c>
      <c r="K113" s="125"/>
    </row>
    <row r="114" spans="1:11">
      <c r="A114" s="313" t="s">
        <v>1293</v>
      </c>
      <c r="B114" s="130" t="s">
        <v>20</v>
      </c>
      <c r="C114" s="130" t="s">
        <v>124</v>
      </c>
      <c r="D114" s="118">
        <v>560000</v>
      </c>
      <c r="E114" s="119">
        <v>240.13722126929699</v>
      </c>
      <c r="F114" s="117">
        <v>2332</v>
      </c>
      <c r="G114" s="130" t="s">
        <v>26</v>
      </c>
      <c r="H114" s="130" t="s">
        <v>6424</v>
      </c>
      <c r="I114" s="131">
        <v>2004</v>
      </c>
      <c r="J114" s="130" t="s">
        <v>6276</v>
      </c>
      <c r="K114" s="130"/>
    </row>
    <row r="115" spans="1:11">
      <c r="A115" s="314" t="s">
        <v>1538</v>
      </c>
      <c r="B115" s="125" t="s">
        <v>33</v>
      </c>
      <c r="C115" s="125" t="s">
        <v>554</v>
      </c>
      <c r="D115" s="126">
        <v>1600000</v>
      </c>
      <c r="E115" s="127">
        <v>241.87452758881301</v>
      </c>
      <c r="F115" s="128">
        <v>6615</v>
      </c>
      <c r="G115" s="125" t="s">
        <v>1519</v>
      </c>
      <c r="H115" s="125" t="s">
        <v>1541</v>
      </c>
      <c r="I115" s="129">
        <v>1997</v>
      </c>
      <c r="J115" s="125" t="s">
        <v>6276</v>
      </c>
      <c r="K115" s="125"/>
    </row>
    <row r="116" spans="1:11">
      <c r="A116" s="314" t="s">
        <v>1573</v>
      </c>
      <c r="B116" s="125" t="s">
        <v>20</v>
      </c>
      <c r="C116" s="125" t="s">
        <v>141</v>
      </c>
      <c r="D116" s="126">
        <v>4500000</v>
      </c>
      <c r="E116" s="127">
        <v>247.25274725274701</v>
      </c>
      <c r="F116" s="128">
        <v>18200</v>
      </c>
      <c r="G116" s="125" t="s">
        <v>1519</v>
      </c>
      <c r="H116" s="125" t="s">
        <v>6434</v>
      </c>
      <c r="I116" s="129">
        <v>2006</v>
      </c>
      <c r="J116" s="125" t="s">
        <v>6276</v>
      </c>
      <c r="K116" s="125"/>
    </row>
    <row r="117" spans="1:11">
      <c r="A117" s="314" t="s">
        <v>1392</v>
      </c>
      <c r="B117" s="125" t="s">
        <v>20</v>
      </c>
      <c r="C117" s="125" t="s">
        <v>591</v>
      </c>
      <c r="D117" s="126">
        <v>650000</v>
      </c>
      <c r="E117" s="127">
        <v>253.11526479750799</v>
      </c>
      <c r="F117" s="128">
        <v>2568</v>
      </c>
      <c r="G117" s="125" t="s">
        <v>26</v>
      </c>
      <c r="H117" s="125" t="s">
        <v>1395</v>
      </c>
      <c r="I117" s="129">
        <v>2008</v>
      </c>
      <c r="J117" s="125" t="s">
        <v>6276</v>
      </c>
      <c r="K117" s="125"/>
    </row>
    <row r="118" spans="1:11">
      <c r="A118" s="314" t="s">
        <v>252</v>
      </c>
      <c r="B118" s="125" t="s">
        <v>33</v>
      </c>
      <c r="C118" s="125" t="s">
        <v>253</v>
      </c>
      <c r="D118" s="126">
        <v>900000</v>
      </c>
      <c r="E118" s="127">
        <v>253.52112676056299</v>
      </c>
      <c r="F118" s="128">
        <v>3550</v>
      </c>
      <c r="G118" s="125" t="s">
        <v>26</v>
      </c>
      <c r="H118" s="125" t="s">
        <v>256</v>
      </c>
      <c r="I118" s="129">
        <v>2024</v>
      </c>
      <c r="J118" s="125" t="s">
        <v>6277</v>
      </c>
      <c r="K118" s="125"/>
    </row>
    <row r="119" spans="1:11">
      <c r="A119" s="313" t="s">
        <v>140</v>
      </c>
      <c r="B119" s="130" t="s">
        <v>33</v>
      </c>
      <c r="C119" s="130" t="s">
        <v>141</v>
      </c>
      <c r="D119" s="118">
        <v>925000</v>
      </c>
      <c r="E119" s="119">
        <v>262.41134751773097</v>
      </c>
      <c r="F119" s="117">
        <v>3525</v>
      </c>
      <c r="G119" s="130" t="s">
        <v>26</v>
      </c>
      <c r="H119" s="130" t="s">
        <v>6426</v>
      </c>
      <c r="I119" s="131">
        <v>1984</v>
      </c>
      <c r="J119" s="130" t="s">
        <v>6275</v>
      </c>
      <c r="K119" s="130"/>
    </row>
    <row r="120" spans="1:11">
      <c r="A120" s="314" t="s">
        <v>975</v>
      </c>
      <c r="B120" s="125" t="s">
        <v>20</v>
      </c>
      <c r="C120" s="125" t="s">
        <v>554</v>
      </c>
      <c r="D120" s="126">
        <v>1200000</v>
      </c>
      <c r="E120" s="127">
        <v>266.96329254727499</v>
      </c>
      <c r="F120" s="128">
        <v>4495</v>
      </c>
      <c r="G120" s="125" t="s">
        <v>26</v>
      </c>
      <c r="H120" s="125" t="s">
        <v>978</v>
      </c>
      <c r="I120" s="129">
        <v>2003</v>
      </c>
      <c r="J120" s="125" t="s">
        <v>6276</v>
      </c>
      <c r="K120" s="125"/>
    </row>
    <row r="121" spans="1:11">
      <c r="A121" s="314" t="s">
        <v>1007</v>
      </c>
      <c r="B121" s="125" t="s">
        <v>20</v>
      </c>
      <c r="C121" s="125" t="s">
        <v>372</v>
      </c>
      <c r="D121" s="126">
        <v>742000</v>
      </c>
      <c r="E121" s="127">
        <v>285.38461538461502</v>
      </c>
      <c r="F121" s="128">
        <v>2600</v>
      </c>
      <c r="G121" s="125" t="s">
        <v>26</v>
      </c>
      <c r="H121" s="125" t="s">
        <v>1010</v>
      </c>
      <c r="I121" s="129">
        <v>2017</v>
      </c>
      <c r="J121" s="125" t="s">
        <v>6277</v>
      </c>
      <c r="K121" s="125"/>
    </row>
    <row r="122" spans="1:11">
      <c r="A122" s="313" t="s">
        <v>123</v>
      </c>
      <c r="B122" s="130" t="s">
        <v>33</v>
      </c>
      <c r="C122" s="130" t="s">
        <v>124</v>
      </c>
      <c r="D122" s="118">
        <v>800000</v>
      </c>
      <c r="E122" s="119">
        <v>322.58064516129002</v>
      </c>
      <c r="F122" s="117">
        <v>2480</v>
      </c>
      <c r="G122" s="130" t="s">
        <v>26</v>
      </c>
      <c r="H122" s="130" t="s">
        <v>129</v>
      </c>
      <c r="I122" s="131">
        <v>1976</v>
      </c>
      <c r="J122" s="130" t="s">
        <v>6275</v>
      </c>
      <c r="K122" s="130"/>
    </row>
    <row r="123" spans="1:11">
      <c r="A123" s="314" t="s">
        <v>625</v>
      </c>
      <c r="B123" s="125" t="s">
        <v>33</v>
      </c>
      <c r="C123" s="125" t="s">
        <v>133</v>
      </c>
      <c r="D123" s="126">
        <v>1200000</v>
      </c>
      <c r="E123" s="127">
        <v>353.98230088495598</v>
      </c>
      <c r="F123" s="128">
        <v>3390</v>
      </c>
      <c r="G123" s="125" t="s">
        <v>26</v>
      </c>
      <c r="H123" s="125" t="s">
        <v>6427</v>
      </c>
      <c r="I123" s="129">
        <v>1973</v>
      </c>
      <c r="J123" s="125" t="s">
        <v>6275</v>
      </c>
      <c r="K123" s="125"/>
    </row>
    <row r="124" spans="1:11">
      <c r="A124" s="314" t="s">
        <v>1411</v>
      </c>
      <c r="B124" s="125" t="s">
        <v>20</v>
      </c>
      <c r="C124" s="125" t="s">
        <v>124</v>
      </c>
      <c r="D124" s="126">
        <v>2269900</v>
      </c>
      <c r="E124" s="127">
        <v>355.56077694235597</v>
      </c>
      <c r="F124" s="128">
        <v>6384</v>
      </c>
      <c r="G124" s="125" t="s">
        <v>26</v>
      </c>
      <c r="H124" s="125" t="s">
        <v>1414</v>
      </c>
      <c r="I124" s="129">
        <v>2008</v>
      </c>
      <c r="J124" s="125" t="s">
        <v>6276</v>
      </c>
      <c r="K124" s="125"/>
    </row>
    <row r="125" spans="1:11">
      <c r="A125" s="313" t="s">
        <v>590</v>
      </c>
      <c r="B125" s="130" t="s">
        <v>33</v>
      </c>
      <c r="C125" s="130" t="s">
        <v>591</v>
      </c>
      <c r="D125" s="118">
        <v>3518200</v>
      </c>
      <c r="E125" s="119">
        <v>396.64036076662899</v>
      </c>
      <c r="F125" s="117">
        <v>8870</v>
      </c>
      <c r="G125" s="130" t="s">
        <v>1519</v>
      </c>
      <c r="H125" s="130" t="s">
        <v>6429</v>
      </c>
      <c r="I125" s="131">
        <v>2005</v>
      </c>
      <c r="J125" s="130" t="s">
        <v>6276</v>
      </c>
      <c r="K125" s="130"/>
    </row>
    <row r="126" spans="1:11">
      <c r="A126" s="313" t="s">
        <v>994</v>
      </c>
      <c r="B126" s="130" t="s">
        <v>20</v>
      </c>
      <c r="C126" s="130" t="s">
        <v>995</v>
      </c>
      <c r="D126" s="118">
        <v>1650000</v>
      </c>
      <c r="E126" s="119">
        <v>402.046783625731</v>
      </c>
      <c r="F126" s="117">
        <v>4104</v>
      </c>
      <c r="G126" s="130" t="s">
        <v>26</v>
      </c>
      <c r="H126" s="130" t="s">
        <v>998</v>
      </c>
      <c r="I126" s="131">
        <v>2006</v>
      </c>
      <c r="J126" s="130" t="s">
        <v>6276</v>
      </c>
      <c r="K126" s="130"/>
    </row>
    <row r="127" spans="1:11">
      <c r="A127" s="313" t="s">
        <v>508</v>
      </c>
      <c r="B127" s="130" t="s">
        <v>33</v>
      </c>
      <c r="C127" s="130" t="s">
        <v>141</v>
      </c>
      <c r="D127" s="118">
        <v>1400000</v>
      </c>
      <c r="E127" s="119">
        <v>408.87850467289701</v>
      </c>
      <c r="F127" s="117">
        <v>3424</v>
      </c>
      <c r="G127" s="130" t="s">
        <v>26</v>
      </c>
      <c r="H127" s="130" t="s">
        <v>6428</v>
      </c>
      <c r="I127" s="131">
        <v>1960</v>
      </c>
      <c r="J127" s="130" t="s">
        <v>6275</v>
      </c>
      <c r="K127" s="130"/>
    </row>
    <row r="128" spans="1:11">
      <c r="A128" s="314" t="s">
        <v>540</v>
      </c>
      <c r="B128" s="125" t="s">
        <v>33</v>
      </c>
      <c r="C128" s="125" t="s">
        <v>474</v>
      </c>
      <c r="D128" s="126">
        <v>6349400</v>
      </c>
      <c r="E128" s="127">
        <v>424</v>
      </c>
      <c r="F128" s="128">
        <v>14975</v>
      </c>
      <c r="G128" s="125" t="s">
        <v>1519</v>
      </c>
      <c r="H128" s="125" t="s">
        <v>6436</v>
      </c>
      <c r="I128" s="129">
        <v>1974</v>
      </c>
      <c r="J128" s="125" t="s">
        <v>6275</v>
      </c>
      <c r="K128" s="125"/>
    </row>
    <row r="129" spans="1:13">
      <c r="A129" s="314" t="s">
        <v>383</v>
      </c>
      <c r="B129" s="125" t="s">
        <v>33</v>
      </c>
      <c r="C129" s="125" t="s">
        <v>133</v>
      </c>
      <c r="D129" s="126">
        <v>4030000</v>
      </c>
      <c r="E129" s="127">
        <v>494.59990181639699</v>
      </c>
      <c r="F129" s="128">
        <v>8148</v>
      </c>
      <c r="G129" s="125" t="s">
        <v>26</v>
      </c>
      <c r="H129" s="125" t="s">
        <v>6430</v>
      </c>
      <c r="I129" s="129">
        <v>2018</v>
      </c>
      <c r="J129" s="125" t="s">
        <v>6277</v>
      </c>
      <c r="K129" s="125"/>
    </row>
    <row r="130" spans="1:13">
      <c r="A130" s="314" t="s">
        <v>1204</v>
      </c>
      <c r="B130" s="125" t="s">
        <v>20</v>
      </c>
      <c r="C130" s="125" t="s">
        <v>253</v>
      </c>
      <c r="D130" s="126">
        <v>3735000</v>
      </c>
      <c r="E130" s="127">
        <v>647.08939708939704</v>
      </c>
      <c r="F130" s="128">
        <v>5772</v>
      </c>
      <c r="G130" s="125" t="s">
        <v>1519</v>
      </c>
      <c r="H130" s="125" t="s">
        <v>1207</v>
      </c>
      <c r="I130" s="129">
        <v>2004</v>
      </c>
      <c r="J130" s="125" t="s">
        <v>6276</v>
      </c>
      <c r="K130" s="125" t="s">
        <v>6318</v>
      </c>
      <c r="L130" s="356"/>
      <c r="M130" s="362" t="s">
        <v>6555</v>
      </c>
    </row>
    <row r="131" spans="1:13">
      <c r="A131" s="313" t="s">
        <v>1355</v>
      </c>
      <c r="B131" s="130" t="s">
        <v>20</v>
      </c>
      <c r="C131" s="130" t="s">
        <v>253</v>
      </c>
      <c r="D131" s="118">
        <v>3735000</v>
      </c>
      <c r="E131" s="119">
        <v>772.01322860686196</v>
      </c>
      <c r="F131" s="117">
        <v>4838</v>
      </c>
      <c r="G131" s="130" t="s">
        <v>26</v>
      </c>
      <c r="H131" s="130" t="s">
        <v>1357</v>
      </c>
      <c r="I131" s="131">
        <v>2009</v>
      </c>
      <c r="J131" s="130" t="s">
        <v>6276</v>
      </c>
      <c r="K131" s="130" t="s">
        <v>6318</v>
      </c>
      <c r="L131" s="355" t="s">
        <v>6518</v>
      </c>
      <c r="M131" s="361" t="s">
        <v>6556</v>
      </c>
    </row>
    <row r="132" spans="1:13">
      <c r="A132" s="313" t="s">
        <v>553</v>
      </c>
      <c r="B132" s="130" t="s">
        <v>33</v>
      </c>
      <c r="C132" s="130" t="s">
        <v>554</v>
      </c>
      <c r="D132" s="118">
        <v>4900000</v>
      </c>
      <c r="E132" s="119">
        <v>850.694444444444</v>
      </c>
      <c r="F132" s="117">
        <v>5760</v>
      </c>
      <c r="G132" s="130" t="s">
        <v>26</v>
      </c>
      <c r="H132" s="130" t="s">
        <v>6435</v>
      </c>
      <c r="I132" s="131">
        <v>1971</v>
      </c>
      <c r="J132" s="130" t="s">
        <v>6275</v>
      </c>
      <c r="K132" s="130" t="s">
        <v>6318</v>
      </c>
      <c r="L132" s="355" t="s">
        <v>6517</v>
      </c>
      <c r="M132" s="361" t="s">
        <v>6557</v>
      </c>
    </row>
    <row r="133" spans="1:13">
      <c r="A133" s="59"/>
      <c r="B133" s="59"/>
      <c r="C133" s="59"/>
      <c r="D133" s="59"/>
      <c r="E133" s="59"/>
      <c r="F133" s="59"/>
      <c r="G133" s="59"/>
      <c r="H133" s="59"/>
      <c r="I133" s="59"/>
      <c r="J133" s="59"/>
      <c r="K133" s="59"/>
    </row>
    <row r="134" spans="1:13">
      <c r="A134" s="71" t="s">
        <v>6282</v>
      </c>
      <c r="B134" s="59"/>
      <c r="C134" s="59"/>
      <c r="D134" s="59"/>
      <c r="E134" s="59"/>
      <c r="F134" s="59"/>
      <c r="G134" s="59"/>
      <c r="H134" s="59"/>
      <c r="I134" s="59"/>
      <c r="J134" s="59"/>
      <c r="K134" s="59"/>
    </row>
    <row r="135" spans="1:13">
      <c r="A135" s="103" t="s">
        <v>6283</v>
      </c>
      <c r="B135" s="59"/>
      <c r="C135" s="59"/>
      <c r="D135" s="59"/>
      <c r="E135" s="59"/>
      <c r="F135" s="59"/>
      <c r="G135" s="59"/>
      <c r="H135" s="59"/>
      <c r="I135" s="59"/>
      <c r="J135" s="59"/>
      <c r="K135" s="59"/>
    </row>
    <row r="136" spans="1:13">
      <c r="A136" s="301" t="s">
        <v>6438</v>
      </c>
      <c r="B136" s="59"/>
      <c r="C136" s="59"/>
      <c r="D136" s="59"/>
      <c r="E136" s="59"/>
      <c r="F136" s="59"/>
      <c r="G136" s="59"/>
      <c r="H136" s="59"/>
      <c r="I136" s="59"/>
      <c r="J136" s="59"/>
      <c r="K136" s="59"/>
    </row>
    <row r="137" spans="1:13">
      <c r="A137" s="105" t="s">
        <v>6439</v>
      </c>
      <c r="B137" s="59"/>
      <c r="C137" s="59"/>
      <c r="D137" s="59"/>
      <c r="E137" s="59"/>
      <c r="F137" s="59"/>
      <c r="G137" s="59"/>
      <c r="H137" s="59"/>
      <c r="I137" s="59"/>
      <c r="J137" s="59"/>
      <c r="K137" s="59"/>
    </row>
    <row r="138" spans="1:13">
      <c r="A138" s="253" t="s">
        <v>6440</v>
      </c>
      <c r="B138" s="59"/>
      <c r="C138" s="59"/>
      <c r="D138" s="59"/>
      <c r="E138" s="59"/>
      <c r="F138" s="59"/>
      <c r="G138" s="59"/>
      <c r="H138" s="59"/>
      <c r="I138" s="59"/>
      <c r="J138" s="59"/>
      <c r="K138" s="59"/>
    </row>
    <row r="139" spans="1:13">
      <c r="A139" s="59"/>
      <c r="B139" s="59"/>
      <c r="C139" s="59"/>
      <c r="D139" s="59"/>
      <c r="E139" s="59"/>
      <c r="F139" s="59"/>
      <c r="G139" s="59"/>
      <c r="H139" s="59"/>
      <c r="I139" s="59"/>
      <c r="J139" s="59"/>
      <c r="K139" s="59"/>
    </row>
    <row r="140" spans="1:13">
      <c r="A140" s="59"/>
      <c r="B140" s="59"/>
      <c r="C140" s="59"/>
      <c r="D140" s="59"/>
      <c r="E140" s="59"/>
      <c r="F140" s="59"/>
      <c r="G140" s="59"/>
      <c r="H140" s="59"/>
      <c r="I140" s="59"/>
      <c r="J140" s="59"/>
      <c r="K140" s="59"/>
    </row>
    <row r="141" spans="1:13">
      <c r="A141" s="59"/>
      <c r="B141" s="59"/>
      <c r="C141" s="59"/>
      <c r="D141" s="59"/>
      <c r="E141" s="59"/>
      <c r="F141" s="59"/>
      <c r="G141" s="59"/>
      <c r="H141" s="59"/>
      <c r="I141" s="59"/>
      <c r="J141" s="59"/>
      <c r="K141" s="59"/>
    </row>
    <row r="142" spans="1:13">
      <c r="A142" s="59"/>
      <c r="B142" s="59"/>
      <c r="C142" s="59"/>
      <c r="D142" s="59"/>
      <c r="E142" s="59"/>
      <c r="F142" s="59"/>
      <c r="G142" s="59"/>
      <c r="H142" s="59"/>
      <c r="I142" s="59"/>
      <c r="J142" s="59"/>
      <c r="K142" s="59"/>
    </row>
    <row r="143" spans="1:13">
      <c r="A143" s="59"/>
      <c r="B143" s="59"/>
      <c r="C143" s="59"/>
      <c r="D143" s="59"/>
      <c r="E143" s="59"/>
      <c r="F143" s="59"/>
      <c r="G143" s="59"/>
      <c r="H143" s="59"/>
      <c r="I143" s="59"/>
      <c r="J143" s="59"/>
      <c r="K143" s="59"/>
    </row>
    <row r="144" spans="1:13">
      <c r="A144" s="59"/>
      <c r="B144" s="59"/>
      <c r="C144" s="59"/>
      <c r="D144" s="59"/>
      <c r="E144" s="59"/>
      <c r="F144" s="59"/>
      <c r="G144" s="59"/>
      <c r="H144" s="59"/>
      <c r="I144" s="59"/>
      <c r="J144" s="59"/>
      <c r="K144" s="59"/>
    </row>
    <row r="145" spans="1:11">
      <c r="A145" s="59"/>
      <c r="B145" s="59"/>
      <c r="C145" s="59"/>
      <c r="D145" s="59"/>
      <c r="E145" s="59"/>
      <c r="F145" s="59"/>
      <c r="G145" s="59"/>
      <c r="H145" s="59"/>
      <c r="I145" s="59"/>
      <c r="J145" s="59"/>
      <c r="K145" s="59"/>
    </row>
    <row r="146" spans="1:11">
      <c r="A146" s="59"/>
      <c r="B146" s="59"/>
      <c r="C146" s="59"/>
      <c r="D146" s="59"/>
      <c r="E146" s="59"/>
      <c r="F146" s="59"/>
      <c r="G146" s="59"/>
      <c r="H146" s="59"/>
      <c r="I146" s="59"/>
      <c r="J146" s="59"/>
      <c r="K146" s="59"/>
    </row>
    <row r="147" spans="1:11">
      <c r="A147" s="59"/>
      <c r="B147" s="59"/>
      <c r="C147" s="59"/>
      <c r="D147" s="59"/>
      <c r="E147" s="59"/>
      <c r="F147" s="59"/>
      <c r="G147" s="59"/>
      <c r="H147" s="59"/>
      <c r="I147" s="59"/>
      <c r="J147" s="59"/>
      <c r="K147" s="59"/>
    </row>
    <row r="148" spans="1:11">
      <c r="A148" s="59"/>
      <c r="B148" s="59"/>
      <c r="C148" s="59"/>
      <c r="D148" s="59"/>
      <c r="E148" s="59"/>
      <c r="F148" s="59"/>
      <c r="G148" s="59"/>
      <c r="H148" s="59"/>
      <c r="I148" s="59"/>
      <c r="J148" s="59"/>
      <c r="K148" s="59"/>
    </row>
    <row r="149" spans="1:11">
      <c r="A149" s="59"/>
      <c r="B149" s="59"/>
      <c r="C149" s="59"/>
      <c r="D149" s="59"/>
      <c r="E149" s="59"/>
      <c r="F149" s="59"/>
      <c r="G149" s="59"/>
      <c r="H149" s="59"/>
      <c r="I149" s="59"/>
      <c r="J149" s="59"/>
      <c r="K149" s="59"/>
    </row>
    <row r="150" spans="1:11">
      <c r="A150" s="59"/>
      <c r="B150" s="59"/>
      <c r="C150" s="59"/>
      <c r="D150" s="59"/>
      <c r="E150" s="59"/>
      <c r="F150" s="59"/>
      <c r="G150" s="59"/>
      <c r="H150" s="59"/>
      <c r="I150" s="59"/>
      <c r="J150" s="59"/>
      <c r="K150" s="59"/>
    </row>
    <row r="151" spans="1:11">
      <c r="A151" s="59"/>
      <c r="B151" s="59"/>
      <c r="C151" s="59"/>
      <c r="D151" s="59"/>
      <c r="E151" s="59"/>
      <c r="F151" s="59"/>
      <c r="G151" s="59"/>
      <c r="H151" s="59"/>
      <c r="I151" s="59"/>
      <c r="J151" s="59"/>
      <c r="K151" s="59"/>
    </row>
    <row r="152" spans="1:11">
      <c r="A152" s="59"/>
      <c r="B152" s="59"/>
      <c r="C152" s="59"/>
      <c r="D152" s="59"/>
      <c r="E152" s="59"/>
      <c r="F152" s="59"/>
      <c r="G152" s="59"/>
      <c r="H152" s="59"/>
      <c r="I152" s="59"/>
      <c r="J152" s="59"/>
      <c r="K152" s="59"/>
    </row>
    <row r="153" spans="1:11">
      <c r="A153" s="59"/>
      <c r="B153" s="59"/>
      <c r="C153" s="59"/>
      <c r="D153" s="59"/>
      <c r="E153" s="59"/>
      <c r="F153" s="59"/>
      <c r="G153" s="59"/>
      <c r="H153" s="59"/>
      <c r="I153" s="59"/>
      <c r="J153" s="59"/>
      <c r="K153" s="59"/>
    </row>
    <row r="154" spans="1:11">
      <c r="A154" s="59"/>
      <c r="B154" s="59"/>
      <c r="C154" s="59"/>
      <c r="D154" s="59"/>
      <c r="E154" s="59"/>
      <c r="F154" s="59"/>
      <c r="G154" s="59"/>
      <c r="H154" s="59"/>
      <c r="I154" s="59"/>
      <c r="J154" s="59"/>
      <c r="K154" s="59"/>
    </row>
    <row r="155" spans="1:11">
      <c r="A155" s="59"/>
      <c r="B155" s="59"/>
      <c r="C155" s="59"/>
      <c r="D155" s="59"/>
      <c r="E155" s="59"/>
      <c r="F155" s="59"/>
      <c r="G155" s="59"/>
      <c r="H155" s="59"/>
      <c r="I155" s="59"/>
      <c r="J155" s="59"/>
      <c r="K155" s="59"/>
    </row>
    <row r="156" spans="1:11">
      <c r="A156" s="59"/>
      <c r="B156" s="59"/>
      <c r="C156" s="59"/>
      <c r="D156" s="59"/>
      <c r="E156" s="59"/>
      <c r="F156" s="59"/>
      <c r="G156" s="59"/>
      <c r="H156" s="59"/>
      <c r="I156" s="59"/>
      <c r="J156" s="59"/>
      <c r="K156" s="59"/>
    </row>
    <row r="157" spans="1:11">
      <c r="A157" s="59"/>
      <c r="B157" s="59"/>
      <c r="C157" s="59"/>
      <c r="D157" s="59"/>
      <c r="E157" s="59"/>
      <c r="F157" s="59"/>
      <c r="G157" s="59"/>
      <c r="H157" s="59"/>
      <c r="I157" s="59"/>
      <c r="J157" s="59"/>
      <c r="K157" s="59"/>
    </row>
    <row r="158" spans="1:11">
      <c r="A158" s="59"/>
      <c r="B158" s="59"/>
      <c r="C158" s="59"/>
      <c r="D158" s="59"/>
      <c r="E158" s="59"/>
      <c r="F158" s="59"/>
      <c r="G158" s="59"/>
      <c r="H158" s="59"/>
      <c r="I158" s="59"/>
      <c r="J158" s="59"/>
      <c r="K158" s="59"/>
    </row>
    <row r="159" spans="1:11">
      <c r="A159" s="59"/>
      <c r="B159" s="59"/>
      <c r="C159" s="59"/>
      <c r="D159" s="59"/>
      <c r="E159" s="59"/>
      <c r="F159" s="59"/>
      <c r="G159" s="59"/>
      <c r="H159" s="59"/>
      <c r="I159" s="59"/>
      <c r="J159" s="59"/>
      <c r="K159" s="59"/>
    </row>
    <row r="160" spans="1:11">
      <c r="A160" s="59"/>
      <c r="B160" s="59"/>
      <c r="C160" s="59"/>
      <c r="D160" s="59"/>
      <c r="E160" s="59"/>
      <c r="F160" s="59"/>
      <c r="G160" s="59"/>
      <c r="H160" s="59"/>
      <c r="I160" s="59"/>
      <c r="J160" s="59"/>
      <c r="K160" s="59"/>
    </row>
    <row r="161" spans="1:11">
      <c r="A161" s="59"/>
      <c r="B161" s="59"/>
      <c r="C161" s="59"/>
      <c r="D161" s="59"/>
      <c r="E161" s="59"/>
      <c r="F161" s="59"/>
      <c r="G161" s="59"/>
      <c r="H161" s="59"/>
      <c r="I161" s="59"/>
      <c r="J161" s="59"/>
      <c r="K161" s="59"/>
    </row>
    <row r="162" spans="1:11">
      <c r="A162" s="59"/>
      <c r="B162" s="59"/>
      <c r="C162" s="59"/>
      <c r="D162" s="59"/>
      <c r="E162" s="59"/>
      <c r="F162" s="59"/>
      <c r="G162" s="59"/>
      <c r="H162" s="59"/>
      <c r="I162" s="59"/>
      <c r="J162" s="59"/>
      <c r="K162" s="59"/>
    </row>
    <row r="163" spans="1:11">
      <c r="A163" s="59"/>
      <c r="B163" s="59"/>
      <c r="C163" s="59"/>
      <c r="D163" s="59"/>
      <c r="E163" s="59"/>
      <c r="F163" s="59"/>
      <c r="G163" s="59"/>
      <c r="H163" s="59"/>
      <c r="I163" s="59"/>
      <c r="J163" s="59"/>
      <c r="K163" s="59"/>
    </row>
    <row r="164" spans="1:11">
      <c r="A164" s="59"/>
      <c r="B164" s="59"/>
      <c r="C164" s="59"/>
      <c r="D164" s="59"/>
      <c r="E164" s="59"/>
      <c r="F164" s="59"/>
      <c r="G164" s="59"/>
      <c r="H164" s="59"/>
      <c r="I164" s="59"/>
      <c r="J164" s="59"/>
      <c r="K164" s="59"/>
    </row>
    <row r="165" spans="1:11">
      <c r="A165" s="59"/>
      <c r="B165" s="59"/>
      <c r="C165" s="59"/>
      <c r="D165" s="59"/>
      <c r="E165" s="59"/>
      <c r="F165" s="59"/>
      <c r="G165" s="59"/>
      <c r="H165" s="59"/>
      <c r="I165" s="59"/>
      <c r="J165" s="59"/>
      <c r="K165" s="59"/>
    </row>
    <row r="166" spans="1:11">
      <c r="A166" s="59"/>
      <c r="B166" s="59"/>
      <c r="C166" s="59"/>
      <c r="D166" s="59"/>
      <c r="E166" s="59"/>
      <c r="F166" s="59"/>
      <c r="G166" s="59"/>
      <c r="H166" s="59"/>
      <c r="I166" s="59"/>
      <c r="J166" s="59"/>
      <c r="K166" s="59"/>
    </row>
    <row r="167" spans="1:11">
      <c r="A167" s="59"/>
      <c r="B167" s="59"/>
      <c r="C167" s="59"/>
      <c r="D167" s="59"/>
      <c r="E167" s="59"/>
      <c r="F167" s="59"/>
      <c r="G167" s="59"/>
      <c r="H167" s="59"/>
      <c r="I167" s="59"/>
      <c r="J167" s="59"/>
      <c r="K167" s="59"/>
    </row>
    <row r="168" spans="1:11">
      <c r="A168" s="59"/>
      <c r="B168" s="59"/>
      <c r="C168" s="59"/>
      <c r="D168" s="59"/>
      <c r="E168" s="59"/>
      <c r="F168" s="59"/>
      <c r="G168" s="59"/>
      <c r="H168" s="59"/>
      <c r="I168" s="59"/>
      <c r="J168" s="59"/>
      <c r="K168" s="59"/>
    </row>
    <row r="169" spans="1:11">
      <c r="A169" s="59"/>
      <c r="B169" s="59"/>
      <c r="C169" s="59"/>
      <c r="D169" s="59"/>
      <c r="E169" s="59"/>
      <c r="F169" s="59"/>
      <c r="G169" s="59"/>
      <c r="H169" s="59"/>
      <c r="I169" s="59"/>
      <c r="J169" s="59"/>
      <c r="K169" s="59"/>
    </row>
    <row r="170" spans="1:11">
      <c r="A170" s="59"/>
      <c r="B170" s="59"/>
      <c r="C170" s="59"/>
      <c r="D170" s="59"/>
      <c r="E170" s="59"/>
      <c r="F170" s="59"/>
      <c r="G170" s="59"/>
      <c r="H170" s="59"/>
      <c r="I170" s="59"/>
      <c r="J170" s="59"/>
      <c r="K170" s="59"/>
    </row>
    <row r="171" spans="1:11">
      <c r="A171" s="59"/>
      <c r="B171" s="59"/>
      <c r="C171" s="59"/>
      <c r="D171" s="59"/>
      <c r="E171" s="59"/>
      <c r="F171" s="59"/>
      <c r="G171" s="59"/>
      <c r="H171" s="59"/>
      <c r="I171" s="59"/>
      <c r="J171" s="59"/>
      <c r="K171" s="59"/>
    </row>
    <row r="172" spans="1:11">
      <c r="A172" s="59"/>
      <c r="B172" s="59"/>
      <c r="C172" s="59"/>
      <c r="D172" s="59"/>
      <c r="E172" s="59"/>
      <c r="F172" s="59"/>
      <c r="G172" s="59"/>
      <c r="H172" s="59"/>
      <c r="I172" s="59"/>
      <c r="J172" s="59"/>
      <c r="K172" s="59"/>
    </row>
    <row r="173" spans="1:11">
      <c r="A173" s="59"/>
      <c r="B173" s="59"/>
      <c r="C173" s="59"/>
      <c r="D173" s="59"/>
      <c r="E173" s="59"/>
      <c r="F173" s="59"/>
      <c r="G173" s="59"/>
      <c r="H173" s="59"/>
      <c r="I173" s="59"/>
      <c r="J173" s="59"/>
      <c r="K173" s="59"/>
    </row>
    <row r="174" spans="1:11">
      <c r="A174" s="59"/>
      <c r="B174" s="59"/>
      <c r="C174" s="59"/>
      <c r="D174" s="59"/>
      <c r="E174" s="59"/>
      <c r="F174" s="59"/>
      <c r="G174" s="59"/>
      <c r="H174" s="59"/>
      <c r="I174" s="59"/>
      <c r="J174" s="59"/>
      <c r="K174" s="59"/>
    </row>
    <row r="175" spans="1:11">
      <c r="A175" s="59"/>
      <c r="B175" s="59"/>
      <c r="C175" s="59"/>
      <c r="D175" s="59"/>
      <c r="E175" s="59"/>
      <c r="F175" s="59"/>
      <c r="G175" s="59"/>
      <c r="H175" s="59"/>
      <c r="I175" s="59"/>
      <c r="J175" s="59"/>
      <c r="K175" s="59"/>
    </row>
    <row r="176" spans="1:11">
      <c r="A176" s="59"/>
      <c r="B176" s="59"/>
      <c r="C176" s="59"/>
      <c r="D176" s="59"/>
      <c r="E176" s="59"/>
      <c r="F176" s="59"/>
      <c r="G176" s="59"/>
      <c r="H176" s="59"/>
      <c r="I176" s="59"/>
      <c r="J176" s="59"/>
      <c r="K176" s="59"/>
    </row>
    <row r="177" spans="1:11">
      <c r="A177" s="59"/>
      <c r="B177" s="59"/>
      <c r="C177" s="59"/>
      <c r="D177" s="59"/>
      <c r="E177" s="59"/>
      <c r="F177" s="59"/>
      <c r="G177" s="59"/>
      <c r="H177" s="59"/>
      <c r="I177" s="59"/>
      <c r="J177" s="59"/>
      <c r="K177" s="59"/>
    </row>
    <row r="178" spans="1:11">
      <c r="A178" s="59"/>
      <c r="B178" s="59"/>
      <c r="C178" s="59"/>
      <c r="D178" s="59"/>
      <c r="E178" s="59"/>
      <c r="F178" s="59"/>
      <c r="G178" s="59"/>
      <c r="H178" s="59"/>
      <c r="I178" s="59"/>
      <c r="J178" s="59"/>
      <c r="K178" s="59"/>
    </row>
    <row r="179" spans="1:11">
      <c r="A179" s="59"/>
      <c r="B179" s="59"/>
      <c r="C179" s="59"/>
      <c r="D179" s="59"/>
      <c r="E179" s="59"/>
      <c r="F179" s="59"/>
      <c r="G179" s="59"/>
      <c r="H179" s="59"/>
      <c r="I179" s="59"/>
      <c r="J179" s="59"/>
      <c r="K179" s="59"/>
    </row>
    <row r="180" spans="1:11">
      <c r="A180" s="59"/>
      <c r="B180" s="59"/>
      <c r="C180" s="59"/>
      <c r="D180" s="59"/>
      <c r="E180" s="59"/>
      <c r="F180" s="59"/>
      <c r="G180" s="59"/>
      <c r="H180" s="59"/>
      <c r="I180" s="59"/>
      <c r="J180" s="59"/>
      <c r="K180" s="59"/>
    </row>
    <row r="181" spans="1:11">
      <c r="A181" s="59"/>
      <c r="B181" s="59"/>
      <c r="C181" s="59"/>
      <c r="D181" s="59"/>
      <c r="E181" s="59"/>
      <c r="F181" s="59"/>
      <c r="G181" s="59"/>
      <c r="H181" s="59"/>
      <c r="I181" s="59"/>
      <c r="J181" s="59"/>
      <c r="K181" s="59"/>
    </row>
    <row r="182" spans="1:11">
      <c r="A182" s="59"/>
      <c r="B182" s="59"/>
      <c r="C182" s="59"/>
      <c r="D182" s="59"/>
      <c r="E182" s="59"/>
      <c r="F182" s="59"/>
      <c r="G182" s="59"/>
      <c r="H182" s="59"/>
      <c r="I182" s="59"/>
      <c r="J182" s="59"/>
      <c r="K182" s="59"/>
    </row>
    <row r="183" spans="1:11">
      <c r="A183" s="59"/>
      <c r="B183" s="59"/>
      <c r="C183" s="59"/>
      <c r="D183" s="59"/>
      <c r="E183" s="59"/>
      <c r="F183" s="59"/>
      <c r="G183" s="59"/>
      <c r="H183" s="59"/>
      <c r="I183" s="59"/>
      <c r="J183" s="59"/>
      <c r="K183" s="59"/>
    </row>
    <row r="184" spans="1:11">
      <c r="A184" s="59"/>
      <c r="B184" s="59"/>
      <c r="C184" s="59"/>
      <c r="D184" s="59"/>
      <c r="E184" s="59"/>
      <c r="F184" s="59"/>
      <c r="G184" s="59"/>
      <c r="H184" s="59"/>
      <c r="I184" s="59"/>
      <c r="J184" s="59"/>
      <c r="K184" s="59"/>
    </row>
    <row r="185" spans="1:11">
      <c r="A185" s="59"/>
      <c r="B185" s="59"/>
      <c r="C185" s="59"/>
      <c r="D185" s="59"/>
      <c r="E185" s="59"/>
      <c r="F185" s="59"/>
      <c r="G185" s="59"/>
      <c r="H185" s="59"/>
      <c r="I185" s="59"/>
      <c r="J185" s="59"/>
      <c r="K185" s="59"/>
    </row>
    <row r="186" spans="1:11">
      <c r="A186" s="59"/>
      <c r="B186" s="59"/>
      <c r="C186" s="59"/>
      <c r="D186" s="59"/>
      <c r="E186" s="59"/>
      <c r="F186" s="59"/>
      <c r="G186" s="59"/>
      <c r="H186" s="59"/>
      <c r="I186" s="59"/>
      <c r="J186" s="59"/>
      <c r="K186" s="59"/>
    </row>
    <row r="187" spans="1:11">
      <c r="A187" s="59"/>
      <c r="B187" s="59"/>
      <c r="C187" s="59"/>
      <c r="D187" s="59"/>
      <c r="E187" s="59"/>
      <c r="F187" s="59"/>
      <c r="G187" s="59"/>
      <c r="H187" s="59"/>
      <c r="I187" s="59"/>
      <c r="J187" s="59"/>
      <c r="K187" s="59"/>
    </row>
    <row r="188" spans="1:11">
      <c r="A188" s="59"/>
      <c r="B188" s="59"/>
      <c r="C188" s="59"/>
      <c r="D188" s="59"/>
      <c r="E188" s="59"/>
      <c r="F188" s="59"/>
      <c r="G188" s="59"/>
      <c r="H188" s="59"/>
      <c r="I188" s="59"/>
      <c r="J188" s="59"/>
      <c r="K188" s="59"/>
    </row>
    <row r="189" spans="1:11">
      <c r="A189" s="59"/>
      <c r="B189" s="59"/>
      <c r="C189" s="59"/>
      <c r="D189" s="59"/>
      <c r="E189" s="59"/>
      <c r="F189" s="59"/>
      <c r="G189" s="59"/>
      <c r="H189" s="59"/>
      <c r="I189" s="59"/>
      <c r="J189" s="59"/>
      <c r="K189" s="59"/>
    </row>
    <row r="190" spans="1:11">
      <c r="A190" s="59"/>
      <c r="B190" s="59"/>
      <c r="C190" s="59"/>
      <c r="D190" s="59"/>
      <c r="E190" s="59"/>
      <c r="F190" s="59"/>
      <c r="G190" s="59"/>
      <c r="H190" s="59"/>
      <c r="I190" s="59"/>
      <c r="J190" s="59"/>
      <c r="K190" s="59"/>
    </row>
    <row r="191" spans="1:11">
      <c r="A191" s="59"/>
      <c r="B191" s="59"/>
      <c r="C191" s="59"/>
      <c r="D191" s="59"/>
      <c r="E191" s="59"/>
      <c r="F191" s="59"/>
      <c r="G191" s="59"/>
      <c r="H191" s="59"/>
      <c r="I191" s="59"/>
      <c r="J191" s="59"/>
      <c r="K191" s="59"/>
    </row>
    <row r="192" spans="1:11">
      <c r="A192" s="59"/>
      <c r="B192" s="59"/>
      <c r="C192" s="59"/>
      <c r="D192" s="59"/>
      <c r="E192" s="59"/>
      <c r="F192" s="59"/>
      <c r="G192" s="59"/>
      <c r="H192" s="59"/>
      <c r="I192" s="59"/>
      <c r="J192" s="59"/>
      <c r="K192" s="59"/>
    </row>
    <row r="193" spans="1:11">
      <c r="A193" s="59"/>
      <c r="B193" s="59"/>
      <c r="C193" s="59"/>
      <c r="D193" s="59"/>
      <c r="E193" s="59"/>
      <c r="F193" s="59"/>
      <c r="G193" s="59"/>
      <c r="H193" s="59"/>
      <c r="I193" s="59"/>
      <c r="J193" s="59"/>
      <c r="K193" s="59"/>
    </row>
    <row r="194" spans="1:11">
      <c r="A194" s="59"/>
      <c r="B194" s="59"/>
      <c r="C194" s="59"/>
      <c r="D194" s="59"/>
      <c r="E194" s="59"/>
      <c r="F194" s="59"/>
      <c r="G194" s="59"/>
      <c r="H194" s="59"/>
      <c r="I194" s="59"/>
      <c r="J194" s="59"/>
      <c r="K194" s="59"/>
    </row>
    <row r="195" spans="1:11">
      <c r="A195" s="59"/>
      <c r="B195" s="59"/>
      <c r="C195" s="59"/>
      <c r="D195" s="59"/>
      <c r="E195" s="59"/>
      <c r="F195" s="59"/>
      <c r="G195" s="59"/>
      <c r="H195" s="59"/>
      <c r="I195" s="59"/>
      <c r="J195" s="59"/>
      <c r="K195" s="59"/>
    </row>
    <row r="196" spans="1:11">
      <c r="A196" s="59"/>
      <c r="B196" s="59"/>
      <c r="C196" s="59"/>
      <c r="D196" s="59"/>
      <c r="E196" s="59"/>
      <c r="F196" s="59"/>
      <c r="G196" s="59"/>
      <c r="H196" s="59"/>
      <c r="I196" s="59"/>
      <c r="J196" s="59"/>
      <c r="K196" s="59"/>
    </row>
    <row r="197" spans="1:11">
      <c r="A197" s="59"/>
      <c r="B197" s="59"/>
      <c r="C197" s="59"/>
      <c r="D197" s="59"/>
      <c r="E197" s="59"/>
      <c r="F197" s="59"/>
      <c r="G197" s="59"/>
      <c r="H197" s="59"/>
      <c r="I197" s="59"/>
      <c r="J197" s="59"/>
      <c r="K197" s="59"/>
    </row>
    <row r="198" spans="1:11">
      <c r="A198" s="59"/>
      <c r="B198" s="59"/>
      <c r="C198" s="59"/>
      <c r="D198" s="59"/>
      <c r="E198" s="59"/>
      <c r="F198" s="59"/>
      <c r="G198" s="59"/>
      <c r="H198" s="59"/>
      <c r="I198" s="59"/>
      <c r="J198" s="59"/>
      <c r="K198" s="59"/>
    </row>
    <row r="199" spans="1:11">
      <c r="A199" s="59"/>
      <c r="B199" s="59"/>
      <c r="C199" s="59"/>
      <c r="D199" s="59"/>
      <c r="E199" s="59"/>
      <c r="F199" s="59"/>
      <c r="G199" s="59"/>
      <c r="H199" s="59"/>
      <c r="I199" s="59"/>
      <c r="J199" s="59"/>
      <c r="K199" s="59"/>
    </row>
    <row r="200" spans="1:11">
      <c r="A200" s="59"/>
      <c r="B200" s="59"/>
      <c r="C200" s="59"/>
      <c r="D200" s="59"/>
      <c r="E200" s="59"/>
      <c r="F200" s="59"/>
      <c r="G200" s="59"/>
      <c r="H200" s="59"/>
      <c r="I200" s="59"/>
      <c r="J200" s="59"/>
      <c r="K200" s="59"/>
    </row>
  </sheetData>
  <autoFilter ref="A96:M96" xr:uid="{E7584988-0935-814F-AACF-97BD8BCAB230}">
    <sortState xmlns:xlrd2="http://schemas.microsoft.com/office/spreadsheetml/2017/richdata2" ref="A97:M132">
      <sortCondition ref="E96:E132"/>
    </sortState>
  </autoFilter>
  <conditionalFormatting sqref="A97:K131 M97 M130:M131">
    <cfRule type="expression" dxfId="31" priority="9" stopIfTrue="1">
      <formula>$K97="Yes"</formula>
    </cfRule>
  </conditionalFormatting>
  <conditionalFormatting sqref="B13:B16">
    <cfRule type="dataBar" priority="7">
      <dataBar>
        <cfvo type="min"/>
        <cfvo type="max"/>
        <color rgb="FF4D93D9"/>
      </dataBar>
      <extLst>
        <ext xmlns:x14="http://schemas.microsoft.com/office/spreadsheetml/2009/9/main" uri="{B025F937-C7B1-47D3-B67F-A62EFF666E3E}">
          <x14:id>{EE76043A-3418-6840-BDD9-585CA965427E}</x14:id>
        </ext>
      </extLst>
    </cfRule>
  </conditionalFormatting>
  <conditionalFormatting sqref="D97:D131">
    <cfRule type="dataBar" priority="14">
      <dataBar>
        <cfvo type="min"/>
        <cfvo type="max"/>
        <color rgb="FF215C98"/>
      </dataBar>
      <extLst>
        <ext xmlns:x14="http://schemas.microsoft.com/office/spreadsheetml/2009/9/main" uri="{B025F937-C7B1-47D3-B67F-A62EFF666E3E}">
          <x14:id>{3E331A4E-11AB-E549-AF8B-9792B449C484}</x14:id>
        </ext>
      </extLst>
    </cfRule>
  </conditionalFormatting>
  <conditionalFormatting sqref="D97:D132">
    <cfRule type="dataBar" priority="5">
      <dataBar>
        <cfvo type="min"/>
        <cfvo type="max"/>
        <color rgb="FF215C98"/>
      </dataBar>
      <extLst>
        <ext xmlns:x14="http://schemas.microsoft.com/office/spreadsheetml/2009/9/main" uri="{B025F937-C7B1-47D3-B67F-A62EFF666E3E}">
          <x14:id>{9FC23EC7-FE32-3F4E-8AB0-E905A518AEDF}</x14:id>
        </ext>
      </extLst>
    </cfRule>
  </conditionalFormatting>
  <conditionalFormatting sqref="E97:E131">
    <cfRule type="colorScale" priority="13">
      <colorScale>
        <cfvo type="min"/>
        <cfvo type="percentile" val="50"/>
        <cfvo type="max"/>
        <color rgb="FFE8F5E9"/>
        <color rgb="FFFFF9C4"/>
        <color rgb="FFFFCDD2"/>
      </colorScale>
    </cfRule>
  </conditionalFormatting>
  <conditionalFormatting sqref="E97:E132">
    <cfRule type="colorScale" priority="6">
      <colorScale>
        <cfvo type="min"/>
        <cfvo type="percentile" val="50"/>
        <cfvo type="max"/>
        <color rgb="FFE8F5E9"/>
        <color rgb="FFFFF9C4"/>
        <color rgb="FFFFCDD2"/>
      </colorScale>
    </cfRule>
  </conditionalFormatting>
  <conditionalFormatting sqref="G13:G16">
    <cfRule type="colorScale" priority="8">
      <colorScale>
        <cfvo type="min"/>
        <cfvo type="percentile" val="50"/>
        <cfvo type="max"/>
        <color rgb="FF4CAF50"/>
        <color rgb="FFFFF9C4"/>
        <color rgb="FFE53935"/>
      </colorScale>
    </cfRule>
  </conditionalFormatting>
  <conditionalFormatting sqref="L97:M97 A97:K132 L130:M132">
    <cfRule type="expression" dxfId="30" priority="1">
      <formula>AND($F97&lt;6000,$F97&gt;0)</formula>
    </cfRule>
    <cfRule type="expression" dxfId="29" priority="2">
      <formula>AND($F97&gt;=6000,$F97&lt;10000)</formula>
    </cfRule>
    <cfRule type="expression" dxfId="28" priority="3">
      <formula>$F97&gt;=10000</formula>
    </cfRule>
    <cfRule type="expression" dxfId="27" priority="4">
      <formula>$K97="Yes"</formula>
    </cfRule>
  </conditionalFormatting>
  <conditionalFormatting sqref="M97 A97:K131 M130:M131">
    <cfRule type="expression" dxfId="26" priority="10">
      <formula>AND($F97&lt;6000,$F97&gt;0,$K97&lt;&gt;"Yes")</formula>
    </cfRule>
    <cfRule type="expression" dxfId="25" priority="11">
      <formula>AND($F97&gt;=6000,$F97&lt;10000,$K97&lt;&gt;"Yes")</formula>
    </cfRule>
    <cfRule type="expression" dxfId="24" priority="12">
      <formula>AND($F97&gt;=10000,$K97&lt;&gt;"Yes")</formula>
    </cfRule>
  </conditionalFormatting>
  <hyperlinks>
    <hyperlink ref="M97" r:id="rId1" xr:uid="{A3778191-A0FD-1D49-AAC4-1B57EF6A302D}"/>
    <hyperlink ref="M130" r:id="rId2" xr:uid="{37AEBAF1-AD78-954A-9564-A158D2AEDE3D}"/>
    <hyperlink ref="M131" r:id="rId3" xr:uid="{826CE5E5-7F51-7942-97B2-7EAFB6C00CC7}"/>
    <hyperlink ref="M132" r:id="rId4" xr:uid="{6C44F9BA-31DD-B94C-893D-9004C6EEDC35}"/>
  </hyperlinks>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EE76043A-3418-6840-BDD9-585CA965427E}">
            <x14:dataBar minLength="0" maxLength="100" direction="leftToRight" negativeBarColorSameAsPositive="1" axisPosition="none">
              <x14:cfvo type="min"/>
              <x14:cfvo type="max"/>
            </x14:dataBar>
          </x14:cfRule>
          <xm:sqref>B13:B16</xm:sqref>
        </x14:conditionalFormatting>
        <x14:conditionalFormatting xmlns:xm="http://schemas.microsoft.com/office/excel/2006/main">
          <x14:cfRule type="dataBar" id="{3E331A4E-11AB-E549-AF8B-9792B449C484}">
            <x14:dataBar minLength="0" maxLength="100" direction="leftToRight" negativeBarColorSameAsPositive="1" axisPosition="none">
              <x14:cfvo type="min"/>
              <x14:cfvo type="max"/>
            </x14:dataBar>
          </x14:cfRule>
          <xm:sqref>D97:D131</xm:sqref>
        </x14:conditionalFormatting>
        <x14:conditionalFormatting xmlns:xm="http://schemas.microsoft.com/office/excel/2006/main">
          <x14:cfRule type="dataBar" id="{9FC23EC7-FE32-3F4E-8AB0-E905A518AEDF}">
            <x14:dataBar minLength="0" maxLength="100" direction="leftToRight" negativeBarColorSameAsPositive="1" axisPosition="none">
              <x14:cfvo type="min"/>
              <x14:cfvo type="max"/>
            </x14:dataBar>
          </x14:cfRule>
          <xm:sqref>D97:D132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D78F-0E19-BC47-841E-CCCCF112A0CB}">
  <dimension ref="A1:O200"/>
  <sheetViews>
    <sheetView zoomScale="109" workbookViewId="0">
      <pane ySplit="2" topLeftCell="A95" activePane="bottomLeft" state="frozen"/>
      <selection pane="bottomLeft" activeCell="L107" sqref="L107"/>
    </sheetView>
  </sheetViews>
  <sheetFormatPr baseColWidth="10" defaultRowHeight="16" outlineLevelCol="1"/>
  <cols>
    <col min="1" max="1" width="46.6640625" customWidth="1"/>
    <col min="2" max="11" width="18.33203125" customWidth="1"/>
    <col min="13" max="15" width="10.83203125" outlineLevel="1"/>
  </cols>
  <sheetData>
    <row r="1" spans="1:15" ht="24">
      <c r="A1" s="53" t="s">
        <v>6450</v>
      </c>
      <c r="B1" s="53"/>
      <c r="C1" s="53"/>
      <c r="D1" s="53"/>
      <c r="E1" s="53"/>
      <c r="F1" s="53"/>
      <c r="G1" s="53"/>
      <c r="H1" s="53"/>
      <c r="I1" s="53"/>
      <c r="J1" s="53"/>
      <c r="K1" s="53"/>
    </row>
    <row r="2" spans="1:15">
      <c r="A2" s="54" t="s">
        <v>6451</v>
      </c>
      <c r="B2" s="59"/>
      <c r="C2" s="59"/>
      <c r="D2" s="59"/>
      <c r="E2" s="59"/>
      <c r="F2" s="59"/>
      <c r="G2" s="59"/>
      <c r="H2" s="59"/>
      <c r="I2" s="59"/>
      <c r="J2" s="59"/>
      <c r="K2" s="59"/>
    </row>
    <row r="3" spans="1:15">
      <c r="A3" s="59"/>
      <c r="B3" s="59"/>
      <c r="C3" s="59"/>
      <c r="D3" s="59"/>
      <c r="E3" s="59"/>
      <c r="F3" s="59"/>
      <c r="G3" s="59"/>
      <c r="H3" s="59"/>
      <c r="I3" s="59"/>
      <c r="J3" s="59"/>
      <c r="K3" s="59"/>
    </row>
    <row r="4" spans="1:15" ht="19">
      <c r="A4" s="55" t="s">
        <v>6452</v>
      </c>
      <c r="B4" s="55"/>
      <c r="C4" s="55"/>
      <c r="D4" s="55"/>
      <c r="E4" s="55"/>
      <c r="F4" s="55"/>
      <c r="G4" s="55"/>
      <c r="H4" s="55"/>
      <c r="I4" s="55"/>
      <c r="J4" s="55"/>
      <c r="K4" s="55"/>
      <c r="M4" s="69" t="s">
        <v>6214</v>
      </c>
      <c r="N4" s="69" t="s">
        <v>6215</v>
      </c>
    </row>
    <row r="5" spans="1:15">
      <c r="A5" s="305" t="s">
        <v>6214</v>
      </c>
      <c r="B5" s="305" t="s">
        <v>6215</v>
      </c>
      <c r="C5" s="305" t="s">
        <v>6216</v>
      </c>
      <c r="D5" s="305" t="s">
        <v>6217</v>
      </c>
      <c r="E5" s="305" t="s">
        <v>6218</v>
      </c>
      <c r="F5" s="305" t="s">
        <v>6219</v>
      </c>
      <c r="G5" s="305" t="s">
        <v>6220</v>
      </c>
      <c r="H5" s="305" t="s">
        <v>6221</v>
      </c>
      <c r="I5" s="305" t="s">
        <v>6230</v>
      </c>
      <c r="J5" s="305" t="s">
        <v>6231</v>
      </c>
      <c r="K5" s="59"/>
      <c r="M5" t="s">
        <v>6441</v>
      </c>
      <c r="N5" s="302">
        <f>B6</f>
        <v>1</v>
      </c>
    </row>
    <row r="6" spans="1:15">
      <c r="A6" s="309" t="s">
        <v>26</v>
      </c>
      <c r="B6" s="117" cm="1">
        <f t="array" ref="B6">SUMPRODUCT(('Medical Sales'!N3:N196="Medical")*(LEFT('Medical Sales'!D3:D196,4)="2023")*('Medical Sales'!U3:U196&lt;&gt;"Yes"))</f>
        <v>1</v>
      </c>
      <c r="C6" s="118" cm="1">
        <f t="array" ref="C6">SUMPRODUCT(('Medical Sales'!N3:N196="Medical")*(LEFT('Medical Sales'!D3:D196,4)="2023")*('Medical Sales'!U3:U196&lt;&gt;"Yes")*('Medical Sales'!E3:E196))</f>
        <v>3000000</v>
      </c>
      <c r="D6" s="118">
        <f>IF(B6=0,"-",C6/B6)</f>
        <v>3000000</v>
      </c>
      <c r="E6" s="118" cm="1">
        <f t="array" ref="E6">IFERROR(MEDIAN(IF(('Medical Sales'!N3:N196="Medical")*(LEFT('Medical Sales'!D3:D196,4)="2023")*('Medical Sales'!U3:U196&lt;&gt;"Yes"),'Medical Sales'!E3:E196)),"-")</f>
        <v>3000000</v>
      </c>
      <c r="F6" s="119" cm="1">
        <f t="array" ref="F6">IF(B6=0,"-",SUMPRODUCT(('Medical Sales'!N3:N196="Medical")*(LEFT('Medical Sales'!D3:D196,4)="2023")*('Medical Sales'!U3:U196&lt;&gt;"Yes")*('Medical Sales'!F3:F196))/B6)</f>
        <v>713.43638525564802</v>
      </c>
      <c r="G6" s="119" cm="1">
        <f t="array" ref="G6">IFERROR(MEDIAN(IF(('Medical Sales'!N3:N196="Medical")*(LEFT('Medical Sales'!D3:D196,4)="2023")*('Medical Sales'!U3:U196&lt;&gt;"Yes"),'Medical Sales'!F3:F196)),"-")</f>
        <v>713.43638525564802</v>
      </c>
      <c r="H6" s="117" cm="1">
        <f t="array" ref="H6">IF(B6=0,"-",SUMPRODUCT(('Medical Sales'!N3:N196="Medical")*(LEFT('Medical Sales'!D3:D196,4)="2023")*('Medical Sales'!U3:U196&lt;&gt;"Yes")*('Medical Sales'!G3:G196))/B6)</f>
        <v>4205</v>
      </c>
      <c r="I6" s="118" cm="1">
        <f t="array" ref="I6">IFERROR(MIN(IF(('Medical Sales'!N3:N196="Medical")*(LEFT('Medical Sales'!D3:D196,4)="2023")*('Medical Sales'!U3:U196&lt;&gt;"Yes"),'Medical Sales'!E3:E196)),"-")</f>
        <v>3000000</v>
      </c>
      <c r="J6" s="118" cm="1">
        <f t="array" ref="J6">IFERROR(MAX(IF(('Medical Sales'!N3:N196="Medical")*(LEFT('Medical Sales'!D3:D196,4)="2023")*('Medical Sales'!U3:U196&lt;&gt;"Yes"),'Medical Sales'!E3:E196)),"-")</f>
        <v>3000000</v>
      </c>
      <c r="K6" s="59"/>
      <c r="M6" t="s">
        <v>6442</v>
      </c>
      <c r="N6" s="302">
        <f>B7</f>
        <v>0</v>
      </c>
    </row>
    <row r="7" spans="1:15">
      <c r="A7" s="309" t="s">
        <v>1519</v>
      </c>
      <c r="B7" s="117" cm="1">
        <f t="array" ref="B7">SUMPRODUCT(('Medical Sales'!N3:N196="Multi-Tenant Medical")*(LEFT('Medical Sales'!D3:D196,4)="2023")*('Medical Sales'!U3:U196&lt;&gt;"Yes"))</f>
        <v>0</v>
      </c>
      <c r="C7" s="118" cm="1">
        <f t="array" ref="C7">SUMPRODUCT(('Medical Sales'!N3:N196="Multi-Tenant Medical")*(LEFT('Medical Sales'!D3:D196,4)="2023")*('Medical Sales'!U3:U196&lt;&gt;"Yes")*('Medical Sales'!E3:E196))</f>
        <v>0</v>
      </c>
      <c r="D7" s="118" t="str">
        <f>IF(B7=0,"-",C7/B7)</f>
        <v>-</v>
      </c>
      <c r="E7" s="118" t="str" cm="1">
        <f t="array" ref="E7">IFERROR(MEDIAN(IF(('Medical Sales'!N3:N196="Multi-Tenant Medical")*(LEFT('Medical Sales'!D3:D196,4)="2023")*('Medical Sales'!U3:U196&lt;&gt;"Yes"),'Medical Sales'!E3:E196)),"-")</f>
        <v>-</v>
      </c>
      <c r="F7" s="119" t="str" cm="1">
        <f t="array" ref="F7">IF(B7=0,"-",SUMPRODUCT(('Medical Sales'!N3:N196="Multi-Tenant Medical")*(LEFT('Medical Sales'!D3:D196,4)="2023")*('Medical Sales'!U3:U196&lt;&gt;"Yes")*('Medical Sales'!F3:F196))/B7)</f>
        <v>-</v>
      </c>
      <c r="G7" s="119" t="str" cm="1">
        <f t="array" ref="G7">IFERROR(MEDIAN(IF(('Medical Sales'!N3:N196="Multi-Tenant Medical")*(LEFT('Medical Sales'!D3:D196,4)="2023")*('Medical Sales'!U3:U196&lt;&gt;"Yes"),'Medical Sales'!F3:F196)),"-")</f>
        <v>-</v>
      </c>
      <c r="H7" s="117" t="str" cm="1">
        <f t="array" ref="H7">IF(B7=0,"-",SUMPRODUCT(('Medical Sales'!N3:N196="Multi-Tenant Medical")*(LEFT('Medical Sales'!D3:D196,4)="2023")*('Medical Sales'!U3:U196&lt;&gt;"Yes")*('Medical Sales'!G3:G196))/B7)</f>
        <v>-</v>
      </c>
      <c r="I7" s="118" cm="1">
        <f t="array" ref="I7">IFERROR(MIN(IF(('Medical Sales'!N3:N196="Multi-Tenant Medical")*(LEFT('Medical Sales'!D3:D196,4)="2023")*('Medical Sales'!U3:U196&lt;&gt;"Yes"),'Medical Sales'!E3:E196)),"-")</f>
        <v>0</v>
      </c>
      <c r="J7" s="118" cm="1">
        <f t="array" ref="J7">IFERROR(MAX(IF(('Medical Sales'!N3:N196="Multi-Tenant Medical")*(LEFT('Medical Sales'!D3:D196,4)="2023")*('Medical Sales'!U3:U196&lt;&gt;"Yes"),'Medical Sales'!E3:E196)),"-")</f>
        <v>0</v>
      </c>
      <c r="K7" s="59"/>
      <c r="M7" t="s">
        <v>6443</v>
      </c>
      <c r="N7" s="302">
        <f>B8</f>
        <v>1</v>
      </c>
    </row>
    <row r="8" spans="1:15">
      <c r="A8" s="309" t="s">
        <v>6212</v>
      </c>
      <c r="B8" s="117" cm="1">
        <f t="array" ref="B8">SUMPRODUCT(('Medical Sales'!N3:N196="Hospitals")*(LEFT('Medical Sales'!D3:D196,4)="2023")*('Medical Sales'!U3:U196&lt;&gt;"Yes"))</f>
        <v>1</v>
      </c>
      <c r="C8" s="118" cm="1">
        <f t="array" ref="C8">SUMPRODUCT(('Medical Sales'!N3:N196="Hospitals")*(LEFT('Medical Sales'!D3:D196,4)="2023")*('Medical Sales'!U3:U196&lt;&gt;"Yes")*('Medical Sales'!E3:E196))</f>
        <v>3889000</v>
      </c>
      <c r="D8" s="118">
        <f>IF(B8=0,"-",C8/B8)</f>
        <v>3889000</v>
      </c>
      <c r="E8" s="118" cm="1">
        <f t="array" ref="E8">IFERROR(MEDIAN(IF(('Medical Sales'!N3:N196="Hospitals")*(LEFT('Medical Sales'!D3:D196,4)="2023")*('Medical Sales'!U3:U196&lt;&gt;"Yes"),'Medical Sales'!E3:E196)),"-")</f>
        <v>3889000</v>
      </c>
      <c r="F8" s="119" cm="1">
        <f t="array" ref="F8">IF(B8=0,"-",SUMPRODUCT(('Medical Sales'!N3:N196="Hospitals")*(LEFT('Medical Sales'!D3:D196,4)="2023")*('Medical Sales'!U3:U196&lt;&gt;"Yes")*('Medical Sales'!F3:F196))/B8)</f>
        <v>136.42741878902686</v>
      </c>
      <c r="G8" s="119" cm="1">
        <f t="array" ref="G8">IFERROR(MEDIAN(IF(('Medical Sales'!N3:N196="Hospitals")*(LEFT('Medical Sales'!D3:D196,4)="2023")*('Medical Sales'!U3:U196&lt;&gt;"Yes"),'Medical Sales'!F3:F196)),"-")</f>
        <v>136.42741878902686</v>
      </c>
      <c r="H8" s="117" cm="1">
        <f t="array" ref="H8">IF(B8=0,"-",SUMPRODUCT(('Medical Sales'!N3:N196="Hospitals")*(LEFT('Medical Sales'!D3:D196,4)="2023")*('Medical Sales'!U3:U196&lt;&gt;"Yes")*('Medical Sales'!G3:G196))/B8)</f>
        <v>28506</v>
      </c>
      <c r="I8" s="118" cm="1">
        <f t="array" ref="I8">IFERROR(MIN(IF(('Medical Sales'!N3:N196="Hospitals")*(LEFT('Medical Sales'!D3:D196,4)="2023")*('Medical Sales'!U3:U196&lt;&gt;"Yes"),'Medical Sales'!E3:E196)),"-")</f>
        <v>3889000</v>
      </c>
      <c r="J8" s="118" cm="1">
        <f t="array" ref="J8">IFERROR(MAX(IF(('Medical Sales'!N3:N196="Hospitals")*(LEFT('Medical Sales'!D3:D196,4)="2023")*('Medical Sales'!U3:U196&lt;&gt;"Yes"),'Medical Sales'!E3:E196)),"-")</f>
        <v>3889000</v>
      </c>
      <c r="K8" s="59"/>
    </row>
    <row r="9" spans="1:15">
      <c r="A9" s="309" t="s">
        <v>6222</v>
      </c>
      <c r="B9" s="306">
        <f>SUM(B6:B8)</f>
        <v>2</v>
      </c>
      <c r="C9" s="307">
        <f>SUM(C6:C8)</f>
        <v>6889000</v>
      </c>
      <c r="D9" s="307">
        <f>IF(B9=0,"-",C9/B9)</f>
        <v>3444500</v>
      </c>
      <c r="E9" s="307" cm="1">
        <f t="array" ref="E9">MEDIAN(IF((LEFT('Medical Sales'!D3:D196,4)="2023")*('Medical Sales'!U3:U196&lt;&gt;"Yes"),'Medical Sales'!E3:E196))</f>
        <v>3444500</v>
      </c>
      <c r="F9" s="308" cm="1">
        <f t="array" ref="F9">IF(B9=0,"-",SUMPRODUCT((LEFT('Medical Sales'!D3:D196,4)="2023")*('Medical Sales'!U3:U196&lt;&gt;"Yes")*('Medical Sales'!F3:F196))/SUMPRODUCT((LEFT('Medical Sales'!D3:D196,4)="2023")*('Medical Sales'!U3:U196&lt;&gt;"Yes")*('Medical Sales'!F3:F196&lt;&gt;0)*1))</f>
        <v>424.93190202233745</v>
      </c>
      <c r="G9" s="308" cm="1">
        <f t="array" ref="G9">MEDIAN(IF((LEFT('Medical Sales'!D3:D196,4)="2023")*('Medical Sales'!U3:U196&lt;&gt;"Yes"),'Medical Sales'!F3:F196))</f>
        <v>424.93190202233745</v>
      </c>
      <c r="H9" s="306" cm="1">
        <f t="array" ref="H9">IF(B9=0,"-",SUMPRODUCT((LEFT('Medical Sales'!D3:D196,4)="2023")*('Medical Sales'!U3:U196&lt;&gt;"Yes")*('Medical Sales'!G3:G196))/B9)</f>
        <v>16355.5</v>
      </c>
      <c r="I9" s="307" cm="1">
        <f t="array" ref="I9">MIN(IF((LEFT('Medical Sales'!D3:D196,4)="2023")*('Medical Sales'!U3:U196&lt;&gt;"Yes"),'Medical Sales'!E3:E196))</f>
        <v>3000000</v>
      </c>
      <c r="J9" s="307" cm="1">
        <f t="array" ref="J9">MAX(IF((LEFT('Medical Sales'!D3:D196,4)="2023")*('Medical Sales'!U3:U196&lt;&gt;"Yes"),'Medical Sales'!E3:E196))</f>
        <v>3889000</v>
      </c>
      <c r="K9" s="59"/>
    </row>
    <row r="10" spans="1:15">
      <c r="A10" s="59"/>
      <c r="B10" s="59"/>
      <c r="C10" s="59"/>
      <c r="D10" s="59"/>
      <c r="E10" s="59"/>
      <c r="F10" s="59"/>
      <c r="G10" s="59"/>
      <c r="H10" s="59"/>
      <c r="I10" s="59"/>
      <c r="J10" s="59"/>
      <c r="K10" s="59"/>
      <c r="M10" s="69" t="s">
        <v>2</v>
      </c>
      <c r="N10" s="69" t="s">
        <v>6215</v>
      </c>
      <c r="O10" s="69" t="s">
        <v>6220</v>
      </c>
    </row>
    <row r="11" spans="1:15" ht="19">
      <c r="A11" s="55" t="s">
        <v>6453</v>
      </c>
      <c r="B11" s="55"/>
      <c r="C11" s="55"/>
      <c r="D11" s="55"/>
      <c r="E11" s="55"/>
      <c r="F11" s="55"/>
      <c r="G11" s="55"/>
      <c r="H11" s="55"/>
      <c r="I11" s="55"/>
      <c r="J11" s="55"/>
      <c r="K11" s="55"/>
      <c r="M11" t="s">
        <v>6444</v>
      </c>
      <c r="N11" s="302">
        <f>B13</f>
        <v>1</v>
      </c>
      <c r="O11" s="68">
        <f>G13</f>
        <v>713.43638525564802</v>
      </c>
    </row>
    <row r="12" spans="1:15">
      <c r="A12" s="305" t="s">
        <v>2</v>
      </c>
      <c r="B12" s="305" t="s">
        <v>6215</v>
      </c>
      <c r="C12" s="305" t="s">
        <v>6216</v>
      </c>
      <c r="D12" s="305" t="s">
        <v>6217</v>
      </c>
      <c r="E12" s="305" t="s">
        <v>6218</v>
      </c>
      <c r="F12" s="305" t="s">
        <v>6219</v>
      </c>
      <c r="G12" s="305" t="s">
        <v>6220</v>
      </c>
      <c r="H12" s="305" t="s">
        <v>6221</v>
      </c>
      <c r="I12" s="305" t="s">
        <v>6230</v>
      </c>
      <c r="J12" s="305" t="s">
        <v>6231</v>
      </c>
      <c r="K12" s="59"/>
      <c r="M12" t="s">
        <v>6445</v>
      </c>
      <c r="N12" s="302">
        <f>B14</f>
        <v>1</v>
      </c>
      <c r="O12" s="68">
        <f>G14</f>
        <v>136.42741878902686</v>
      </c>
    </row>
    <row r="13" spans="1:15">
      <c r="A13" s="309" t="s">
        <v>33</v>
      </c>
      <c r="B13" s="117" cm="1">
        <f t="array" ref="B13">SUMPRODUCT(('Medical Sales'!C3:C196="Orange")*(LEFT('Medical Sales'!D3:D196,4)="2023")*('Medical Sales'!U3:U196&lt;&gt;"Yes"))</f>
        <v>1</v>
      </c>
      <c r="C13" s="118" cm="1">
        <f t="array" ref="C13">SUMPRODUCT(('Medical Sales'!C3:C196="Orange")*(LEFT('Medical Sales'!D3:D196,4)="2023")*('Medical Sales'!U3:U196&lt;&gt;"Yes")*('Medical Sales'!E3:E196))</f>
        <v>3000000</v>
      </c>
      <c r="D13" s="118">
        <f>IF(B13=0,"-",C13/B13)</f>
        <v>3000000</v>
      </c>
      <c r="E13" s="118" cm="1">
        <f t="array" ref="E13">IFERROR(MEDIAN(IF(('Medical Sales'!C3:C196="Orange")*(LEFT('Medical Sales'!D3:D196,4)="2023")*('Medical Sales'!U3:U196&lt;&gt;"Yes"),'Medical Sales'!E3:E196)),"-")</f>
        <v>3000000</v>
      </c>
      <c r="F13" s="119" cm="1">
        <f t="array" ref="F13">IF(B13=0,"-",SUMPRODUCT(('Medical Sales'!C3:C196="Orange")*(LEFT('Medical Sales'!D3:D196,4)="2023")*('Medical Sales'!U3:U196&lt;&gt;"Yes")*('Medical Sales'!F3:F196))/B13)</f>
        <v>713.43638525564802</v>
      </c>
      <c r="G13" s="119" cm="1">
        <f t="array" ref="G13">IFERROR(MEDIAN(IF(('Medical Sales'!C3:C196="Orange")*(LEFT('Medical Sales'!D3:D196,4)="2023")*('Medical Sales'!U3:U196&lt;&gt;"Yes"),'Medical Sales'!F3:F196)),"-")</f>
        <v>713.43638525564802</v>
      </c>
      <c r="H13" s="117" cm="1">
        <f t="array" ref="H13">IF(B13=0,"-",SUMPRODUCT(('Medical Sales'!C3:C196="Orange")*(LEFT('Medical Sales'!D3:D196,4)="2023")*('Medical Sales'!U3:U196&lt;&gt;"Yes")*('Medical Sales'!G3:G196))/B13)</f>
        <v>4205</v>
      </c>
      <c r="I13" s="118" cm="1">
        <f t="array" ref="I13">IF(B13=0,"-",MIN(IF(('Medical Sales'!C3:C196="Orange")*(LEFT('Medical Sales'!D3:D196,4)="2023")*('Medical Sales'!U3:U196&lt;&gt;"Yes"),'Medical Sales'!E3:E196)))</f>
        <v>3000000</v>
      </c>
      <c r="J13" s="118" cm="1">
        <f t="array" ref="J13">IF(B13=0,"-",MAX(IF(('Medical Sales'!C3:C196="Orange")*(LEFT('Medical Sales'!D3:D196,4)="2023")*('Medical Sales'!U3:U196&lt;&gt;"Yes"),'Medical Sales'!E3:E196)))</f>
        <v>3000000</v>
      </c>
      <c r="K13" s="59"/>
      <c r="M13" t="s">
        <v>6446</v>
      </c>
      <c r="N13" s="302">
        <f>B15</f>
        <v>0</v>
      </c>
      <c r="O13" s="68" t="str">
        <f>G15</f>
        <v>-</v>
      </c>
    </row>
    <row r="14" spans="1:15">
      <c r="A14" s="309" t="s">
        <v>20</v>
      </c>
      <c r="B14" s="117" cm="1">
        <f t="array" ref="B14">SUMPRODUCT(('Medical Sales'!C3:C196="Seminole")*(LEFT('Medical Sales'!D3:D196,4)="2023")*('Medical Sales'!U3:U196&lt;&gt;"Yes"))</f>
        <v>1</v>
      </c>
      <c r="C14" s="118" cm="1">
        <f t="array" ref="C14">SUMPRODUCT(('Medical Sales'!C3:C196="Seminole")*(LEFT('Medical Sales'!D3:D196,4)="2023")*('Medical Sales'!U3:U196&lt;&gt;"Yes")*('Medical Sales'!E3:E196))</f>
        <v>3889000</v>
      </c>
      <c r="D14" s="118">
        <f>IF(B14=0,"-",C14/B14)</f>
        <v>3889000</v>
      </c>
      <c r="E14" s="118" cm="1">
        <f t="array" ref="E14">IFERROR(MEDIAN(IF(('Medical Sales'!C3:C196="Seminole")*(LEFT('Medical Sales'!D3:D196,4)="2023")*('Medical Sales'!U3:U196&lt;&gt;"Yes"),'Medical Sales'!E3:E196)),"-")</f>
        <v>3889000</v>
      </c>
      <c r="F14" s="119" cm="1">
        <f t="array" ref="F14">IF(B14=0,"-",SUMPRODUCT(('Medical Sales'!C3:C196="Seminole")*(LEFT('Medical Sales'!D3:D196,4)="2023")*('Medical Sales'!U3:U196&lt;&gt;"Yes")*('Medical Sales'!F3:F196))/B14)</f>
        <v>136.42741878902686</v>
      </c>
      <c r="G14" s="119" cm="1">
        <f t="array" ref="G14">IFERROR(MEDIAN(IF(('Medical Sales'!C3:C196="Seminole")*(LEFT('Medical Sales'!D3:D196,4)="2023")*('Medical Sales'!U3:U196&lt;&gt;"Yes"),'Medical Sales'!F3:F196)),"-")</f>
        <v>136.42741878902686</v>
      </c>
      <c r="H14" s="117" cm="1">
        <f t="array" ref="H14">IF(B14=0,"-",SUMPRODUCT(('Medical Sales'!C3:C196="Seminole")*(LEFT('Medical Sales'!D3:D196,4)="2023")*('Medical Sales'!U3:U196&lt;&gt;"Yes")*('Medical Sales'!G3:G196))/B14)</f>
        <v>28506</v>
      </c>
      <c r="I14" s="118" cm="1">
        <f t="array" ref="I14">IF(B14=0,"-",MIN(IF(('Medical Sales'!C3:C196="Seminole")*(LEFT('Medical Sales'!D3:D196,4)="2023")*('Medical Sales'!U3:U196&lt;&gt;"Yes"),'Medical Sales'!E3:E196)))</f>
        <v>3889000</v>
      </c>
      <c r="J14" s="118" cm="1">
        <f t="array" ref="J14">IF(B14=0,"-",MAX(IF(('Medical Sales'!C3:C196="Seminole")*(LEFT('Medical Sales'!D3:D196,4)="2023")*('Medical Sales'!U3:U196&lt;&gt;"Yes"),'Medical Sales'!E3:E196)))</f>
        <v>3889000</v>
      </c>
      <c r="K14" s="59"/>
      <c r="M14" t="s">
        <v>6447</v>
      </c>
      <c r="N14" s="302">
        <f>B16</f>
        <v>0</v>
      </c>
      <c r="O14" s="68" t="str">
        <f>G16</f>
        <v>-</v>
      </c>
    </row>
    <row r="15" spans="1:15">
      <c r="A15" s="309" t="s">
        <v>678</v>
      </c>
      <c r="B15" s="117" cm="1">
        <f t="array" ref="B15">SUMPRODUCT(('Medical Sales'!C3:C196="Osceola")*(LEFT('Medical Sales'!D3:D196,4)="2023")*('Medical Sales'!U3:U196&lt;&gt;"Yes"))</f>
        <v>0</v>
      </c>
      <c r="C15" s="118" cm="1">
        <f t="array" ref="C15">SUMPRODUCT(('Medical Sales'!C3:C196="Osceola")*(LEFT('Medical Sales'!D3:D196,4)="2023")*('Medical Sales'!U3:U196&lt;&gt;"Yes")*('Medical Sales'!E3:E196))</f>
        <v>0</v>
      </c>
      <c r="D15" s="118" t="str">
        <f>IF(B15=0,"-",C15/B15)</f>
        <v>-</v>
      </c>
      <c r="E15" s="118" t="str" cm="1">
        <f t="array" ref="E15">IFERROR(MEDIAN(IF(('Medical Sales'!C3:C196="Osceola")*(LEFT('Medical Sales'!D3:D196,4)="2023")*('Medical Sales'!U3:U196&lt;&gt;"Yes"),'Medical Sales'!E3:E196)),"-")</f>
        <v>-</v>
      </c>
      <c r="F15" s="119" t="str" cm="1">
        <f t="array" ref="F15">IF(B15=0,"-",SUMPRODUCT(('Medical Sales'!C3:C196="Osceola")*(LEFT('Medical Sales'!D3:D196,4)="2023")*('Medical Sales'!U3:U196&lt;&gt;"Yes")*('Medical Sales'!F3:F196))/B15)</f>
        <v>-</v>
      </c>
      <c r="G15" s="119" t="str" cm="1">
        <f t="array" ref="G15">IFERROR(MEDIAN(IF(('Medical Sales'!C3:C196="Osceola")*(LEFT('Medical Sales'!D3:D196,4)="2023")*('Medical Sales'!U3:U196&lt;&gt;"Yes"),'Medical Sales'!F3:F196)),"-")</f>
        <v>-</v>
      </c>
      <c r="H15" s="117" t="str" cm="1">
        <f t="array" ref="H15">IF(B15=0,"-",SUMPRODUCT(('Medical Sales'!C3:C196="Osceola")*(LEFT('Medical Sales'!D3:D196,4)="2023")*('Medical Sales'!U3:U196&lt;&gt;"Yes")*('Medical Sales'!G3:G196))/B15)</f>
        <v>-</v>
      </c>
      <c r="I15" s="118" t="str" cm="1">
        <f t="array" ref="I15">IF(B15=0,"-",MIN(IF(('Medical Sales'!C3:C196="Osceola")*(LEFT('Medical Sales'!D3:D196,4)="2023")*('Medical Sales'!U3:U196&lt;&gt;"Yes"),'Medical Sales'!E3:E196)))</f>
        <v>-</v>
      </c>
      <c r="J15" s="118" t="str" cm="1">
        <f t="array" ref="J15">IF(B15=0,"-",MAX(IF(('Medical Sales'!C3:C196="Osceola")*(LEFT('Medical Sales'!D3:D196,4)="2023")*('Medical Sales'!U3:U196&lt;&gt;"Yes"),'Medical Sales'!E3:E196)))</f>
        <v>-</v>
      </c>
      <c r="K15" s="59"/>
    </row>
    <row r="16" spans="1:15">
      <c r="A16" s="309" t="s">
        <v>184</v>
      </c>
      <c r="B16" s="117" cm="1">
        <f t="array" ref="B16">SUMPRODUCT(('Medical Sales'!C3:C196="Lake")*(LEFT('Medical Sales'!D3:D196,4)="2023")*('Medical Sales'!U3:U196&lt;&gt;"Yes"))</f>
        <v>0</v>
      </c>
      <c r="C16" s="118" cm="1">
        <f t="array" ref="C16">SUMPRODUCT(('Medical Sales'!C3:C196="Lake")*(LEFT('Medical Sales'!D3:D196,4)="2023")*('Medical Sales'!U3:U196&lt;&gt;"Yes")*('Medical Sales'!E3:E196))</f>
        <v>0</v>
      </c>
      <c r="D16" s="118" t="str">
        <f>IF(B16=0,"-",C16/B16)</f>
        <v>-</v>
      </c>
      <c r="E16" s="118" t="str" cm="1">
        <f t="array" ref="E16">IFERROR(MEDIAN(IF(('Medical Sales'!C3:C196="Lake")*(LEFT('Medical Sales'!D3:D196,4)="2023")*('Medical Sales'!U3:U196&lt;&gt;"Yes"),'Medical Sales'!E3:E196)),"-")</f>
        <v>-</v>
      </c>
      <c r="F16" s="119" t="str" cm="1">
        <f t="array" ref="F16">IF(B16=0,"-",SUMPRODUCT(('Medical Sales'!C3:C196="Lake")*(LEFT('Medical Sales'!D3:D196,4)="2023")*('Medical Sales'!U3:U196&lt;&gt;"Yes")*('Medical Sales'!F3:F196))/B16)</f>
        <v>-</v>
      </c>
      <c r="G16" s="119" t="str" cm="1">
        <f t="array" ref="G16">IFERROR(MEDIAN(IF(('Medical Sales'!C3:C196="Lake")*(LEFT('Medical Sales'!D3:D196,4)="2023")*('Medical Sales'!U3:U196&lt;&gt;"Yes"),'Medical Sales'!F3:F196)),"-")</f>
        <v>-</v>
      </c>
      <c r="H16" s="117" t="str" cm="1">
        <f t="array" ref="H16">IF(B16=0,"-",SUMPRODUCT(('Medical Sales'!C3:C196="Lake")*(LEFT('Medical Sales'!D3:D196,4)="2023")*('Medical Sales'!U3:U196&lt;&gt;"Yes")*('Medical Sales'!G3:G196))/B16)</f>
        <v>-</v>
      </c>
      <c r="I16" s="118" t="str" cm="1">
        <f t="array" ref="I16">IF(B16=0,"-",MIN(IF(('Medical Sales'!C3:C196="Lake")*(LEFT('Medical Sales'!D3:D196,4)="2023")*('Medical Sales'!U3:U196&lt;&gt;"Yes"),'Medical Sales'!E3:E196)))</f>
        <v>-</v>
      </c>
      <c r="J16" s="118" t="str" cm="1">
        <f t="array" ref="J16">IF(B16=0,"-",MAX(IF(('Medical Sales'!C3:C196="Lake")*(LEFT('Medical Sales'!D3:D196,4)="2023")*('Medical Sales'!U3:U196&lt;&gt;"Yes"),'Medical Sales'!E3:E196)))</f>
        <v>-</v>
      </c>
      <c r="K16" s="59"/>
    </row>
    <row r="17" spans="1:15">
      <c r="A17" s="59"/>
      <c r="B17" s="59"/>
      <c r="C17" s="59"/>
      <c r="D17" s="59"/>
      <c r="E17" s="59"/>
      <c r="F17" s="59"/>
      <c r="G17" s="59"/>
      <c r="H17" s="59"/>
      <c r="I17" s="59"/>
      <c r="J17" s="59"/>
      <c r="K17" s="59"/>
      <c r="M17" s="69" t="s">
        <v>6279</v>
      </c>
      <c r="N17" s="69" t="s">
        <v>6218</v>
      </c>
      <c r="O17" s="69" t="s">
        <v>6220</v>
      </c>
    </row>
    <row r="18" spans="1:15" ht="19">
      <c r="A18" s="55" t="s">
        <v>6303</v>
      </c>
      <c r="B18" s="55"/>
      <c r="C18" s="55"/>
      <c r="D18" s="55"/>
      <c r="E18" s="55"/>
      <c r="F18" s="55"/>
      <c r="G18" s="55"/>
      <c r="H18" s="55"/>
      <c r="I18" s="55"/>
      <c r="J18" s="55"/>
      <c r="K18" s="55"/>
      <c r="M18" t="s">
        <v>6448</v>
      </c>
      <c r="N18" s="304">
        <f>B28</f>
        <v>3000000</v>
      </c>
      <c r="O18" s="68">
        <f>B30</f>
        <v>713.43638525564802</v>
      </c>
    </row>
    <row r="19" spans="1:15">
      <c r="A19" s="305" t="s">
        <v>2</v>
      </c>
      <c r="B19" s="305" t="s">
        <v>6215</v>
      </c>
      <c r="C19" s="305" t="s">
        <v>6216</v>
      </c>
      <c r="D19" s="305" t="s">
        <v>6217</v>
      </c>
      <c r="E19" s="305" t="s">
        <v>6218</v>
      </c>
      <c r="F19" s="305" t="s">
        <v>6219</v>
      </c>
      <c r="G19" s="305" t="s">
        <v>6220</v>
      </c>
      <c r="H19" s="59"/>
      <c r="I19" s="59"/>
      <c r="J19" s="59"/>
      <c r="K19" s="59"/>
      <c r="M19" t="s">
        <v>6449</v>
      </c>
      <c r="N19" s="304">
        <f>B66</f>
        <v>3889000</v>
      </c>
      <c r="O19" s="68">
        <f>B68</f>
        <v>136.42741878902686</v>
      </c>
    </row>
    <row r="20" spans="1:15">
      <c r="A20" s="309" t="s">
        <v>6304</v>
      </c>
      <c r="B20" s="117" cm="1">
        <f t="array" ref="B20">SUMPRODUCT(('Medical Sales'!C3:C196="Orange")*(LEFT('Medical Sales'!D3:D196,4)="2023")*('Medical Sales'!N3:N196&lt;&gt;"Hospitals")*('Medical Sales'!U3:U196&lt;&gt;"Yes"))</f>
        <v>1</v>
      </c>
      <c r="C20" s="118" cm="1">
        <f t="array" ref="C20">SUMPRODUCT(('Medical Sales'!C3:C196="Orange")*(LEFT('Medical Sales'!D3:D196,4)="2023")*('Medical Sales'!N3:N196&lt;&gt;"Hospitals")*('Medical Sales'!U3:U196&lt;&gt;"Yes")*('Medical Sales'!E3:E196))</f>
        <v>3000000</v>
      </c>
      <c r="D20" s="118">
        <f>IF(B20=0,"-",C20/B20)</f>
        <v>3000000</v>
      </c>
      <c r="E20" s="118" cm="1">
        <f t="array" ref="E20">IFERROR(MEDIAN(IF(('Medical Sales'!C3:C196="Orange")*(LEFT('Medical Sales'!D3:D196,4)="2023")*('Medical Sales'!N3:N196&lt;&gt;"Hospitals")*('Medical Sales'!U3:U196&lt;&gt;"Yes"),'Medical Sales'!E3:E196)),"-")</f>
        <v>3000000</v>
      </c>
      <c r="F20" s="119" cm="1">
        <f t="array" ref="F20">IF(B20=0,"-",SUMPRODUCT(('Medical Sales'!C3:C196="Orange")*(LEFT('Medical Sales'!D3:D196,4)="2023")*('Medical Sales'!N3:N196&lt;&gt;"Hospitals")*('Medical Sales'!U3:U196&lt;&gt;"Yes")*('Medical Sales'!F3:F196))/B20)</f>
        <v>713.43638525564802</v>
      </c>
      <c r="G20" s="119" cm="1">
        <f t="array" ref="G20">IFERROR(MEDIAN(IF(('Medical Sales'!C3:C196="Orange")*(LEFT('Medical Sales'!D3:D196,4)="2023")*('Medical Sales'!N3:N196&lt;&gt;"Hospitals")*('Medical Sales'!U3:U196&lt;&gt;"Yes"),'Medical Sales'!F3:F196)),"-")</f>
        <v>713.43638525564802</v>
      </c>
      <c r="H20" s="59"/>
      <c r="I20" s="59"/>
      <c r="J20" s="59"/>
      <c r="K20" s="59"/>
    </row>
    <row r="21" spans="1:15">
      <c r="A21" s="309" t="s">
        <v>6305</v>
      </c>
      <c r="B21" s="117" cm="1">
        <f t="array" ref="B21">SUMPRODUCT((LEFT('Medical Sales'!D3:D196,4)="2023")*('Medical Sales'!N3:N196&lt;&gt;"Hospitals")*('Medical Sales'!U3:U196&lt;&gt;"Yes"))</f>
        <v>1</v>
      </c>
      <c r="C21" s="118" cm="1">
        <f t="array" ref="C21">SUMPRODUCT((LEFT('Medical Sales'!D3:D196,4)="2023")*('Medical Sales'!N3:N196&lt;&gt;"Hospitals")*('Medical Sales'!U3:U196&lt;&gt;"Yes")*('Medical Sales'!E3:E196))</f>
        <v>3000000</v>
      </c>
      <c r="D21" s="118">
        <f>IF(B21=0,"-",C21/B21)</f>
        <v>3000000</v>
      </c>
      <c r="E21" s="118" cm="1">
        <f t="array" ref="E21">MEDIAN(IF((LEFT('Medical Sales'!D3:D196,4)="2023")*('Medical Sales'!N3:N196&lt;&gt;"Hospitals")*('Medical Sales'!U3:U196&lt;&gt;"Yes"),'Medical Sales'!E3:E196))</f>
        <v>3000000</v>
      </c>
      <c r="F21" s="119" cm="1">
        <f t="array" ref="F21">IF(B21=0,"-",SUMPRODUCT((LEFT('Medical Sales'!D3:D196,4)="2023")*('Medical Sales'!N3:N196&lt;&gt;"Hospitals")*('Medical Sales'!U3:U196&lt;&gt;"Yes")*('Medical Sales'!F3:F196))/B21)</f>
        <v>713.43638525564802</v>
      </c>
      <c r="G21" s="119" cm="1">
        <f t="array" ref="G21">MEDIAN(IF((LEFT('Medical Sales'!D3:D196,4)="2023")*('Medical Sales'!N3:N196&lt;&gt;"Hospitals")*('Medical Sales'!U3:U196&lt;&gt;"Yes"),'Medical Sales'!F3:F196))</f>
        <v>713.43638525564802</v>
      </c>
      <c r="H21" s="59"/>
      <c r="I21" s="59"/>
      <c r="J21" s="59"/>
      <c r="K21" s="59"/>
    </row>
    <row r="22" spans="1:15">
      <c r="A22" s="270" t="s">
        <v>6348</v>
      </c>
      <c r="B22" s="59"/>
      <c r="C22" s="59"/>
      <c r="D22" s="59"/>
      <c r="E22" s="59"/>
      <c r="F22" s="59"/>
      <c r="G22" s="59"/>
      <c r="H22" s="59"/>
      <c r="I22" s="59"/>
      <c r="J22" s="59"/>
      <c r="K22" s="59"/>
      <c r="M22" s="69" t="s">
        <v>6233</v>
      </c>
      <c r="N22" s="69" t="s">
        <v>6215</v>
      </c>
    </row>
    <row r="23" spans="1:15">
      <c r="A23" s="59"/>
      <c r="B23" s="59"/>
      <c r="C23" s="59"/>
      <c r="D23" s="59"/>
      <c r="E23" s="59"/>
      <c r="F23" s="59"/>
      <c r="G23" s="59"/>
      <c r="H23" s="59"/>
      <c r="I23" s="59"/>
      <c r="J23" s="59"/>
      <c r="K23" s="59"/>
      <c r="M23" t="s">
        <v>6659</v>
      </c>
      <c r="N23" cm="1">
        <f t="array" ref="N23">SUMPRODUCT((LEFT('Medical Sales'!D3:D196,4)="2023")*('Medical Sales'!G3:G196&lt;3000)*('Medical Sales'!G3:G196&gt;0)*('Medical Sales'!U3:U196&lt;&gt;"Yes"))</f>
        <v>0</v>
      </c>
    </row>
    <row r="24" spans="1:15" ht="19">
      <c r="A24" s="84" t="s">
        <v>6256</v>
      </c>
      <c r="B24" s="84"/>
      <c r="C24" s="84"/>
      <c r="D24" s="84"/>
      <c r="E24" s="84"/>
      <c r="F24" s="84"/>
      <c r="G24" s="84"/>
      <c r="H24" s="84"/>
      <c r="I24" s="84"/>
      <c r="J24" s="84"/>
      <c r="K24" s="84"/>
      <c r="M24" t="s">
        <v>6658</v>
      </c>
      <c r="N24" cm="1">
        <f t="array" ref="N24">SUMPRODUCT((LEFT('Medical Sales'!D3:D196,4)="2023")*('Medical Sales'!G3:G196&gt;=3000)*('Medical Sales'!G3:G196&lt;6000)*('Medical Sales'!U3:U196&lt;&gt;"Yes"))</f>
        <v>1</v>
      </c>
    </row>
    <row r="25" spans="1:15">
      <c r="A25" s="86" t="s">
        <v>6257</v>
      </c>
      <c r="B25" s="59"/>
      <c r="C25" s="59"/>
      <c r="D25" s="315" t="s">
        <v>6285</v>
      </c>
      <c r="E25" s="106"/>
      <c r="F25" s="106"/>
      <c r="G25" s="106"/>
      <c r="H25" s="106"/>
      <c r="I25" s="106"/>
      <c r="J25" s="106"/>
      <c r="K25" s="317"/>
      <c r="M25" t="s">
        <v>6657</v>
      </c>
      <c r="N25" cm="1">
        <f t="array" ref="N25">SUMPRODUCT((LEFT('Medical Sales'!D3:D196,4)="2023")*('Medical Sales'!G3:G196&gt;=6000)*('Medical Sales'!G3:G196&lt;10000)*('Medical Sales'!U3:U196&lt;&gt;"Yes"))</f>
        <v>0</v>
      </c>
    </row>
    <row r="26" spans="1:15">
      <c r="A26" s="57" t="s">
        <v>6454</v>
      </c>
      <c r="B26" s="62" cm="1">
        <f t="array" ref="B26">SUMPRODUCT((LEFT('Medical Sales'!D3:D196,4)="2023")*('Medical Sales'!G3:G196&lt;6000)*('Medical Sales'!G3:G196&gt;0)*('Medical Sales'!U3:U196&lt;&gt;"Yes"))</f>
        <v>1</v>
      </c>
      <c r="C26" s="59"/>
      <c r="D26" s="316" t="s">
        <v>6404</v>
      </c>
      <c r="E26" s="108"/>
      <c r="F26" s="108"/>
      <c r="G26" s="108"/>
      <c r="H26" s="108"/>
      <c r="I26" s="108"/>
      <c r="J26" s="108"/>
      <c r="K26" s="168"/>
      <c r="M26" t="s">
        <v>6655</v>
      </c>
      <c r="N26" cm="1">
        <f t="array" ref="N26">SUMPRODUCT((LEFT('Medical Sales'!D3:D196,4)="2023")*('Medical Sales'!G3:G196&gt;=10000)*('Medical Sales'!G3:G196&lt;20000)*('Medical Sales'!U3:U196&lt;&gt;"Yes"))</f>
        <v>0</v>
      </c>
    </row>
    <row r="27" spans="1:15">
      <c r="A27" s="57" t="s">
        <v>6216</v>
      </c>
      <c r="B27" s="63" cm="1">
        <f t="array" ref="B27">SUMPRODUCT((LEFT('Medical Sales'!D3:D196,4)="2023")*('Medical Sales'!G3:G196&lt;6000)*('Medical Sales'!G3:G196&gt;0)*('Medical Sales'!U3:U196&lt;&gt;"Yes")*('Medical Sales'!E3:E196))</f>
        <v>3000000</v>
      </c>
      <c r="C27" s="59"/>
      <c r="D27" s="165"/>
      <c r="E27" s="108"/>
      <c r="F27" s="108"/>
      <c r="G27" s="108"/>
      <c r="H27" s="108"/>
      <c r="I27" s="108"/>
      <c r="J27" s="108"/>
      <c r="K27" s="168"/>
      <c r="M27" t="s">
        <v>6656</v>
      </c>
      <c r="N27" cm="1">
        <f t="array" ref="N27">SUMPRODUCT((LEFT('Medical Sales'!D3:D196,4)="2023")*('Medical Sales'!G3:G196&gt;=20000)*('Medical Sales'!U3:U196&lt;&gt;"Yes"))</f>
        <v>1</v>
      </c>
    </row>
    <row r="28" spans="1:15">
      <c r="A28" s="57" t="s">
        <v>6218</v>
      </c>
      <c r="B28" s="63" cm="1">
        <f t="array" ref="B28">IFERROR(MEDIAN(IF((LEFT('Medical Sales'!D3:D196,4)="2023")*('Medical Sales'!G3:G196&lt;6000)*('Medical Sales'!G3:G196&gt;0)*('Medical Sales'!U3:U196&lt;&gt;"Yes"),'Medical Sales'!E3:E196)),"-")</f>
        <v>3000000</v>
      </c>
      <c r="C28" s="59"/>
      <c r="D28" s="165"/>
      <c r="E28" s="108"/>
      <c r="F28" s="108"/>
      <c r="G28" s="108"/>
      <c r="H28" s="108"/>
      <c r="I28" s="108"/>
      <c r="J28" s="108"/>
      <c r="K28" s="168"/>
    </row>
    <row r="29" spans="1:15">
      <c r="A29" s="57" t="s">
        <v>6259</v>
      </c>
      <c r="B29" s="63">
        <f>IF(B26=0,"-",B27/B26)</f>
        <v>3000000</v>
      </c>
      <c r="C29" s="59"/>
      <c r="D29" s="165"/>
      <c r="E29" s="108"/>
      <c r="F29" s="108"/>
      <c r="G29" s="108"/>
      <c r="H29" s="108"/>
      <c r="I29" s="108"/>
      <c r="J29" s="108"/>
      <c r="K29" s="168"/>
    </row>
    <row r="30" spans="1:15">
      <c r="A30" s="57" t="s">
        <v>6220</v>
      </c>
      <c r="B30" s="61" cm="1">
        <f t="array" ref="B30">IFERROR(MEDIAN(IF((LEFT('Medical Sales'!D3:D196,4)="2023")*('Medical Sales'!G3:G196&lt;6000)*('Medical Sales'!G3:G196&gt;0)*('Medical Sales'!U3:U196&lt;&gt;"Yes"),'Medical Sales'!F3:F196)),"-")</f>
        <v>713.43638525564802</v>
      </c>
      <c r="C30" s="59"/>
      <c r="D30" s="165"/>
      <c r="E30" s="108"/>
      <c r="F30" s="108"/>
      <c r="G30" s="108"/>
      <c r="H30" s="108"/>
      <c r="I30" s="108"/>
      <c r="J30" s="108"/>
      <c r="K30" s="168"/>
    </row>
    <row r="31" spans="1:15">
      <c r="A31" s="57" t="s">
        <v>6260</v>
      </c>
      <c r="B31" s="61" cm="1">
        <f t="array" ref="B31">IF(B26=0,"-",SUMPRODUCT((LEFT('Medical Sales'!D3:D196,4)="2023")*('Medical Sales'!G3:G196&lt;6000)*('Medical Sales'!G3:G196&gt;0)*('Medical Sales'!U3:U196&lt;&gt;"Yes")*('Medical Sales'!F3:F196))/B26)</f>
        <v>713.43638525564802</v>
      </c>
      <c r="C31" s="59"/>
      <c r="D31" s="165"/>
      <c r="E31" s="108"/>
      <c r="F31" s="108"/>
      <c r="G31" s="108"/>
      <c r="H31" s="108"/>
      <c r="I31" s="108"/>
      <c r="J31" s="108"/>
      <c r="K31" s="168"/>
    </row>
    <row r="32" spans="1:15">
      <c r="A32" s="57" t="s">
        <v>6261</v>
      </c>
      <c r="B32" s="62" cm="1">
        <f t="array" ref="B32">IF(B26=0,"-",SUMPRODUCT((LEFT('Medical Sales'!D3:D196,4)="2023")*('Medical Sales'!G3:G196&lt;6000)*('Medical Sales'!G3:G196&gt;0)*('Medical Sales'!U3:U196&lt;&gt;"Yes")*('Medical Sales'!G3:G196))/B26)</f>
        <v>4205</v>
      </c>
      <c r="C32" s="59"/>
      <c r="D32" s="165"/>
      <c r="E32" s="108"/>
      <c r="F32" s="108"/>
      <c r="G32" s="108"/>
      <c r="H32" s="108"/>
      <c r="I32" s="108"/>
      <c r="J32" s="108"/>
      <c r="K32" s="168"/>
    </row>
    <row r="33" spans="1:11">
      <c r="A33" s="57" t="s">
        <v>6262</v>
      </c>
      <c r="B33" s="63" cm="1">
        <f t="array" ref="B33">IFERROR(MIN(IF((LEFT('Medical Sales'!D3:D196,4)="2023")*('Medical Sales'!G3:G196&lt;6000)*('Medical Sales'!G3:G196&gt;0)*('Medical Sales'!U3:U196&lt;&gt;"Yes"),'Medical Sales'!E3:E196)),"-")</f>
        <v>3000000</v>
      </c>
      <c r="C33" s="59"/>
      <c r="D33" s="165"/>
      <c r="E33" s="108"/>
      <c r="F33" s="108"/>
      <c r="G33" s="108"/>
      <c r="H33" s="108"/>
      <c r="I33" s="108"/>
      <c r="J33" s="108"/>
      <c r="K33" s="168"/>
    </row>
    <row r="34" spans="1:11" ht="17" thickBot="1">
      <c r="A34" s="57" t="s">
        <v>6263</v>
      </c>
      <c r="B34" s="63" cm="1">
        <f t="array" ref="B34">IFERROR(MAX(IF((LEFT('Medical Sales'!D3:D196,4)="2023")*('Medical Sales'!G3:G196&lt;6000)*('Medical Sales'!G3:G196&gt;0)*('Medical Sales'!U3:U196&lt;&gt;"Yes"),'Medical Sales'!E3:E196)),"-")</f>
        <v>3000000</v>
      </c>
      <c r="C34" s="59"/>
      <c r="D34" s="166"/>
      <c r="E34" s="162"/>
      <c r="F34" s="162"/>
      <c r="G34" s="162"/>
      <c r="H34" s="162"/>
      <c r="I34" s="162"/>
      <c r="J34" s="162"/>
      <c r="K34" s="169"/>
    </row>
    <row r="35" spans="1:11">
      <c r="A35" s="59"/>
      <c r="B35" s="59"/>
      <c r="C35" s="59"/>
      <c r="D35" s="59"/>
      <c r="E35" s="59"/>
      <c r="F35" s="59"/>
      <c r="G35" s="59"/>
      <c r="H35" s="59"/>
      <c r="I35" s="59"/>
      <c r="J35" s="59"/>
      <c r="K35" s="59"/>
    </row>
    <row r="36" spans="1:11">
      <c r="A36" s="59" t="s">
        <v>6264</v>
      </c>
      <c r="B36" s="59"/>
      <c r="C36" s="59"/>
      <c r="D36" s="59"/>
      <c r="E36" s="59"/>
      <c r="F36" s="59"/>
      <c r="G36" s="59"/>
      <c r="H36" s="59"/>
      <c r="I36" s="59"/>
      <c r="J36" s="59"/>
      <c r="K36" s="59"/>
    </row>
    <row r="37" spans="1:11">
      <c r="A37" s="330"/>
      <c r="B37" s="313"/>
      <c r="C37" s="313"/>
      <c r="D37" s="313"/>
      <c r="E37" s="313"/>
      <c r="F37" s="313"/>
      <c r="G37" s="313"/>
      <c r="H37" s="59"/>
      <c r="I37" s="59"/>
      <c r="J37" s="59"/>
      <c r="K37" s="59"/>
    </row>
    <row r="38" spans="1:11">
      <c r="A38" s="310" t="s">
        <v>2</v>
      </c>
      <c r="B38" s="310" t="s">
        <v>6215</v>
      </c>
      <c r="C38" s="310" t="s">
        <v>6218</v>
      </c>
      <c r="D38" s="310" t="s">
        <v>6220</v>
      </c>
      <c r="E38" s="310" t="s">
        <v>6221</v>
      </c>
      <c r="F38" s="310" t="s">
        <v>6230</v>
      </c>
      <c r="G38" s="310" t="s">
        <v>6231</v>
      </c>
      <c r="H38" s="59"/>
      <c r="I38" s="59"/>
      <c r="J38" s="59"/>
      <c r="K38" s="59"/>
    </row>
    <row r="39" spans="1:11">
      <c r="A39" s="309" t="s">
        <v>33</v>
      </c>
      <c r="B39" s="117" cm="1">
        <f t="array" ref="B39">SUMPRODUCT(('Medical Sales'!C3:C196="Orange")*(LEFT('Medical Sales'!D3:D196,4)="2023")*('Medical Sales'!G3:G196&lt;6000)*('Medical Sales'!G3:G196&gt;0)*('Medical Sales'!U3:U196&lt;&gt;"Yes"))</f>
        <v>1</v>
      </c>
      <c r="C39" s="118" cm="1">
        <f t="array" ref="C39">IFERROR(MEDIAN(IF(('Medical Sales'!C3:C196="Orange")*(LEFT('Medical Sales'!D3:D196,4)="2023")*('Medical Sales'!G3:G196&lt;6000)*('Medical Sales'!G3:G196&gt;0)*('Medical Sales'!U3:U196&lt;&gt;"Yes"),'Medical Sales'!E3:E196)),"-")</f>
        <v>3000000</v>
      </c>
      <c r="D39" s="119" cm="1">
        <f t="array" ref="D39">IFERROR(MEDIAN(IF(('Medical Sales'!C3:C196="Orange")*(LEFT('Medical Sales'!D3:D196,4)="2023")*('Medical Sales'!G3:G196&lt;6000)*('Medical Sales'!G3:G196&gt;0)*('Medical Sales'!U3:U196&lt;&gt;"Yes"),'Medical Sales'!F3:F196)),"-")</f>
        <v>713.43638525564802</v>
      </c>
      <c r="E39" s="117" cm="1">
        <f t="array" ref="E39">IF(B39=0,"-",SUMPRODUCT(('Medical Sales'!C3:C196="Orange")*(LEFT('Medical Sales'!D3:D196,4)="2023")*('Medical Sales'!G3:G196&lt;6000)*('Medical Sales'!G3:G196&gt;0)*('Medical Sales'!U3:U196&lt;&gt;"Yes")*('Medical Sales'!G3:G196))/B39)</f>
        <v>4205</v>
      </c>
      <c r="F39" s="118" cm="1">
        <f t="array" ref="F39">IFERROR(MIN(IF(('Medical Sales'!C3:C196="Orange")*(LEFT('Medical Sales'!D3:D196,4)="2023")*('Medical Sales'!G3:G196&lt;6000)*('Medical Sales'!G3:G196&gt;0)*('Medical Sales'!U3:U196&lt;&gt;"Yes"),'Medical Sales'!E3:E196)),"-")</f>
        <v>3000000</v>
      </c>
      <c r="G39" s="118" cm="1">
        <f t="array" ref="G39">IFERROR(MAX(IF(('Medical Sales'!C3:C196="Orange")*(LEFT('Medical Sales'!D3:D196,4)="2023")*('Medical Sales'!G3:G196&lt;6000)*('Medical Sales'!G3:G196&gt;0)*('Medical Sales'!U3:U196&lt;&gt;"Yes"),'Medical Sales'!E3:E196)),"-")</f>
        <v>3000000</v>
      </c>
      <c r="H39" s="59"/>
      <c r="I39" s="59"/>
      <c r="J39" s="59"/>
      <c r="K39" s="59"/>
    </row>
    <row r="40" spans="1:11">
      <c r="A40" s="309" t="s">
        <v>20</v>
      </c>
      <c r="B40" s="117" cm="1">
        <f t="array" ref="B40">SUMPRODUCT(('Medical Sales'!C3:C196="Seminole")*(LEFT('Medical Sales'!D3:D196,4)="2023")*('Medical Sales'!G3:G196&lt;6000)*('Medical Sales'!G3:G196&gt;0)*('Medical Sales'!U3:U196&lt;&gt;"Yes"))</f>
        <v>0</v>
      </c>
      <c r="C40" s="118" t="str" cm="1">
        <f t="array" ref="C40">IFERROR(MEDIAN(IF(('Medical Sales'!C3:C196="Seminole")*(LEFT('Medical Sales'!D3:D196,4)="2023")*('Medical Sales'!G3:G196&lt;6000)*('Medical Sales'!G3:G196&gt;0)*('Medical Sales'!U3:U196&lt;&gt;"Yes"),'Medical Sales'!E3:E196)),"-")</f>
        <v>-</v>
      </c>
      <c r="D40" s="119" t="str" cm="1">
        <f t="array" ref="D40">IFERROR(MEDIAN(IF(('Medical Sales'!C3:C196="Seminole")*(LEFT('Medical Sales'!D3:D196,4)="2023")*('Medical Sales'!G3:G196&lt;6000)*('Medical Sales'!G3:G196&gt;0)*('Medical Sales'!U3:U196&lt;&gt;"Yes"),'Medical Sales'!F3:F196)),"-")</f>
        <v>-</v>
      </c>
      <c r="E40" s="117" t="str" cm="1">
        <f t="array" ref="E40">IF(B40=0,"-",SUMPRODUCT(('Medical Sales'!C3:C196="Seminole")*(LEFT('Medical Sales'!D3:D196,4)="2023")*('Medical Sales'!G3:G196&lt;6000)*('Medical Sales'!G3:G196&gt;0)*('Medical Sales'!U3:U196&lt;&gt;"Yes")*('Medical Sales'!G3:G196))/B40)</f>
        <v>-</v>
      </c>
      <c r="F40" s="118" cm="1">
        <f t="array" ref="F40">IFERROR(MIN(IF(('Medical Sales'!C3:C196="Seminole")*(LEFT('Medical Sales'!D3:D196,4)="2023")*('Medical Sales'!G3:G196&lt;6000)*('Medical Sales'!G3:G196&gt;0)*('Medical Sales'!U3:U196&lt;&gt;"Yes"),'Medical Sales'!E3:E196)),"-")</f>
        <v>0</v>
      </c>
      <c r="G40" s="118" cm="1">
        <f t="array" ref="G40">IFERROR(MAX(IF(('Medical Sales'!C3:C196="Seminole")*(LEFT('Medical Sales'!D3:D196,4)="2023")*('Medical Sales'!G3:G196&lt;6000)*('Medical Sales'!G3:G196&gt;0)*('Medical Sales'!U3:U196&lt;&gt;"Yes"),'Medical Sales'!E3:E196)),"-")</f>
        <v>0</v>
      </c>
      <c r="H40" s="59"/>
      <c r="I40" s="59"/>
      <c r="J40" s="59"/>
      <c r="K40" s="59"/>
    </row>
    <row r="41" spans="1:11">
      <c r="A41" s="309" t="s">
        <v>678</v>
      </c>
      <c r="B41" s="117" cm="1">
        <f t="array" ref="B41">SUMPRODUCT(('Medical Sales'!C3:C196="Osceola")*(LEFT('Medical Sales'!D3:D196,4)="2023")*('Medical Sales'!G3:G196&lt;6000)*('Medical Sales'!G3:G196&gt;0)*('Medical Sales'!U3:U196&lt;&gt;"Yes"))</f>
        <v>0</v>
      </c>
      <c r="C41" s="118" t="str" cm="1">
        <f t="array" ref="C41">IFERROR(MEDIAN(IF(('Medical Sales'!C3:C196="Osceola")*(LEFT('Medical Sales'!D3:D196,4)="2023")*('Medical Sales'!G3:G196&lt;6000)*('Medical Sales'!G3:G196&gt;0)*('Medical Sales'!U3:U196&lt;&gt;"Yes"),'Medical Sales'!E3:E196)),"-")</f>
        <v>-</v>
      </c>
      <c r="D41" s="119" t="str" cm="1">
        <f t="array" ref="D41">IFERROR(MEDIAN(IF(('Medical Sales'!C3:C196="Osceola")*(LEFT('Medical Sales'!D3:D196,4)="2023")*('Medical Sales'!G3:G196&lt;6000)*('Medical Sales'!G3:G196&gt;0)*('Medical Sales'!U3:U196&lt;&gt;"Yes"),'Medical Sales'!F3:F196)),"-")</f>
        <v>-</v>
      </c>
      <c r="E41" s="117" t="str" cm="1">
        <f t="array" ref="E41">IF(B41=0,"-",SUMPRODUCT(('Medical Sales'!C3:C196="Osceola")*(LEFT('Medical Sales'!D3:D196,4)="2023")*('Medical Sales'!G3:G196&lt;6000)*('Medical Sales'!G3:G196&gt;0)*('Medical Sales'!U3:U196&lt;&gt;"Yes")*('Medical Sales'!G3:G196))/B41)</f>
        <v>-</v>
      </c>
      <c r="F41" s="118" cm="1">
        <f t="array" ref="F41">IFERROR(MIN(IF(('Medical Sales'!C3:C196="Osceola")*(LEFT('Medical Sales'!D3:D196,4)="2023")*('Medical Sales'!G3:G196&lt;6000)*('Medical Sales'!G3:G196&gt;0)*('Medical Sales'!U3:U196&lt;&gt;"Yes"),'Medical Sales'!E3:E196)),"-")</f>
        <v>0</v>
      </c>
      <c r="G41" s="118" cm="1">
        <f t="array" ref="G41">IFERROR(MAX(IF(('Medical Sales'!C3:C196="Osceola")*(LEFT('Medical Sales'!D3:D196,4)="2023")*('Medical Sales'!G3:G196&lt;6000)*('Medical Sales'!G3:G196&gt;0)*('Medical Sales'!U3:U196&lt;&gt;"Yes"),'Medical Sales'!E3:E196)),"-")</f>
        <v>0</v>
      </c>
      <c r="H41" s="59"/>
      <c r="I41" s="59"/>
      <c r="J41" s="59"/>
      <c r="K41" s="59"/>
    </row>
    <row r="42" spans="1:11">
      <c r="A42" s="57" t="s">
        <v>184</v>
      </c>
      <c r="B42" s="62" cm="1">
        <f t="array" ref="B42">SUMPRODUCT(('Medical Sales'!C3:C196="Lake")*(LEFT('Medical Sales'!D3:D196,4)="2023")*('Medical Sales'!G3:G196&lt;6000)*('Medical Sales'!G3:G196&gt;0)*('Medical Sales'!U3:U196&lt;&gt;"Yes"))</f>
        <v>0</v>
      </c>
      <c r="C42" s="63" t="str" cm="1">
        <f t="array" ref="C42">IFERROR(MEDIAN(IF(('Medical Sales'!C3:C196="Lake")*(LEFT('Medical Sales'!D3:D196,4)="2023")*('Medical Sales'!G3:G196&lt;6000)*('Medical Sales'!G3:G196&gt;0)*('Medical Sales'!U3:U196&lt;&gt;"Yes"),'Medical Sales'!E3:E196)),"-")</f>
        <v>-</v>
      </c>
      <c r="D42" s="61" t="str" cm="1">
        <f t="array" ref="D42">IFERROR(MEDIAN(IF(('Medical Sales'!C3:C196="Lake")*(LEFT('Medical Sales'!D3:D196,4)="2023")*('Medical Sales'!G3:G196&lt;6000)*('Medical Sales'!G3:G196&gt;0)*('Medical Sales'!U3:U196&lt;&gt;"Yes"),'Medical Sales'!F3:F196)),"-")</f>
        <v>-</v>
      </c>
      <c r="E42" s="62" t="str" cm="1">
        <f t="array" ref="E42">IF(B42=0,"-",SUMPRODUCT(('Medical Sales'!C3:C196="Lake")*(LEFT('Medical Sales'!D3:D196,4)="2023")*('Medical Sales'!G3:G196&lt;6000)*('Medical Sales'!G3:G196&gt;0)*('Medical Sales'!U3:U196&lt;&gt;"Yes")*('Medical Sales'!G3:G196))/B42)</f>
        <v>-</v>
      </c>
      <c r="F42" s="63" cm="1">
        <f t="array" ref="F42">IFERROR(MIN(IF(('Medical Sales'!C3:C196="Lake")*(LEFT('Medical Sales'!D3:D196,4)="2023")*('Medical Sales'!G3:G196&lt;6000)*('Medical Sales'!G3:G196&gt;0)*('Medical Sales'!U3:U196&lt;&gt;"Yes"),'Medical Sales'!E3:E196)),"-")</f>
        <v>0</v>
      </c>
      <c r="G42" s="63" cm="1">
        <f t="array" ref="G42">IFERROR(MAX(IF(('Medical Sales'!C3:C196="Lake")*(LEFT('Medical Sales'!D3:D196,4)="2023")*('Medical Sales'!G3:G196&lt;6000)*('Medical Sales'!G3:G196&gt;0)*('Medical Sales'!U3:U196&lt;&gt;"Yes"),'Medical Sales'!E3:E196)),"-")</f>
        <v>0</v>
      </c>
      <c r="H42" s="59"/>
      <c r="I42" s="59"/>
      <c r="J42" s="59"/>
      <c r="K42" s="59"/>
    </row>
    <row r="43" spans="1:11" ht="19">
      <c r="A43" s="181" t="s">
        <v>6406</v>
      </c>
      <c r="B43" s="181"/>
      <c r="C43" s="181"/>
      <c r="D43" s="181"/>
      <c r="E43" s="181"/>
      <c r="F43" s="181"/>
      <c r="G43" s="181"/>
      <c r="H43" s="181"/>
      <c r="I43" s="181"/>
      <c r="J43" s="181"/>
      <c r="K43" s="181"/>
    </row>
    <row r="44" spans="1:11">
      <c r="A44" s="183" t="s">
        <v>6408</v>
      </c>
      <c r="B44" s="59"/>
      <c r="C44" s="59"/>
      <c r="D44" s="318" t="s">
        <v>6407</v>
      </c>
      <c r="E44" s="184"/>
      <c r="F44" s="184"/>
      <c r="G44" s="184"/>
      <c r="H44" s="184"/>
      <c r="I44" s="184"/>
      <c r="J44" s="184"/>
      <c r="K44" s="321"/>
    </row>
    <row r="45" spans="1:11">
      <c r="A45" s="57" t="s">
        <v>6454</v>
      </c>
      <c r="B45" s="62" cm="1">
        <f t="array" ref="B45">SUMPRODUCT((LEFT('Medical Sales'!D3:D196,4)="2023")*('Medical Sales'!G3:G196&gt;=6000)*('Medical Sales'!G3:G196&lt;10000)*('Medical Sales'!U3:U196&lt;&gt;"Yes"))</f>
        <v>0</v>
      </c>
      <c r="C45" s="59"/>
      <c r="D45" s="319" t="s">
        <v>6404</v>
      </c>
      <c r="E45" s="298"/>
      <c r="F45" s="298"/>
      <c r="G45" s="298"/>
      <c r="H45" s="298"/>
      <c r="I45" s="298"/>
      <c r="J45" s="298"/>
      <c r="K45" s="322"/>
    </row>
    <row r="46" spans="1:11">
      <c r="A46" s="57" t="s">
        <v>6216</v>
      </c>
      <c r="B46" s="63" cm="1">
        <f t="array" ref="B46">SUMPRODUCT((LEFT('Medical Sales'!D3:D196,4)="2023")*('Medical Sales'!G3:G196&gt;=6000)*('Medical Sales'!G3:G196&lt;10000)*('Medical Sales'!U3:U196&lt;&gt;"Yes")*('Medical Sales'!E3:E196))</f>
        <v>0</v>
      </c>
      <c r="C46" s="59"/>
      <c r="D46" s="320"/>
      <c r="E46" s="298"/>
      <c r="F46" s="298"/>
      <c r="G46" s="298"/>
      <c r="H46" s="298"/>
      <c r="I46" s="298"/>
      <c r="J46" s="298"/>
      <c r="K46" s="322"/>
    </row>
    <row r="47" spans="1:11">
      <c r="A47" s="57" t="s">
        <v>6218</v>
      </c>
      <c r="B47" s="63" t="str" cm="1">
        <f t="array" ref="B47">IFERROR(MEDIAN(IF((LEFT('Medical Sales'!D3:D196,4)="2023")*('Medical Sales'!G3:G196&gt;=6000)*('Medical Sales'!G3:G196&lt;10000)*('Medical Sales'!U3:U196&lt;&gt;"Yes"),'Medical Sales'!E3:E196)),"-")</f>
        <v>-</v>
      </c>
      <c r="C47" s="59"/>
      <c r="D47" s="320"/>
      <c r="E47" s="298"/>
      <c r="F47" s="298"/>
      <c r="G47" s="298"/>
      <c r="H47" s="298"/>
      <c r="I47" s="298"/>
      <c r="J47" s="298"/>
      <c r="K47" s="322"/>
    </row>
    <row r="48" spans="1:11">
      <c r="A48" s="57" t="s">
        <v>6259</v>
      </c>
      <c r="B48" s="63" t="str">
        <f>IF(B45=0,"-",B46/B45)</f>
        <v>-</v>
      </c>
      <c r="C48" s="59"/>
      <c r="D48" s="320"/>
      <c r="E48" s="298"/>
      <c r="F48" s="298"/>
      <c r="G48" s="298"/>
      <c r="H48" s="298"/>
      <c r="I48" s="298"/>
      <c r="J48" s="298"/>
      <c r="K48" s="322"/>
    </row>
    <row r="49" spans="1:11">
      <c r="A49" s="57" t="s">
        <v>6220</v>
      </c>
      <c r="B49" s="61" t="str" cm="1">
        <f t="array" ref="B49">IFERROR(MEDIAN(IF((LEFT('Medical Sales'!D3:D196,4)="2023")*('Medical Sales'!G3:G196&gt;=6000)*('Medical Sales'!G3:G196&lt;10000)*('Medical Sales'!U3:U196&lt;&gt;"Yes"),'Medical Sales'!F3:F196)),"-")</f>
        <v>-</v>
      </c>
      <c r="C49" s="59"/>
      <c r="D49" s="320"/>
      <c r="E49" s="298"/>
      <c r="F49" s="298"/>
      <c r="G49" s="298"/>
      <c r="H49" s="298"/>
      <c r="I49" s="298"/>
      <c r="J49" s="298"/>
      <c r="K49" s="322"/>
    </row>
    <row r="50" spans="1:11">
      <c r="A50" s="57" t="s">
        <v>6260</v>
      </c>
      <c r="B50" s="61" t="str" cm="1">
        <f t="array" ref="B50">IF(B45=0,"-",SUMPRODUCT((LEFT('Medical Sales'!D3:D196,4)="2023")*('Medical Sales'!G3:G196&gt;=6000)*('Medical Sales'!G3:G196&lt;10000)*('Medical Sales'!U3:U196&lt;&gt;"Yes")*('Medical Sales'!F3:F196))/B45)</f>
        <v>-</v>
      </c>
      <c r="C50" s="59"/>
      <c r="D50" s="320"/>
      <c r="E50" s="298"/>
      <c r="F50" s="298"/>
      <c r="G50" s="298"/>
      <c r="H50" s="298"/>
      <c r="I50" s="298"/>
      <c r="J50" s="298"/>
      <c r="K50" s="322"/>
    </row>
    <row r="51" spans="1:11">
      <c r="A51" s="57" t="s">
        <v>6261</v>
      </c>
      <c r="B51" s="62" t="str" cm="1">
        <f t="array" ref="B51">IF(B45=0,"-",SUMPRODUCT((LEFT('Medical Sales'!D3:D196,4)="2023")*('Medical Sales'!G3:G196&gt;=6000)*('Medical Sales'!G3:G196&lt;10000)*('Medical Sales'!U3:U196&lt;&gt;"Yes")*('Medical Sales'!G3:G196))/B45)</f>
        <v>-</v>
      </c>
      <c r="C51" s="59"/>
      <c r="D51" s="320"/>
      <c r="E51" s="298"/>
      <c r="F51" s="298"/>
      <c r="G51" s="298"/>
      <c r="H51" s="298"/>
      <c r="I51" s="298"/>
      <c r="J51" s="298"/>
      <c r="K51" s="322"/>
    </row>
    <row r="52" spans="1:11">
      <c r="A52" s="57" t="s">
        <v>6262</v>
      </c>
      <c r="B52" s="63" cm="1">
        <f t="array" ref="B52">IFERROR(MIN(IF((LEFT('Medical Sales'!D3:D196,4)="2023")*('Medical Sales'!G3:G196&gt;=6000)*('Medical Sales'!G3:G196&lt;10000)*('Medical Sales'!U3:U196&lt;&gt;"Yes"),'Medical Sales'!E3:E196)),"-")</f>
        <v>0</v>
      </c>
      <c r="C52" s="59"/>
      <c r="D52" s="320"/>
      <c r="E52" s="298"/>
      <c r="F52" s="298"/>
      <c r="G52" s="298"/>
      <c r="H52" s="298"/>
      <c r="I52" s="298"/>
      <c r="J52" s="298"/>
      <c r="K52" s="322"/>
    </row>
    <row r="53" spans="1:11" ht="17" thickBot="1">
      <c r="A53" s="57" t="s">
        <v>6263</v>
      </c>
      <c r="B53" s="63" cm="1">
        <f t="array" ref="B53">IFERROR(MAX(IF((LEFT('Medical Sales'!D3:D196,4)="2023")*('Medical Sales'!G3:G196&gt;=6000)*('Medical Sales'!G3:G196&lt;10000)*('Medical Sales'!U3:U196&lt;&gt;"Yes"),'Medical Sales'!E3:E196)),"-")</f>
        <v>0</v>
      </c>
      <c r="C53" s="59"/>
      <c r="D53" s="323"/>
      <c r="E53" s="324"/>
      <c r="F53" s="324"/>
      <c r="G53" s="324"/>
      <c r="H53" s="324"/>
      <c r="I53" s="324"/>
      <c r="J53" s="324"/>
      <c r="K53" s="325"/>
    </row>
    <row r="54" spans="1:11">
      <c r="A54" s="59"/>
      <c r="B54" s="59"/>
      <c r="C54" s="59"/>
      <c r="D54" s="59"/>
      <c r="E54" s="59"/>
      <c r="F54" s="59"/>
      <c r="G54" s="59"/>
      <c r="H54" s="59"/>
      <c r="I54" s="59"/>
      <c r="J54" s="59"/>
      <c r="K54" s="59"/>
    </row>
    <row r="55" spans="1:11">
      <c r="A55" s="59" t="s">
        <v>6410</v>
      </c>
      <c r="B55" s="59"/>
      <c r="C55" s="59"/>
      <c r="D55" s="59"/>
      <c r="E55" s="59"/>
      <c r="F55" s="59"/>
      <c r="G55" s="59"/>
      <c r="H55" s="59"/>
      <c r="I55" s="59"/>
      <c r="J55" s="59"/>
      <c r="K55" s="59"/>
    </row>
    <row r="56" spans="1:11">
      <c r="A56" s="332"/>
      <c r="B56" s="313"/>
      <c r="C56" s="313"/>
      <c r="D56" s="313"/>
      <c r="E56" s="313"/>
      <c r="F56" s="313"/>
      <c r="G56" s="313"/>
      <c r="H56" s="59"/>
      <c r="I56" s="59"/>
      <c r="J56" s="59"/>
      <c r="K56" s="59"/>
    </row>
    <row r="57" spans="1:11">
      <c r="A57" s="311" t="s">
        <v>2</v>
      </c>
      <c r="B57" s="311" t="s">
        <v>6215</v>
      </c>
      <c r="C57" s="311" t="s">
        <v>6218</v>
      </c>
      <c r="D57" s="311" t="s">
        <v>6220</v>
      </c>
      <c r="E57" s="311" t="s">
        <v>6221</v>
      </c>
      <c r="F57" s="311" t="s">
        <v>6230</v>
      </c>
      <c r="G57" s="311" t="s">
        <v>6231</v>
      </c>
      <c r="H57" s="59"/>
      <c r="I57" s="59"/>
      <c r="J57" s="59"/>
      <c r="K57" s="59"/>
    </row>
    <row r="58" spans="1:11">
      <c r="A58" s="309" t="s">
        <v>33</v>
      </c>
      <c r="B58" s="117" cm="1">
        <f t="array" ref="B58">SUMPRODUCT(('Medical Sales'!C3:C196="Orange")*(LEFT('Medical Sales'!D3:D196,4)="2023")*('Medical Sales'!G3:G196&gt;=6000)*('Medical Sales'!G3:G196&lt;10000)*('Medical Sales'!U3:U196&lt;&gt;"Yes"))</f>
        <v>0</v>
      </c>
      <c r="C58" s="118" t="str" cm="1">
        <f t="array" ref="C58">IFERROR(MEDIAN(IF(('Medical Sales'!C3:C196="Orange")*(LEFT('Medical Sales'!D3:D196,4)="2023")*('Medical Sales'!G3:G196&gt;=6000)*('Medical Sales'!G3:G196&lt;10000)*('Medical Sales'!U3:U196&lt;&gt;"Yes"),'Medical Sales'!E3:E196)),"-")</f>
        <v>-</v>
      </c>
      <c r="D58" s="119" t="str" cm="1">
        <f t="array" ref="D58">IFERROR(MEDIAN(IF(('Medical Sales'!C3:C196="Orange")*(LEFT('Medical Sales'!D3:D196,4)="2023")*('Medical Sales'!G3:G196&gt;=6000)*('Medical Sales'!G3:G196&lt;10000)*('Medical Sales'!U3:U196&lt;&gt;"Yes"),'Medical Sales'!F3:F196)),"-")</f>
        <v>-</v>
      </c>
      <c r="E58" s="117" t="str" cm="1">
        <f t="array" ref="E58">IF(B58=0,"-",SUMPRODUCT(('Medical Sales'!C3:C196="Orange")*(LEFT('Medical Sales'!D3:D196,4)="2023")*('Medical Sales'!G3:G196&gt;=6000)*('Medical Sales'!G3:G196&lt;10000)*('Medical Sales'!U3:U196&lt;&gt;"Yes")*('Medical Sales'!G3:G196))/B58)</f>
        <v>-</v>
      </c>
      <c r="F58" s="118" cm="1">
        <f t="array" ref="F58">IFERROR(MIN(IF(('Medical Sales'!C3:C196="Orange")*(LEFT('Medical Sales'!D3:D196,4)="2023")*('Medical Sales'!G3:G196&gt;=6000)*('Medical Sales'!G3:G196&lt;10000)*('Medical Sales'!U3:U196&lt;&gt;"Yes"),'Medical Sales'!E3:E196)),"-")</f>
        <v>0</v>
      </c>
      <c r="G58" s="118" cm="1">
        <f t="array" ref="G58">IFERROR(MAX(IF(('Medical Sales'!C3:C196="Orange")*(LEFT('Medical Sales'!D3:D196,4)="2023")*('Medical Sales'!G3:G196&gt;=6000)*('Medical Sales'!G3:G196&lt;10000)*('Medical Sales'!U3:U196&lt;&gt;"Yes"),'Medical Sales'!E3:E196)),"-")</f>
        <v>0</v>
      </c>
      <c r="H58" s="59"/>
      <c r="I58" s="59"/>
      <c r="J58" s="59"/>
      <c r="K58" s="59"/>
    </row>
    <row r="59" spans="1:11">
      <c r="A59" s="309" t="s">
        <v>20</v>
      </c>
      <c r="B59" s="117" cm="1">
        <f t="array" ref="B59">SUMPRODUCT(('Medical Sales'!C3:C196="Seminole")*(LEFT('Medical Sales'!D3:D196,4)="2023")*('Medical Sales'!G3:G196&gt;=6000)*('Medical Sales'!G3:G196&lt;10000)*('Medical Sales'!U3:U196&lt;&gt;"Yes"))</f>
        <v>0</v>
      </c>
      <c r="C59" s="118" t="str" cm="1">
        <f t="array" ref="C59">IFERROR(MEDIAN(IF(('Medical Sales'!C3:C196="Seminole")*(LEFT('Medical Sales'!D3:D196,4)="2023")*('Medical Sales'!G3:G196&gt;=6000)*('Medical Sales'!G3:G196&lt;10000)*('Medical Sales'!U3:U196&lt;&gt;"Yes"),'Medical Sales'!E3:E196)),"-")</f>
        <v>-</v>
      </c>
      <c r="D59" s="119" t="str" cm="1">
        <f t="array" ref="D59">IFERROR(MEDIAN(IF(('Medical Sales'!C3:C196="Seminole")*(LEFT('Medical Sales'!D3:D196,4)="2023")*('Medical Sales'!G3:G196&gt;=6000)*('Medical Sales'!G3:G196&lt;10000)*('Medical Sales'!U3:U196&lt;&gt;"Yes"),'Medical Sales'!F3:F196)),"-")</f>
        <v>-</v>
      </c>
      <c r="E59" s="117" t="str" cm="1">
        <f t="array" ref="E59">IF(B59=0,"-",SUMPRODUCT(('Medical Sales'!C3:C196="Seminole")*(LEFT('Medical Sales'!D3:D196,4)="2023")*('Medical Sales'!G3:G196&gt;=6000)*('Medical Sales'!G3:G196&lt;10000)*('Medical Sales'!U3:U196&lt;&gt;"Yes")*('Medical Sales'!G3:G196))/B59)</f>
        <v>-</v>
      </c>
      <c r="F59" s="118" cm="1">
        <f t="array" ref="F59">IFERROR(MIN(IF(('Medical Sales'!C3:C196="Seminole")*(LEFT('Medical Sales'!D3:D196,4)="2023")*('Medical Sales'!G3:G196&gt;=6000)*('Medical Sales'!G3:G196&lt;10000)*('Medical Sales'!U3:U196&lt;&gt;"Yes"),'Medical Sales'!E3:E196)),"-")</f>
        <v>0</v>
      </c>
      <c r="G59" s="118" cm="1">
        <f t="array" ref="G59">IFERROR(MAX(IF(('Medical Sales'!C3:C196="Seminole")*(LEFT('Medical Sales'!D3:D196,4)="2023")*('Medical Sales'!G3:G196&gt;=6000)*('Medical Sales'!G3:G196&lt;10000)*('Medical Sales'!U3:U196&lt;&gt;"Yes"),'Medical Sales'!E3:E196)),"-")</f>
        <v>0</v>
      </c>
      <c r="H59" s="59"/>
      <c r="I59" s="59"/>
      <c r="J59" s="59"/>
      <c r="K59" s="59"/>
    </row>
    <row r="60" spans="1:11">
      <c r="A60" s="309" t="s">
        <v>678</v>
      </c>
      <c r="B60" s="117" cm="1">
        <f t="array" ref="B60">SUMPRODUCT(('Medical Sales'!C3:C196="Osceola")*(LEFT('Medical Sales'!D3:D196,4)="2023")*('Medical Sales'!G3:G196&gt;=6000)*('Medical Sales'!G3:G196&lt;10000)*('Medical Sales'!U3:U196&lt;&gt;"Yes"))</f>
        <v>0</v>
      </c>
      <c r="C60" s="118" t="str" cm="1">
        <f t="array" ref="C60">IFERROR(MEDIAN(IF(('Medical Sales'!C3:C196="Osceola")*(LEFT('Medical Sales'!D3:D196,4)="2023")*('Medical Sales'!G3:G196&gt;=6000)*('Medical Sales'!G3:G196&lt;10000)*('Medical Sales'!U3:U196&lt;&gt;"Yes"),'Medical Sales'!E3:E196)),"-")</f>
        <v>-</v>
      </c>
      <c r="D60" s="119" t="str" cm="1">
        <f t="array" ref="D60">IFERROR(MEDIAN(IF(('Medical Sales'!C3:C196="Osceola")*(LEFT('Medical Sales'!D3:D196,4)="2023")*('Medical Sales'!G3:G196&gt;=6000)*('Medical Sales'!G3:G196&lt;10000)*('Medical Sales'!U3:U196&lt;&gt;"Yes"),'Medical Sales'!F3:F196)),"-")</f>
        <v>-</v>
      </c>
      <c r="E60" s="117" t="str" cm="1">
        <f t="array" ref="E60">IF(B60=0,"-",SUMPRODUCT(('Medical Sales'!C3:C196="Osceola")*(LEFT('Medical Sales'!D3:D196,4)="2023")*('Medical Sales'!G3:G196&gt;=6000)*('Medical Sales'!G3:G196&lt;10000)*('Medical Sales'!U3:U196&lt;&gt;"Yes")*('Medical Sales'!G3:G196))/B60)</f>
        <v>-</v>
      </c>
      <c r="F60" s="118" cm="1">
        <f t="array" ref="F60">IFERROR(MIN(IF(('Medical Sales'!C3:C196="Osceola")*(LEFT('Medical Sales'!D3:D196,4)="2023")*('Medical Sales'!G3:G196&gt;=6000)*('Medical Sales'!G3:G196&lt;10000)*('Medical Sales'!U3:U196&lt;&gt;"Yes"),'Medical Sales'!E3:E196)),"-")</f>
        <v>0</v>
      </c>
      <c r="G60" s="118" cm="1">
        <f t="array" ref="G60">IFERROR(MAX(IF(('Medical Sales'!C3:C196="Osceola")*(LEFT('Medical Sales'!D3:D196,4)="2023")*('Medical Sales'!G3:G196&gt;=6000)*('Medical Sales'!G3:G196&lt;10000)*('Medical Sales'!U3:U196&lt;&gt;"Yes"),'Medical Sales'!E3:E196)),"-")</f>
        <v>0</v>
      </c>
      <c r="H60" s="59"/>
      <c r="I60" s="59"/>
      <c r="J60" s="59"/>
      <c r="K60" s="59"/>
    </row>
    <row r="61" spans="1:11">
      <c r="A61" s="57" t="s">
        <v>184</v>
      </c>
      <c r="B61" s="62" cm="1">
        <f t="array" ref="B61">SUMPRODUCT(('Medical Sales'!C3:C196="Lake")*(LEFT('Medical Sales'!D3:D196,4)="2023")*('Medical Sales'!G3:G196&gt;=6000)*('Medical Sales'!G3:G196&lt;10000)*('Medical Sales'!U3:U196&lt;&gt;"Yes"))</f>
        <v>0</v>
      </c>
      <c r="C61" s="63" t="str" cm="1">
        <f t="array" ref="C61">IFERROR(MEDIAN(IF(('Medical Sales'!C3:C196="Lake")*(LEFT('Medical Sales'!D3:D196,4)="2023")*('Medical Sales'!G3:G196&gt;=6000)*('Medical Sales'!G3:G196&lt;10000)*('Medical Sales'!U3:U196&lt;&gt;"Yes"),'Medical Sales'!E3:E196)),"-")</f>
        <v>-</v>
      </c>
      <c r="D61" s="61" t="str" cm="1">
        <f t="array" ref="D61">IFERROR(MEDIAN(IF(('Medical Sales'!C3:C196="Lake")*(LEFT('Medical Sales'!D3:D196,4)="2023")*('Medical Sales'!G3:G196&gt;=6000)*('Medical Sales'!G3:G196&lt;10000)*('Medical Sales'!U3:U196&lt;&gt;"Yes"),'Medical Sales'!F3:F196)),"-")</f>
        <v>-</v>
      </c>
      <c r="E61" s="62" t="str" cm="1">
        <f t="array" ref="E61">IF(B61=0,"-",SUMPRODUCT(('Medical Sales'!C3:C196="Lake")*(LEFT('Medical Sales'!D3:D196,4)="2023")*('Medical Sales'!G3:G196&gt;=6000)*('Medical Sales'!G3:G196&lt;10000)*('Medical Sales'!U3:U196&lt;&gt;"Yes")*('Medical Sales'!G3:G196))/B61)</f>
        <v>-</v>
      </c>
      <c r="F61" s="63" cm="1">
        <f t="array" ref="F61">IFERROR(MIN(IF(('Medical Sales'!C3:C196="Lake")*(LEFT('Medical Sales'!D3:D196,4)="2023")*('Medical Sales'!G3:G196&gt;=6000)*('Medical Sales'!G3:G196&lt;10000)*('Medical Sales'!U3:U196&lt;&gt;"Yes"),'Medical Sales'!E3:E196)),"-")</f>
        <v>0</v>
      </c>
      <c r="G61" s="63" cm="1">
        <f t="array" ref="G61">IFERROR(MAX(IF(('Medical Sales'!C3:C196="Lake")*(LEFT('Medical Sales'!D3:D196,4)="2023")*('Medical Sales'!G3:G196&gt;=6000)*('Medical Sales'!G3:G196&lt;10000)*('Medical Sales'!U3:U196&lt;&gt;"Yes"),'Medical Sales'!E3:E196)),"-")</f>
        <v>0</v>
      </c>
      <c r="H61" s="59"/>
      <c r="I61" s="59"/>
      <c r="J61" s="59"/>
      <c r="K61" s="59"/>
    </row>
    <row r="62" spans="1:11" ht="19">
      <c r="A62" s="87" t="s">
        <v>6265</v>
      </c>
      <c r="B62" s="87"/>
      <c r="C62" s="87"/>
      <c r="D62" s="87"/>
      <c r="E62" s="87"/>
      <c r="F62" s="87"/>
      <c r="G62" s="87"/>
      <c r="H62" s="87"/>
      <c r="I62" s="87"/>
      <c r="J62" s="87"/>
      <c r="K62" s="87"/>
    </row>
    <row r="63" spans="1:11">
      <c r="A63" s="89" t="s">
        <v>6266</v>
      </c>
      <c r="B63" s="59"/>
      <c r="C63" s="59"/>
      <c r="D63" s="326" t="s">
        <v>6288</v>
      </c>
      <c r="E63" s="109"/>
      <c r="F63" s="109"/>
      <c r="G63" s="109"/>
      <c r="H63" s="109"/>
      <c r="I63" s="109"/>
      <c r="J63" s="109"/>
      <c r="K63" s="328"/>
    </row>
    <row r="64" spans="1:11">
      <c r="A64" s="57" t="s">
        <v>6454</v>
      </c>
      <c r="B64" s="62" cm="1">
        <f t="array" ref="B64">SUMPRODUCT((LEFT('Medical Sales'!D3:D196,4)="2023")*('Medical Sales'!G3:G196&gt;=10000)*('Medical Sales'!U3:U196&lt;&gt;"Yes"))</f>
        <v>1</v>
      </c>
      <c r="C64" s="59"/>
      <c r="D64" s="327" t="s">
        <v>6404</v>
      </c>
      <c r="E64" s="111"/>
      <c r="F64" s="111"/>
      <c r="G64" s="111"/>
      <c r="H64" s="111"/>
      <c r="I64" s="111"/>
      <c r="J64" s="111"/>
      <c r="K64" s="178"/>
    </row>
    <row r="65" spans="1:11">
      <c r="A65" s="57" t="s">
        <v>6216</v>
      </c>
      <c r="B65" s="63" cm="1">
        <f t="array" ref="B65">SUMPRODUCT((LEFT('Medical Sales'!D3:D196,4)="2023")*('Medical Sales'!G3:G196&gt;=10000)*('Medical Sales'!U3:U196&lt;&gt;"Yes")*('Medical Sales'!E3:E196))</f>
        <v>3889000</v>
      </c>
      <c r="C65" s="59"/>
      <c r="D65" s="175"/>
      <c r="E65" s="111"/>
      <c r="F65" s="111"/>
      <c r="G65" s="111"/>
      <c r="H65" s="111"/>
      <c r="I65" s="111"/>
      <c r="J65" s="111"/>
      <c r="K65" s="178"/>
    </row>
    <row r="66" spans="1:11">
      <c r="A66" s="57" t="s">
        <v>6218</v>
      </c>
      <c r="B66" s="63" cm="1">
        <f t="array" ref="B66">IFERROR(MEDIAN(IF((LEFT('Medical Sales'!D3:D196,4)="2023")*('Medical Sales'!G3:G196&gt;=10000)*('Medical Sales'!U3:U196&lt;&gt;"Yes"),'Medical Sales'!E3:E196)),"-")</f>
        <v>3889000</v>
      </c>
      <c r="C66" s="59"/>
      <c r="D66" s="175"/>
      <c r="E66" s="111"/>
      <c r="F66" s="111"/>
      <c r="G66" s="111"/>
      <c r="H66" s="111"/>
      <c r="I66" s="111"/>
      <c r="J66" s="111"/>
      <c r="K66" s="178"/>
    </row>
    <row r="67" spans="1:11">
      <c r="A67" s="57" t="s">
        <v>6259</v>
      </c>
      <c r="B67" s="63">
        <f>IF(B64=0,"-",B65/B64)</f>
        <v>3889000</v>
      </c>
      <c r="C67" s="59"/>
      <c r="D67" s="175"/>
      <c r="E67" s="111"/>
      <c r="F67" s="111"/>
      <c r="G67" s="111"/>
      <c r="H67" s="111"/>
      <c r="I67" s="111"/>
      <c r="J67" s="111"/>
      <c r="K67" s="178"/>
    </row>
    <row r="68" spans="1:11">
      <c r="A68" s="57" t="s">
        <v>6220</v>
      </c>
      <c r="B68" s="61" cm="1">
        <f t="array" ref="B68">IFERROR(MEDIAN(IF((LEFT('Medical Sales'!D3:D196,4)="2023")*('Medical Sales'!G3:G196&gt;=10000)*('Medical Sales'!U3:U196&lt;&gt;"Yes"),'Medical Sales'!F3:F196)),"-")</f>
        <v>136.42741878902686</v>
      </c>
      <c r="C68" s="59"/>
      <c r="D68" s="175"/>
      <c r="E68" s="111"/>
      <c r="F68" s="111"/>
      <c r="G68" s="111"/>
      <c r="H68" s="111"/>
      <c r="I68" s="111"/>
      <c r="J68" s="111"/>
      <c r="K68" s="178"/>
    </row>
    <row r="69" spans="1:11">
      <c r="A69" s="57" t="s">
        <v>6260</v>
      </c>
      <c r="B69" s="61" cm="1">
        <f t="array" ref="B69">IF(B64=0,"-",SUMPRODUCT((LEFT('Medical Sales'!D3:D196,4)="2023")*('Medical Sales'!G3:G196&gt;=10000)*('Medical Sales'!U3:U196&lt;&gt;"Yes")*('Medical Sales'!F3:F196))/B64)</f>
        <v>136.42741878902686</v>
      </c>
      <c r="C69" s="59"/>
      <c r="D69" s="175"/>
      <c r="E69" s="111"/>
      <c r="F69" s="111"/>
      <c r="G69" s="111"/>
      <c r="H69" s="111"/>
      <c r="I69" s="111"/>
      <c r="J69" s="111"/>
      <c r="K69" s="178"/>
    </row>
    <row r="70" spans="1:11">
      <c r="A70" s="57" t="s">
        <v>6261</v>
      </c>
      <c r="B70" s="62" cm="1">
        <f t="array" ref="B70">IF(B64=0,"-",SUMPRODUCT((LEFT('Medical Sales'!D3:D196,4)="2023")*('Medical Sales'!G3:G196&gt;=10000)*('Medical Sales'!U3:U196&lt;&gt;"Yes")*('Medical Sales'!G3:G196))/B64)</f>
        <v>28506</v>
      </c>
      <c r="C70" s="59"/>
      <c r="D70" s="175"/>
      <c r="E70" s="111"/>
      <c r="F70" s="111"/>
      <c r="G70" s="111"/>
      <c r="H70" s="111"/>
      <c r="I70" s="111"/>
      <c r="J70" s="111"/>
      <c r="K70" s="178"/>
    </row>
    <row r="71" spans="1:11">
      <c r="A71" s="57" t="s">
        <v>6262</v>
      </c>
      <c r="B71" s="63" cm="1">
        <f t="array" ref="B71">IFERROR(MIN(IF((LEFT('Medical Sales'!D3:D196,4)="2023")*('Medical Sales'!G3:G196&gt;=10000)*('Medical Sales'!U3:U196&lt;&gt;"Yes"),'Medical Sales'!E3:E196)),"-")</f>
        <v>3889000</v>
      </c>
      <c r="C71" s="59"/>
      <c r="D71" s="175"/>
      <c r="E71" s="111"/>
      <c r="F71" s="111"/>
      <c r="G71" s="111"/>
      <c r="H71" s="111"/>
      <c r="I71" s="111"/>
      <c r="J71" s="111"/>
      <c r="K71" s="178"/>
    </row>
    <row r="72" spans="1:11" ht="17" thickBot="1">
      <c r="A72" s="57" t="s">
        <v>6263</v>
      </c>
      <c r="B72" s="63" cm="1">
        <f t="array" ref="B72">IFERROR(MAX(IF((LEFT('Medical Sales'!D3:D196,4)="2023")*('Medical Sales'!G3:G196&gt;=10000)*('Medical Sales'!U3:U196&lt;&gt;"Yes"),'Medical Sales'!E3:E196)),"-")</f>
        <v>3889000</v>
      </c>
      <c r="C72" s="59"/>
      <c r="D72" s="176"/>
      <c r="E72" s="172"/>
      <c r="F72" s="172"/>
      <c r="G72" s="172"/>
      <c r="H72" s="172"/>
      <c r="I72" s="172"/>
      <c r="J72" s="172"/>
      <c r="K72" s="179"/>
    </row>
    <row r="73" spans="1:11">
      <c r="A73" s="59"/>
      <c r="B73" s="59"/>
      <c r="C73" s="59"/>
      <c r="D73" s="59"/>
      <c r="E73" s="59"/>
      <c r="F73" s="59"/>
      <c r="G73" s="59"/>
      <c r="H73" s="59"/>
      <c r="I73" s="59"/>
      <c r="J73" s="59"/>
      <c r="K73" s="59"/>
    </row>
    <row r="74" spans="1:11">
      <c r="A74" s="59" t="s">
        <v>6268</v>
      </c>
      <c r="B74" s="59"/>
      <c r="C74" s="59"/>
      <c r="D74" s="59"/>
      <c r="E74" s="59"/>
      <c r="F74" s="59"/>
      <c r="G74" s="59"/>
      <c r="H74" s="59"/>
      <c r="I74" s="59"/>
      <c r="J74" s="59"/>
      <c r="K74" s="59"/>
    </row>
    <row r="75" spans="1:11">
      <c r="A75" s="334"/>
      <c r="B75" s="313"/>
      <c r="C75" s="313"/>
      <c r="D75" s="313"/>
      <c r="E75" s="313"/>
      <c r="F75" s="313"/>
      <c r="G75" s="313"/>
      <c r="H75" s="59"/>
      <c r="I75" s="59"/>
      <c r="J75" s="59"/>
      <c r="K75" s="59"/>
    </row>
    <row r="76" spans="1:11">
      <c r="A76" s="312" t="s">
        <v>2</v>
      </c>
      <c r="B76" s="312" t="s">
        <v>6215</v>
      </c>
      <c r="C76" s="312" t="s">
        <v>6218</v>
      </c>
      <c r="D76" s="312" t="s">
        <v>6220</v>
      </c>
      <c r="E76" s="312" t="s">
        <v>6221</v>
      </c>
      <c r="F76" s="312" t="s">
        <v>6230</v>
      </c>
      <c r="G76" s="312" t="s">
        <v>6231</v>
      </c>
      <c r="H76" s="59"/>
      <c r="I76" s="59"/>
      <c r="J76" s="59"/>
      <c r="K76" s="59"/>
    </row>
    <row r="77" spans="1:11">
      <c r="A77" s="309" t="s">
        <v>33</v>
      </c>
      <c r="B77" s="117" cm="1">
        <f t="array" ref="B77">SUMPRODUCT(('Medical Sales'!C3:C196="Orange")*(LEFT('Medical Sales'!D3:D196,4)="2023")*('Medical Sales'!G3:G196&gt;=10000)*('Medical Sales'!U3:U196&lt;&gt;"Yes"))</f>
        <v>0</v>
      </c>
      <c r="C77" s="118" t="str" cm="1">
        <f t="array" ref="C77">IFERROR(MEDIAN(IF(('Medical Sales'!C3:C196="Orange")*(LEFT('Medical Sales'!D3:D196,4)="2023")*('Medical Sales'!G3:G196&gt;=10000)*('Medical Sales'!U3:U196&lt;&gt;"Yes"),'Medical Sales'!E3:E196)),"-")</f>
        <v>-</v>
      </c>
      <c r="D77" s="119" t="str" cm="1">
        <f t="array" ref="D77">IFERROR(MEDIAN(IF(('Medical Sales'!C3:C196="Orange")*(LEFT('Medical Sales'!D3:D196,4)="2023")*('Medical Sales'!G3:G196&gt;=10000)*('Medical Sales'!U3:U196&lt;&gt;"Yes"),'Medical Sales'!F3:F196)),"-")</f>
        <v>-</v>
      </c>
      <c r="E77" s="117" t="str" cm="1">
        <f t="array" ref="E77">IF(B77=0,"-",SUMPRODUCT(('Medical Sales'!C3:C196="Orange")*(LEFT('Medical Sales'!D3:D196,4)="2023")*('Medical Sales'!G3:G196&gt;=10000)*('Medical Sales'!U3:U196&lt;&gt;"Yes")*('Medical Sales'!G3:G196))/B77)</f>
        <v>-</v>
      </c>
      <c r="F77" s="118" cm="1">
        <f t="array" ref="F77">IFERROR(MIN(IF(('Medical Sales'!C3:C196="Orange")*(LEFT('Medical Sales'!D3:D196,4)="2023")*('Medical Sales'!G3:G196&gt;=10000)*('Medical Sales'!U3:U196&lt;&gt;"Yes"),'Medical Sales'!E3:E196)),"-")</f>
        <v>0</v>
      </c>
      <c r="G77" s="118" cm="1">
        <f t="array" ref="G77">IFERROR(MAX(IF(('Medical Sales'!C3:C196="Orange")*(LEFT('Medical Sales'!D3:D196,4)="2023")*('Medical Sales'!G3:G196&gt;=10000)*('Medical Sales'!U3:U196&lt;&gt;"Yes"),'Medical Sales'!E3:E196)),"-")</f>
        <v>0</v>
      </c>
      <c r="H77" s="59"/>
      <c r="I77" s="59"/>
      <c r="J77" s="59"/>
      <c r="K77" s="59"/>
    </row>
    <row r="78" spans="1:11">
      <c r="A78" s="309" t="s">
        <v>20</v>
      </c>
      <c r="B78" s="117" cm="1">
        <f t="array" ref="B78">SUMPRODUCT(('Medical Sales'!C3:C196="Seminole")*(LEFT('Medical Sales'!D3:D196,4)="2023")*('Medical Sales'!G3:G196&gt;=10000)*('Medical Sales'!U3:U196&lt;&gt;"Yes"))</f>
        <v>1</v>
      </c>
      <c r="C78" s="118" cm="1">
        <f t="array" ref="C78">IFERROR(MEDIAN(IF(('Medical Sales'!C3:C196="Seminole")*(LEFT('Medical Sales'!D3:D196,4)="2023")*('Medical Sales'!G3:G196&gt;=10000)*('Medical Sales'!U3:U196&lt;&gt;"Yes"),'Medical Sales'!E3:E196)),"-")</f>
        <v>3889000</v>
      </c>
      <c r="D78" s="119" cm="1">
        <f t="array" ref="D78">IFERROR(MEDIAN(IF(('Medical Sales'!C3:C196="Seminole")*(LEFT('Medical Sales'!D3:D196,4)="2023")*('Medical Sales'!G3:G196&gt;=10000)*('Medical Sales'!U3:U196&lt;&gt;"Yes"),'Medical Sales'!F3:F196)),"-")</f>
        <v>136.42741878902686</v>
      </c>
      <c r="E78" s="117" cm="1">
        <f t="array" ref="E78">IF(B78=0,"-",SUMPRODUCT(('Medical Sales'!C3:C196="Seminole")*(LEFT('Medical Sales'!D3:D196,4)="2023")*('Medical Sales'!G3:G196&gt;=10000)*('Medical Sales'!U3:U196&lt;&gt;"Yes")*('Medical Sales'!G3:G196))/B78)</f>
        <v>28506</v>
      </c>
      <c r="F78" s="118" cm="1">
        <f t="array" ref="F78">IFERROR(MIN(IF(('Medical Sales'!C3:C196="Seminole")*(LEFT('Medical Sales'!D3:D196,4)="2023")*('Medical Sales'!G3:G196&gt;=10000)*('Medical Sales'!U3:U196&lt;&gt;"Yes"),'Medical Sales'!E3:E196)),"-")</f>
        <v>3889000</v>
      </c>
      <c r="G78" s="118" cm="1">
        <f t="array" ref="G78">IFERROR(MAX(IF(('Medical Sales'!C3:C196="Seminole")*(LEFT('Medical Sales'!D3:D196,4)="2023")*('Medical Sales'!G3:G196&gt;=10000)*('Medical Sales'!U3:U196&lt;&gt;"Yes"),'Medical Sales'!E3:E196)),"-")</f>
        <v>3889000</v>
      </c>
      <c r="H78" s="59"/>
      <c r="I78" s="59"/>
      <c r="J78" s="59"/>
      <c r="K78" s="59"/>
    </row>
    <row r="79" spans="1:11">
      <c r="A79" s="309" t="s">
        <v>678</v>
      </c>
      <c r="B79" s="117" cm="1">
        <f t="array" ref="B79">SUMPRODUCT(('Medical Sales'!C3:C196="Osceola")*(LEFT('Medical Sales'!D3:D196,4)="2023")*('Medical Sales'!G3:G196&gt;=10000)*('Medical Sales'!U3:U196&lt;&gt;"Yes"))</f>
        <v>0</v>
      </c>
      <c r="C79" s="118" t="str" cm="1">
        <f t="array" ref="C79">IFERROR(MEDIAN(IF(('Medical Sales'!C3:C196="Osceola")*(LEFT('Medical Sales'!D3:D196,4)="2023")*('Medical Sales'!G3:G196&gt;=10000)*('Medical Sales'!U3:U196&lt;&gt;"Yes"),'Medical Sales'!E3:E196)),"-")</f>
        <v>-</v>
      </c>
      <c r="D79" s="119" t="str" cm="1">
        <f t="array" ref="D79">IFERROR(MEDIAN(IF(('Medical Sales'!C3:C196="Osceola")*(LEFT('Medical Sales'!D3:D196,4)="2023")*('Medical Sales'!G3:G196&gt;=10000)*('Medical Sales'!U3:U196&lt;&gt;"Yes"),'Medical Sales'!F3:F196)),"-")</f>
        <v>-</v>
      </c>
      <c r="E79" s="117" t="str" cm="1">
        <f t="array" ref="E79">IF(B79=0,"-",SUMPRODUCT(('Medical Sales'!C3:C196="Osceola")*(LEFT('Medical Sales'!D3:D196,4)="2023")*('Medical Sales'!G3:G196&gt;=10000)*('Medical Sales'!U3:U196&lt;&gt;"Yes")*('Medical Sales'!G3:G196))/B79)</f>
        <v>-</v>
      </c>
      <c r="F79" s="118" cm="1">
        <f t="array" ref="F79">IFERROR(MIN(IF(('Medical Sales'!C3:C196="Osceola")*(LEFT('Medical Sales'!D3:D196,4)="2023")*('Medical Sales'!G3:G196&gt;=10000)*('Medical Sales'!U3:U196&lt;&gt;"Yes"),'Medical Sales'!E3:E196)),"-")</f>
        <v>0</v>
      </c>
      <c r="G79" s="118" cm="1">
        <f t="array" ref="G79">IFERROR(MAX(IF(('Medical Sales'!C3:C196="Osceola")*(LEFT('Medical Sales'!D3:D196,4)="2023")*('Medical Sales'!G3:G196&gt;=10000)*('Medical Sales'!U3:U196&lt;&gt;"Yes"),'Medical Sales'!E3:E196)),"-")</f>
        <v>0</v>
      </c>
      <c r="H79" s="59"/>
      <c r="I79" s="59"/>
      <c r="J79" s="59"/>
      <c r="K79" s="59"/>
    </row>
    <row r="80" spans="1:11">
      <c r="A80" s="57" t="s">
        <v>184</v>
      </c>
      <c r="B80" s="62" cm="1">
        <f t="array" ref="B80">SUMPRODUCT(('Medical Sales'!C3:C196="Lake")*(LEFT('Medical Sales'!D3:D196,4)="2023")*('Medical Sales'!G3:G196&gt;=10000)*('Medical Sales'!U3:U196&lt;&gt;"Yes"))</f>
        <v>0</v>
      </c>
      <c r="C80" s="63" t="str" cm="1">
        <f t="array" ref="C80">IFERROR(MEDIAN(IF(('Medical Sales'!C3:C196="Lake")*(LEFT('Medical Sales'!D3:D196,4)="2023")*('Medical Sales'!G3:G196&gt;=10000)*('Medical Sales'!U3:U196&lt;&gt;"Yes"),'Medical Sales'!E3:E196)),"-")</f>
        <v>-</v>
      </c>
      <c r="D80" s="61" t="str" cm="1">
        <f t="array" ref="D80">IFERROR(MEDIAN(IF(('Medical Sales'!C3:C196="Lake")*(LEFT('Medical Sales'!D3:D196,4)="2023")*('Medical Sales'!G3:G196&gt;=10000)*('Medical Sales'!U3:U196&lt;&gt;"Yes"),'Medical Sales'!F3:F196)),"-")</f>
        <v>-</v>
      </c>
      <c r="E80" s="62" t="str" cm="1">
        <f t="array" ref="E80">IF(B80=0,"-",SUMPRODUCT(('Medical Sales'!C3:C196="Lake")*(LEFT('Medical Sales'!D3:D196,4)="2023")*('Medical Sales'!G3:G196&gt;=10000)*('Medical Sales'!U3:U196&lt;&gt;"Yes")*('Medical Sales'!G3:G196))/B80)</f>
        <v>-</v>
      </c>
      <c r="F80" s="63" cm="1">
        <f t="array" ref="F80">IFERROR(MIN(IF(('Medical Sales'!C3:C196="Lake")*(LEFT('Medical Sales'!D3:D196,4)="2023")*('Medical Sales'!G3:G196&gt;=10000)*('Medical Sales'!U3:U196&lt;&gt;"Yes"),'Medical Sales'!E3:E196)),"-")</f>
        <v>0</v>
      </c>
      <c r="G80" s="63" cm="1">
        <f t="array" ref="G80">IFERROR(MAX(IF(('Medical Sales'!C3:C196="Lake")*(LEFT('Medical Sales'!D3:D196,4)="2023")*('Medical Sales'!G3:G196&gt;=10000)*('Medical Sales'!U3:U196&lt;&gt;"Yes"),'Medical Sales'!E3:E196)),"-")</f>
        <v>0</v>
      </c>
      <c r="H80" s="59"/>
      <c r="I80" s="59"/>
      <c r="J80" s="59"/>
      <c r="K80" s="59"/>
    </row>
    <row r="81" spans="1:13">
      <c r="A81" s="89" t="s">
        <v>6269</v>
      </c>
      <c r="B81" s="59"/>
      <c r="C81" s="59"/>
      <c r="D81" s="59"/>
      <c r="E81" s="59"/>
      <c r="F81" s="59"/>
      <c r="G81" s="59"/>
      <c r="H81" s="59"/>
      <c r="I81" s="59"/>
      <c r="J81" s="59"/>
      <c r="K81" s="59"/>
    </row>
    <row r="82" spans="1:13">
      <c r="A82" s="312" t="s">
        <v>6214</v>
      </c>
      <c r="B82" s="312" t="s">
        <v>6215</v>
      </c>
      <c r="C82" s="312" t="s">
        <v>6216</v>
      </c>
      <c r="D82" s="312" t="s">
        <v>6218</v>
      </c>
      <c r="E82" s="312" t="s">
        <v>6220</v>
      </c>
      <c r="F82" s="312" t="s">
        <v>6221</v>
      </c>
      <c r="G82" s="312" t="s">
        <v>6231</v>
      </c>
      <c r="H82" s="59"/>
      <c r="I82" s="59"/>
      <c r="J82" s="59"/>
      <c r="K82" s="59"/>
    </row>
    <row r="83" spans="1:13">
      <c r="A83" s="309" t="s">
        <v>26</v>
      </c>
      <c r="B83" s="117" cm="1">
        <f t="array" ref="B83">SUMPRODUCT(('Medical Sales'!N3:N196="Medical")*(LEFT('Medical Sales'!D3:D196,4)="2023")*('Medical Sales'!G3:G196&gt;=10000)*('Medical Sales'!U3:U196&lt;&gt;"Yes"))</f>
        <v>0</v>
      </c>
      <c r="C83" s="118" cm="1">
        <f t="array" ref="C83">SUMPRODUCT(('Medical Sales'!N3:N196="Medical")*(LEFT('Medical Sales'!D3:D196,4)="2023")*('Medical Sales'!G3:G196&gt;=10000)*('Medical Sales'!U3:U196&lt;&gt;"Yes")*('Medical Sales'!E3:E196))</f>
        <v>0</v>
      </c>
      <c r="D83" s="118" t="str" cm="1">
        <f t="array" ref="D83">IF(B83=0,"-",IFERROR(MEDIAN(IF(('Medical Sales'!N3:N196="Medical")*(LEFT('Medical Sales'!D3:D196,4)="2023")*('Medical Sales'!G3:G196&gt;=10000)*('Medical Sales'!U3:U196&lt;&gt;"Yes"),'Medical Sales'!E3:E196)),"-"))</f>
        <v>-</v>
      </c>
      <c r="E83" s="119" t="str" cm="1">
        <f t="array" ref="E83">IF(B83=0,"-",IFERROR(MEDIAN(IF(('Medical Sales'!N3:N196="Medical")*(LEFT('Medical Sales'!D3:D196,4)="2023")*('Medical Sales'!G3:G196&gt;=10000)*('Medical Sales'!U3:U196&lt;&gt;"Yes"),'Medical Sales'!F3:F196)),"-"))</f>
        <v>-</v>
      </c>
      <c r="F83" s="117" t="str" cm="1">
        <f t="array" ref="F83">IF(B83=0,"-",SUMPRODUCT(('Medical Sales'!N3:N196="Medical")*(LEFT('Medical Sales'!D3:D196,4)="2023")*('Medical Sales'!G3:G196&gt;=10000)*('Medical Sales'!U3:U196&lt;&gt;"Yes")*('Medical Sales'!G3:G196))/B83)</f>
        <v>-</v>
      </c>
      <c r="G83" s="118" t="str" cm="1">
        <f t="array" ref="G83">IF(B83=0,"-",IFERROR(MAX(IF(('Medical Sales'!N3:N196="Medical")*(LEFT('Medical Sales'!D3:D196,4)="2023")*('Medical Sales'!G3:G196&gt;=10000)*('Medical Sales'!U3:U196&lt;&gt;"Yes"),'Medical Sales'!E3:E196)),"-"))</f>
        <v>-</v>
      </c>
      <c r="H83" s="59"/>
      <c r="I83" s="59"/>
      <c r="J83" s="59"/>
      <c r="K83" s="59"/>
    </row>
    <row r="84" spans="1:13">
      <c r="A84" s="309" t="s">
        <v>1519</v>
      </c>
      <c r="B84" s="117" cm="1">
        <f t="array" ref="B84">SUMPRODUCT(('Medical Sales'!N3:N196="Multi-Tenant Medical")*(LEFT('Medical Sales'!D3:D196,4)="2023")*('Medical Sales'!G3:G196&gt;=10000)*('Medical Sales'!U3:U196&lt;&gt;"Yes"))</f>
        <v>0</v>
      </c>
      <c r="C84" s="118" cm="1">
        <f t="array" ref="C84">SUMPRODUCT(('Medical Sales'!N3:N196="Multi-Tenant Medical")*(LEFT('Medical Sales'!D3:D196,4)="2023")*('Medical Sales'!G3:G196&gt;=10000)*('Medical Sales'!U3:U196&lt;&gt;"Yes")*('Medical Sales'!E3:E196))</f>
        <v>0</v>
      </c>
      <c r="D84" s="118" t="str" cm="1">
        <f t="array" ref="D84">IF(B84=0,"-",IFERROR(MEDIAN(IF(('Medical Sales'!N3:N196="Multi-Tenant Medical")*(LEFT('Medical Sales'!D3:D196,4)="2023")*('Medical Sales'!G3:G196&gt;=10000)*('Medical Sales'!U3:U196&lt;&gt;"Yes"),'Medical Sales'!E3:E196)),"-"))</f>
        <v>-</v>
      </c>
      <c r="E84" s="119" t="str" cm="1">
        <f t="array" ref="E84">IF(B84=0,"-",IFERROR(MEDIAN(IF(('Medical Sales'!N3:N196="Multi-Tenant Medical")*(LEFT('Medical Sales'!D3:D196,4)="2023")*('Medical Sales'!G3:G196&gt;=10000)*('Medical Sales'!U3:U196&lt;&gt;"Yes"),'Medical Sales'!F3:F196)),"-"))</f>
        <v>-</v>
      </c>
      <c r="F84" s="117" t="str" cm="1">
        <f t="array" ref="F84">IF(B84=0,"-",SUMPRODUCT(('Medical Sales'!N3:N196="Multi-Tenant Medical")*(LEFT('Medical Sales'!D3:D196,4)="2023")*('Medical Sales'!G3:G196&gt;=10000)*('Medical Sales'!U3:U196&lt;&gt;"Yes")*('Medical Sales'!G3:G196))/B84)</f>
        <v>-</v>
      </c>
      <c r="G84" s="118" t="str" cm="1">
        <f t="array" ref="G84">IF(B84=0,"-",IFERROR(MAX(IF(('Medical Sales'!N3:N196="Multi-Tenant Medical")*(LEFT('Medical Sales'!D3:D196,4)="2023")*('Medical Sales'!G3:G196&gt;=10000)*('Medical Sales'!U3:U196&lt;&gt;"Yes"),'Medical Sales'!E3:E196)),"-"))</f>
        <v>-</v>
      </c>
      <c r="H84" s="59"/>
      <c r="I84" s="59"/>
      <c r="J84" s="59"/>
      <c r="K84" s="59"/>
    </row>
    <row r="85" spans="1:13">
      <c r="A85" s="309" t="s">
        <v>6212</v>
      </c>
      <c r="B85" s="117" cm="1">
        <f t="array" ref="B85">SUMPRODUCT(('Medical Sales'!N3:N196="Hospitals")*(LEFT('Medical Sales'!D3:D196,4)="2023")*('Medical Sales'!G3:G196&gt;=10000)*('Medical Sales'!U3:U196&lt;&gt;"Yes"))</f>
        <v>1</v>
      </c>
      <c r="C85" s="118" cm="1">
        <f t="array" ref="C85">SUMPRODUCT(('Medical Sales'!N3:N196="Hospitals")*(LEFT('Medical Sales'!D3:D196,4)="2023")*('Medical Sales'!G3:G196&gt;=10000)*('Medical Sales'!U3:U196&lt;&gt;"Yes")*('Medical Sales'!E3:E196))</f>
        <v>3889000</v>
      </c>
      <c r="D85" s="118" cm="1">
        <f t="array" ref="D85">IF(B85=0,"-",IFERROR(MEDIAN(IF(('Medical Sales'!N3:N196="Hospitals")*(LEFT('Medical Sales'!D3:D196,4)="2023")*('Medical Sales'!G3:G196&gt;=10000)*('Medical Sales'!U3:U196&lt;&gt;"Yes"),'Medical Sales'!E3:E196)),"-"))</f>
        <v>3889000</v>
      </c>
      <c r="E85" s="119" cm="1">
        <f t="array" ref="E85">IF(B85=0,"-",IFERROR(MEDIAN(IF(('Medical Sales'!N3:N196="Hospitals")*(LEFT('Medical Sales'!D3:D196,4)="2023")*('Medical Sales'!G3:G196&gt;=10000)*('Medical Sales'!U3:U196&lt;&gt;"Yes"),'Medical Sales'!F3:F196)),"-"))</f>
        <v>136.42741878902686</v>
      </c>
      <c r="F85" s="117" cm="1">
        <f t="array" ref="F85">IF(B85=0,"-",SUMPRODUCT(('Medical Sales'!N3:N196="Hospitals")*(LEFT('Medical Sales'!D3:D196,4)="2023")*('Medical Sales'!G3:G196&gt;=10000)*('Medical Sales'!U3:U196&lt;&gt;"Yes")*('Medical Sales'!G3:G196))/B85)</f>
        <v>28506</v>
      </c>
      <c r="G85" s="118" cm="1">
        <f t="array" ref="G85">IF(B85=0,"-",IFERROR(MAX(IF(('Medical Sales'!N3:N196="Hospitals")*(LEFT('Medical Sales'!D3:D196,4)="2023")*('Medical Sales'!G3:G196&gt;=10000)*('Medical Sales'!U3:U196&lt;&gt;"Yes"),'Medical Sales'!E3:E196)),"-"))</f>
        <v>3889000</v>
      </c>
      <c r="H85" s="59"/>
      <c r="I85" s="59"/>
      <c r="J85" s="59"/>
      <c r="K85" s="59"/>
    </row>
    <row r="86" spans="1:13">
      <c r="A86" s="59"/>
      <c r="B86" s="59"/>
      <c r="C86" s="59"/>
      <c r="D86" s="59"/>
      <c r="E86" s="59"/>
      <c r="F86" s="59"/>
      <c r="G86" s="59"/>
      <c r="H86" s="59"/>
      <c r="I86" s="59"/>
      <c r="J86" s="59"/>
      <c r="K86" s="59"/>
    </row>
    <row r="87" spans="1:13">
      <c r="A87" s="59"/>
      <c r="B87" s="59"/>
      <c r="C87" s="59"/>
      <c r="D87" s="59"/>
      <c r="E87" s="59"/>
      <c r="F87" s="59"/>
      <c r="G87" s="59"/>
      <c r="H87" s="59"/>
      <c r="I87" s="59"/>
      <c r="J87" s="59"/>
      <c r="K87" s="59"/>
    </row>
    <row r="88" spans="1:13" ht="19">
      <c r="A88" s="55" t="s">
        <v>6455</v>
      </c>
      <c r="B88" s="55"/>
      <c r="C88" s="55"/>
      <c r="D88" s="55"/>
      <c r="E88" s="55"/>
      <c r="F88" s="55"/>
      <c r="G88" s="55"/>
      <c r="H88" s="55"/>
      <c r="I88" s="55"/>
      <c r="J88" s="55"/>
      <c r="K88" s="55"/>
    </row>
    <row r="89" spans="1:13">
      <c r="A89" s="305" t="s">
        <v>6413</v>
      </c>
      <c r="B89" s="305" t="s">
        <v>6215</v>
      </c>
      <c r="C89" s="305" t="s">
        <v>6219</v>
      </c>
      <c r="D89" s="305" t="s">
        <v>6220</v>
      </c>
      <c r="E89" s="305" t="s">
        <v>6221</v>
      </c>
      <c r="F89" s="59"/>
      <c r="G89" s="59"/>
      <c r="H89" s="59"/>
      <c r="I89" s="59"/>
      <c r="J89" s="59"/>
      <c r="K89" s="59"/>
    </row>
    <row r="90" spans="1:13">
      <c r="A90" s="309" t="s">
        <v>6414</v>
      </c>
      <c r="B90" s="117" cm="1">
        <f t="array" ref="B90">SUMPRODUCT((LEFT('Medical Sales'!D3:D196,4)="2023")*('Medical Sales'!T3:T196&lt;=5)*('Medical Sales'!T3:T196&lt;&gt;"")*('Medical Sales'!U3:U196&lt;&gt;"Yes"))</f>
        <v>0</v>
      </c>
      <c r="C90" s="119" t="str" cm="1">
        <f t="array" ref="C90">IF(B90=0,"-",SUMPRODUCT((LEFT('Medical Sales'!D3:D196,4)="2023")*('Medical Sales'!T3:T196&lt;=5)*('Medical Sales'!T3:T196&lt;&gt;"")*('Medical Sales'!U3:U196&lt;&gt;"Yes")*('Medical Sales'!F3:F196))/B90)</f>
        <v>-</v>
      </c>
      <c r="D90" s="119" t="str" cm="1">
        <f t="array" ref="D90">IFERROR(MEDIAN(IF((LEFT('Medical Sales'!D3:D196,4)="2023")*('Medical Sales'!T3:T196&lt;=5)*('Medical Sales'!T3:T196&lt;&gt;"")*('Medical Sales'!U3:U196&lt;&gt;"Yes"),'Medical Sales'!F3:F196)),"-")</f>
        <v>-</v>
      </c>
      <c r="E90" s="117" t="str" cm="1">
        <f t="array" ref="E90">IF(B90=0,"-",SUMPRODUCT((LEFT('Medical Sales'!D3:D196,4)="2023")*('Medical Sales'!T3:T196&lt;=5)*('Medical Sales'!T3:T196&lt;&gt;"")*('Medical Sales'!U3:U196&lt;&gt;"Yes")*('Medical Sales'!G3:G196))/B90)</f>
        <v>-</v>
      </c>
      <c r="F90" s="59"/>
      <c r="G90" s="59"/>
      <c r="H90" s="59"/>
      <c r="I90" s="59"/>
      <c r="J90" s="59"/>
      <c r="K90" s="59"/>
    </row>
    <row r="91" spans="1:13">
      <c r="A91" s="309" t="s">
        <v>6415</v>
      </c>
      <c r="B91" s="117" cm="1">
        <f t="array" ref="B91">SUMPRODUCT((LEFT('Medical Sales'!D3:D196,4)="2023")*('Medical Sales'!T3:T196&gt;5)*('Medical Sales'!T3:T196&lt;=20)*('Medical Sales'!T3:T196&lt;&gt;"")*('Medical Sales'!U3:U196&lt;&gt;"Yes"))</f>
        <v>0</v>
      </c>
      <c r="C91" s="119" t="str" cm="1">
        <f t="array" ref="C91">IF(B91=0,"-",SUMPRODUCT((LEFT('Medical Sales'!D3:D196,4)="2023")*('Medical Sales'!T3:T196&gt;5)*('Medical Sales'!T3:T196&lt;=20)*('Medical Sales'!T3:T196&lt;&gt;"")*('Medical Sales'!U3:U196&lt;&gt;"Yes")*('Medical Sales'!F3:F196))/B91)</f>
        <v>-</v>
      </c>
      <c r="D91" s="119" t="str" cm="1">
        <f t="array" ref="D91">IFERROR(MEDIAN(IF((LEFT('Medical Sales'!D3:D196,4)="2023")*('Medical Sales'!T3:T196&gt;5)*('Medical Sales'!T3:T196&lt;=20)*('Medical Sales'!T3:T196&lt;&gt;"")*('Medical Sales'!U3:U196&lt;&gt;"Yes"),'Medical Sales'!F3:F196)),"-")</f>
        <v>-</v>
      </c>
      <c r="E91" s="117" t="str" cm="1">
        <f t="array" ref="E91">IF(B91=0,"-",SUMPRODUCT((LEFT('Medical Sales'!D3:D196,4)="2023")*('Medical Sales'!T3:T196&gt;5)*('Medical Sales'!T3:T196&lt;=20)*('Medical Sales'!T3:T196&lt;&gt;"")*('Medical Sales'!U3:U196&lt;&gt;"Yes")*('Medical Sales'!G3:G196))/B91)</f>
        <v>-</v>
      </c>
      <c r="F91" s="59"/>
      <c r="G91" s="59"/>
      <c r="H91" s="59"/>
      <c r="I91" s="59"/>
      <c r="J91" s="59"/>
      <c r="K91" s="59"/>
    </row>
    <row r="92" spans="1:13">
      <c r="A92" s="309" t="s">
        <v>6416</v>
      </c>
      <c r="B92" s="117" cm="1">
        <f t="array" ref="B92">SUMPRODUCT((LEFT('Medical Sales'!D3:D196,4)="2023")*('Medical Sales'!T3:T196&gt;20)*('Medical Sales'!T3:T196&lt;&gt;"")*('Medical Sales'!U3:U196&lt;&gt;"Yes"))</f>
        <v>2</v>
      </c>
      <c r="C92" s="119" cm="1">
        <f t="array" ref="C92">IF(B92=0,"-",SUMPRODUCT((LEFT('Medical Sales'!D3:D196,4)="2023")*('Medical Sales'!T3:T196&gt;20)*('Medical Sales'!T3:T196&lt;&gt;"")*('Medical Sales'!U3:U196&lt;&gt;"Yes")*('Medical Sales'!F3:F196))/B92)</f>
        <v>424.93190202233745</v>
      </c>
      <c r="D92" s="119" cm="1">
        <f t="array" ref="D92">IFERROR(MEDIAN(IF((LEFT('Medical Sales'!D3:D196,4)="2023")*('Medical Sales'!T3:T196&gt;20)*('Medical Sales'!T3:T196&lt;&gt;"")*('Medical Sales'!U3:U196&lt;&gt;"Yes"),'Medical Sales'!F3:F196)),"-")</f>
        <v>424.93190202233745</v>
      </c>
      <c r="E92" s="117" cm="1">
        <f t="array" ref="E92">IF(B92=0,"-",SUMPRODUCT((LEFT('Medical Sales'!D3:D196,4)="2023")*('Medical Sales'!T3:T196&gt;20)*('Medical Sales'!T3:T196&lt;&gt;"")*('Medical Sales'!U3:U196&lt;&gt;"Yes")*('Medical Sales'!G3:G196))/B92)</f>
        <v>16355.5</v>
      </c>
      <c r="F92" s="59"/>
      <c r="G92" s="59"/>
      <c r="H92" s="59"/>
      <c r="I92" s="59"/>
      <c r="J92" s="59"/>
      <c r="K92" s="59"/>
    </row>
    <row r="93" spans="1:13">
      <c r="A93" s="270" t="s">
        <v>6417</v>
      </c>
      <c r="B93" s="59"/>
      <c r="C93" s="59"/>
      <c r="D93" s="59"/>
      <c r="E93" s="59"/>
      <c r="F93" s="59"/>
      <c r="G93" s="59"/>
      <c r="H93" s="59"/>
      <c r="I93" s="59"/>
      <c r="J93" s="59"/>
      <c r="K93" s="59"/>
    </row>
    <row r="94" spans="1:13">
      <c r="A94" s="59"/>
      <c r="B94" s="59"/>
      <c r="C94" s="59"/>
      <c r="D94" s="59"/>
      <c r="E94" s="59"/>
      <c r="F94" s="59"/>
      <c r="G94" s="59"/>
      <c r="H94" s="59"/>
      <c r="I94" s="59"/>
      <c r="J94" s="59"/>
      <c r="K94" s="59"/>
    </row>
    <row r="95" spans="1:13" ht="19">
      <c r="A95" s="55" t="s">
        <v>6456</v>
      </c>
      <c r="B95" s="55"/>
      <c r="C95" s="55"/>
      <c r="D95" s="55"/>
      <c r="E95" s="55"/>
      <c r="F95" s="55"/>
      <c r="G95" s="55"/>
      <c r="H95" s="55"/>
      <c r="I95" s="55"/>
      <c r="J95" s="55"/>
      <c r="K95" s="55"/>
      <c r="L95" s="55"/>
      <c r="M95" s="55"/>
    </row>
    <row r="96" spans="1:13">
      <c r="A96" s="305" t="s">
        <v>6271</v>
      </c>
      <c r="B96" s="305" t="s">
        <v>2</v>
      </c>
      <c r="C96" s="305" t="s">
        <v>6272</v>
      </c>
      <c r="D96" s="305" t="s">
        <v>4</v>
      </c>
      <c r="E96" s="305" t="s">
        <v>5</v>
      </c>
      <c r="F96" s="305" t="s">
        <v>6273</v>
      </c>
      <c r="G96" s="305" t="s">
        <v>6214</v>
      </c>
      <c r="H96" s="305" t="s">
        <v>15</v>
      </c>
      <c r="I96" s="305" t="s">
        <v>6274</v>
      </c>
      <c r="J96" s="305" t="s">
        <v>6199</v>
      </c>
      <c r="K96" s="305" t="s">
        <v>6317</v>
      </c>
      <c r="L96" s="354" t="s">
        <v>6319</v>
      </c>
      <c r="M96" s="354" t="s">
        <v>6528</v>
      </c>
    </row>
    <row r="97" spans="1:13">
      <c r="A97" s="313" t="s">
        <v>292</v>
      </c>
      <c r="B97" s="130" t="s">
        <v>33</v>
      </c>
      <c r="C97" s="130" t="s">
        <v>293</v>
      </c>
      <c r="D97" s="118">
        <v>475000</v>
      </c>
      <c r="E97" s="119">
        <v>102.813852813853</v>
      </c>
      <c r="F97" s="117">
        <v>4620</v>
      </c>
      <c r="G97" s="130" t="s">
        <v>26</v>
      </c>
      <c r="H97" s="130" t="s">
        <v>296</v>
      </c>
      <c r="I97" s="131">
        <v>2024</v>
      </c>
      <c r="J97" s="130" t="s">
        <v>6277</v>
      </c>
      <c r="K97" s="130"/>
    </row>
    <row r="98" spans="1:13">
      <c r="A98" s="313" t="s">
        <v>1312</v>
      </c>
      <c r="B98" s="130" t="s">
        <v>20</v>
      </c>
      <c r="C98" s="130" t="s">
        <v>896</v>
      </c>
      <c r="D98" s="118">
        <v>786000</v>
      </c>
      <c r="E98" s="119">
        <v>123.390894819466</v>
      </c>
      <c r="F98" s="117">
        <v>6370</v>
      </c>
      <c r="G98" s="130" t="s">
        <v>26</v>
      </c>
      <c r="H98" s="130" t="s">
        <v>6458</v>
      </c>
      <c r="I98" s="131">
        <v>2007</v>
      </c>
      <c r="J98" s="130" t="s">
        <v>6276</v>
      </c>
      <c r="K98" s="130"/>
    </row>
    <row r="99" spans="1:13">
      <c r="A99" s="313" t="s">
        <v>1215</v>
      </c>
      <c r="B99" s="130" t="s">
        <v>20</v>
      </c>
      <c r="C99" s="130" t="s">
        <v>579</v>
      </c>
      <c r="D99" s="118">
        <v>293000</v>
      </c>
      <c r="E99" s="119">
        <v>127.66884531590399</v>
      </c>
      <c r="F99" s="117">
        <v>2295</v>
      </c>
      <c r="G99" s="130" t="s">
        <v>26</v>
      </c>
      <c r="H99" s="130" t="s">
        <v>6457</v>
      </c>
      <c r="I99" s="131">
        <v>1984</v>
      </c>
      <c r="J99" s="130" t="s">
        <v>6275</v>
      </c>
      <c r="K99" s="130"/>
    </row>
    <row r="100" spans="1:13">
      <c r="A100" s="314" t="s">
        <v>1013</v>
      </c>
      <c r="B100" s="125" t="s">
        <v>20</v>
      </c>
      <c r="C100" s="125" t="s">
        <v>293</v>
      </c>
      <c r="D100" s="126">
        <v>3889000</v>
      </c>
      <c r="E100" s="127">
        <v>136.427418789027</v>
      </c>
      <c r="F100" s="128">
        <v>28506</v>
      </c>
      <c r="G100" s="125" t="s">
        <v>6212</v>
      </c>
      <c r="H100" s="125" t="s">
        <v>6206</v>
      </c>
      <c r="I100" s="129">
        <v>2024</v>
      </c>
      <c r="J100" s="125" t="s">
        <v>6277</v>
      </c>
      <c r="K100" s="125" t="s">
        <v>6318</v>
      </c>
      <c r="L100" s="356" t="s">
        <v>6527</v>
      </c>
      <c r="M100" s="362" t="s">
        <v>6559</v>
      </c>
    </row>
    <row r="101" spans="1:13">
      <c r="A101" s="314" t="s">
        <v>1482</v>
      </c>
      <c r="B101" s="125" t="s">
        <v>184</v>
      </c>
      <c r="C101" s="125" t="s">
        <v>314</v>
      </c>
      <c r="D101" s="126">
        <v>350000</v>
      </c>
      <c r="E101" s="127">
        <v>142.33428222854801</v>
      </c>
      <c r="F101" s="128">
        <v>2459</v>
      </c>
      <c r="G101" s="125" t="s">
        <v>26</v>
      </c>
      <c r="H101" s="125" t="s">
        <v>1486</v>
      </c>
      <c r="I101" s="129">
        <v>1946</v>
      </c>
      <c r="J101" s="125" t="s">
        <v>6275</v>
      </c>
      <c r="K101" s="125"/>
    </row>
    <row r="102" spans="1:13">
      <c r="A102" s="314" t="s">
        <v>390</v>
      </c>
      <c r="B102" s="125" t="s">
        <v>33</v>
      </c>
      <c r="C102" s="125" t="s">
        <v>322</v>
      </c>
      <c r="D102" s="126">
        <v>965900</v>
      </c>
      <c r="E102" s="127">
        <v>148.417332513829</v>
      </c>
      <c r="F102" s="128">
        <v>6508</v>
      </c>
      <c r="G102" s="125" t="s">
        <v>26</v>
      </c>
      <c r="H102" s="125" t="s">
        <v>6461</v>
      </c>
      <c r="I102" s="129">
        <v>2008</v>
      </c>
      <c r="J102" s="125" t="s">
        <v>6276</v>
      </c>
      <c r="K102" s="125"/>
    </row>
    <row r="103" spans="1:13">
      <c r="A103" s="314" t="s">
        <v>1131</v>
      </c>
      <c r="B103" s="125" t="s">
        <v>184</v>
      </c>
      <c r="C103" s="125" t="s">
        <v>293</v>
      </c>
      <c r="D103" s="126">
        <v>750000</v>
      </c>
      <c r="E103" s="127">
        <v>157.72870662460599</v>
      </c>
      <c r="F103" s="128">
        <v>4755</v>
      </c>
      <c r="G103" s="125" t="s">
        <v>26</v>
      </c>
      <c r="H103" s="125" t="s">
        <v>26</v>
      </c>
      <c r="I103" s="129">
        <v>2002</v>
      </c>
      <c r="J103" s="125" t="s">
        <v>6276</v>
      </c>
      <c r="K103" s="125"/>
    </row>
    <row r="104" spans="1:13">
      <c r="A104" s="313" t="s">
        <v>44</v>
      </c>
      <c r="B104" s="130" t="s">
        <v>33</v>
      </c>
      <c r="C104" s="130" t="s">
        <v>45</v>
      </c>
      <c r="D104" s="118">
        <v>1800000</v>
      </c>
      <c r="E104" s="119">
        <v>179.24716191993599</v>
      </c>
      <c r="F104" s="117">
        <v>10042</v>
      </c>
      <c r="G104" s="130" t="s">
        <v>1519</v>
      </c>
      <c r="H104" s="130" t="s">
        <v>6465</v>
      </c>
      <c r="I104" s="131">
        <v>2024</v>
      </c>
      <c r="J104" s="130" t="s">
        <v>6277</v>
      </c>
      <c r="K104" s="130"/>
    </row>
    <row r="105" spans="1:13">
      <c r="A105" s="313" t="s">
        <v>1562</v>
      </c>
      <c r="B105" s="130" t="s">
        <v>33</v>
      </c>
      <c r="C105" s="130" t="s">
        <v>34</v>
      </c>
      <c r="D105" s="118">
        <v>3900000</v>
      </c>
      <c r="E105" s="119">
        <v>185.51110688293801</v>
      </c>
      <c r="F105" s="117">
        <v>21023</v>
      </c>
      <c r="G105" s="130" t="s">
        <v>1519</v>
      </c>
      <c r="H105" s="130" t="s">
        <v>1565</v>
      </c>
      <c r="I105" s="131">
        <v>1970</v>
      </c>
      <c r="J105" s="130" t="s">
        <v>6275</v>
      </c>
      <c r="K105" s="130"/>
    </row>
    <row r="106" spans="1:13">
      <c r="A106" s="313" t="s">
        <v>313</v>
      </c>
      <c r="B106" s="130" t="s">
        <v>33</v>
      </c>
      <c r="C106" s="130" t="s">
        <v>314</v>
      </c>
      <c r="D106" s="118">
        <v>2650000</v>
      </c>
      <c r="E106" s="119">
        <v>201.67427701674299</v>
      </c>
      <c r="F106" s="117">
        <v>13140</v>
      </c>
      <c r="G106" s="130" t="s">
        <v>1519</v>
      </c>
      <c r="H106" s="130" t="s">
        <v>318</v>
      </c>
      <c r="I106" s="131">
        <v>2006</v>
      </c>
      <c r="J106" s="130" t="s">
        <v>6276</v>
      </c>
      <c r="K106" s="130"/>
    </row>
    <row r="107" spans="1:13">
      <c r="A107" s="313" t="s">
        <v>1186</v>
      </c>
      <c r="B107" s="130" t="s">
        <v>184</v>
      </c>
      <c r="C107" s="130" t="s">
        <v>293</v>
      </c>
      <c r="D107" s="118">
        <v>900000</v>
      </c>
      <c r="E107" s="119">
        <v>214.28571428571399</v>
      </c>
      <c r="F107" s="117">
        <v>4200</v>
      </c>
      <c r="G107" s="130" t="s">
        <v>26</v>
      </c>
      <c r="H107" s="130"/>
      <c r="I107" s="131">
        <v>2024</v>
      </c>
      <c r="J107" s="130" t="s">
        <v>6277</v>
      </c>
      <c r="K107" s="130"/>
    </row>
    <row r="108" spans="1:13">
      <c r="A108" s="314" t="s">
        <v>397</v>
      </c>
      <c r="B108" s="125" t="s">
        <v>33</v>
      </c>
      <c r="C108" s="125" t="s">
        <v>398</v>
      </c>
      <c r="D108" s="126">
        <v>4875000</v>
      </c>
      <c r="E108" s="127">
        <v>221.49023171285799</v>
      </c>
      <c r="F108" s="128">
        <v>22010</v>
      </c>
      <c r="G108" s="125" t="s">
        <v>1519</v>
      </c>
      <c r="H108" s="125" t="s">
        <v>403</v>
      </c>
      <c r="I108" s="129">
        <v>1990</v>
      </c>
      <c r="J108" s="125" t="s">
        <v>6275</v>
      </c>
      <c r="K108" s="125"/>
    </row>
    <row r="109" spans="1:13">
      <c r="A109" s="313" t="s">
        <v>1674</v>
      </c>
      <c r="B109" s="130" t="s">
        <v>33</v>
      </c>
      <c r="C109" s="130" t="s">
        <v>322</v>
      </c>
      <c r="D109" s="118">
        <v>1025000</v>
      </c>
      <c r="E109" s="119">
        <v>229.97531972178601</v>
      </c>
      <c r="F109" s="117">
        <v>4457</v>
      </c>
      <c r="G109" s="130" t="s">
        <v>26</v>
      </c>
      <c r="H109" s="130" t="s">
        <v>6462</v>
      </c>
      <c r="I109" s="131">
        <v>1959</v>
      </c>
      <c r="J109" s="130" t="s">
        <v>6275</v>
      </c>
      <c r="K109" s="130"/>
    </row>
    <row r="110" spans="1:13">
      <c r="A110" s="313" t="s">
        <v>1528</v>
      </c>
      <c r="B110" s="130" t="s">
        <v>33</v>
      </c>
      <c r="C110" s="130" t="s">
        <v>571</v>
      </c>
      <c r="D110" s="118">
        <v>5913600</v>
      </c>
      <c r="E110" s="119">
        <v>238.42277143893901</v>
      </c>
      <c r="F110" s="117">
        <v>24803</v>
      </c>
      <c r="G110" s="130" t="s">
        <v>1519</v>
      </c>
      <c r="H110" s="130" t="s">
        <v>1531</v>
      </c>
      <c r="I110" s="131">
        <v>1997</v>
      </c>
      <c r="J110" s="130" t="s">
        <v>6275</v>
      </c>
      <c r="K110" s="130"/>
    </row>
    <row r="111" spans="1:13">
      <c r="A111" s="314" t="s">
        <v>1080</v>
      </c>
      <c r="B111" s="125" t="s">
        <v>184</v>
      </c>
      <c r="C111" s="125" t="s">
        <v>34</v>
      </c>
      <c r="D111" s="126">
        <v>525000</v>
      </c>
      <c r="E111" s="127">
        <v>243.055555555556</v>
      </c>
      <c r="F111" s="128">
        <v>2160</v>
      </c>
      <c r="G111" s="125" t="s">
        <v>26</v>
      </c>
      <c r="H111" s="125" t="s">
        <v>1082</v>
      </c>
      <c r="I111" s="129">
        <v>1994</v>
      </c>
      <c r="J111" s="125" t="s">
        <v>6275</v>
      </c>
      <c r="K111" s="125"/>
    </row>
    <row r="112" spans="1:13">
      <c r="A112" s="313" t="s">
        <v>32</v>
      </c>
      <c r="B112" s="130" t="s">
        <v>33</v>
      </c>
      <c r="C112" s="130" t="s">
        <v>34</v>
      </c>
      <c r="D112" s="118">
        <v>1100000</v>
      </c>
      <c r="E112" s="119">
        <v>250.62656641603999</v>
      </c>
      <c r="F112" s="117">
        <v>4389</v>
      </c>
      <c r="G112" s="130" t="s">
        <v>26</v>
      </c>
      <c r="H112" s="130" t="s">
        <v>41</v>
      </c>
      <c r="I112" s="131">
        <v>1956</v>
      </c>
      <c r="J112" s="130" t="s">
        <v>6275</v>
      </c>
      <c r="K112" s="130"/>
    </row>
    <row r="113" spans="1:13">
      <c r="A113" s="314" t="s">
        <v>321</v>
      </c>
      <c r="B113" s="125" t="s">
        <v>33</v>
      </c>
      <c r="C113" s="125" t="s">
        <v>322</v>
      </c>
      <c r="D113" s="126">
        <v>1140000</v>
      </c>
      <c r="E113" s="127">
        <v>276.90065581734302</v>
      </c>
      <c r="F113" s="128">
        <v>4117</v>
      </c>
      <c r="G113" s="125" t="s">
        <v>26</v>
      </c>
      <c r="H113" s="125" t="s">
        <v>6464</v>
      </c>
      <c r="I113" s="129">
        <v>2009</v>
      </c>
      <c r="J113" s="125" t="s">
        <v>6276</v>
      </c>
      <c r="K113" s="125"/>
    </row>
    <row r="114" spans="1:13">
      <c r="A114" s="313" t="s">
        <v>443</v>
      </c>
      <c r="B114" s="130" t="s">
        <v>33</v>
      </c>
      <c r="C114" s="130" t="s">
        <v>398</v>
      </c>
      <c r="D114" s="118">
        <v>3080000</v>
      </c>
      <c r="E114" s="119">
        <v>283.03620657967298</v>
      </c>
      <c r="F114" s="117">
        <v>10882</v>
      </c>
      <c r="G114" s="130" t="s">
        <v>1519</v>
      </c>
      <c r="H114" s="130" t="s">
        <v>6467</v>
      </c>
      <c r="I114" s="131">
        <v>1977</v>
      </c>
      <c r="J114" s="130" t="s">
        <v>6275</v>
      </c>
      <c r="K114" s="130"/>
    </row>
    <row r="115" spans="1:13">
      <c r="A115" s="314" t="s">
        <v>842</v>
      </c>
      <c r="B115" s="125" t="s">
        <v>678</v>
      </c>
      <c r="C115" s="125" t="s">
        <v>516</v>
      </c>
      <c r="D115" s="126">
        <v>1800000</v>
      </c>
      <c r="E115" s="127">
        <v>294.45444135448997</v>
      </c>
      <c r="F115" s="128">
        <v>6113</v>
      </c>
      <c r="G115" s="125" t="s">
        <v>26</v>
      </c>
      <c r="H115" s="125" t="s">
        <v>845</v>
      </c>
      <c r="I115" s="129">
        <v>1992</v>
      </c>
      <c r="J115" s="125" t="s">
        <v>6275</v>
      </c>
      <c r="K115" s="125"/>
    </row>
    <row r="116" spans="1:13">
      <c r="A116" s="314" t="s">
        <v>420</v>
      </c>
      <c r="B116" s="125" t="s">
        <v>33</v>
      </c>
      <c r="C116" s="125" t="s">
        <v>45</v>
      </c>
      <c r="D116" s="126">
        <v>2000000</v>
      </c>
      <c r="E116" s="127">
        <v>301.70463116608801</v>
      </c>
      <c r="F116" s="128">
        <v>6629</v>
      </c>
      <c r="G116" s="125" t="s">
        <v>26</v>
      </c>
      <c r="H116" s="125" t="s">
        <v>424</v>
      </c>
      <c r="I116" s="129">
        <v>1992</v>
      </c>
      <c r="J116" s="125" t="s">
        <v>6275</v>
      </c>
      <c r="K116" s="125"/>
    </row>
    <row r="117" spans="1:13">
      <c r="A117" s="313" t="s">
        <v>578</v>
      </c>
      <c r="B117" s="130" t="s">
        <v>33</v>
      </c>
      <c r="C117" s="130" t="s">
        <v>579</v>
      </c>
      <c r="D117" s="118">
        <v>846000</v>
      </c>
      <c r="E117" s="119">
        <v>328.03412175261701</v>
      </c>
      <c r="F117" s="117">
        <v>2579</v>
      </c>
      <c r="G117" s="130" t="s">
        <v>26</v>
      </c>
      <c r="H117" s="130" t="s">
        <v>6460</v>
      </c>
      <c r="I117" s="131">
        <v>1984</v>
      </c>
      <c r="J117" s="130" t="s">
        <v>6275</v>
      </c>
      <c r="K117" s="130"/>
    </row>
    <row r="118" spans="1:13">
      <c r="A118" s="314" t="s">
        <v>495</v>
      </c>
      <c r="B118" s="125" t="s">
        <v>33</v>
      </c>
      <c r="C118" s="125" t="s">
        <v>436</v>
      </c>
      <c r="D118" s="126">
        <v>800000</v>
      </c>
      <c r="E118" s="127">
        <v>328.54209445585201</v>
      </c>
      <c r="F118" s="128">
        <v>2435</v>
      </c>
      <c r="G118" s="125" t="s">
        <v>26</v>
      </c>
      <c r="H118" s="125" t="s">
        <v>6459</v>
      </c>
      <c r="I118" s="129">
        <v>1945</v>
      </c>
      <c r="J118" s="125" t="s">
        <v>6275</v>
      </c>
      <c r="K118" s="125"/>
    </row>
    <row r="119" spans="1:13">
      <c r="A119" s="314" t="s">
        <v>515</v>
      </c>
      <c r="B119" s="125" t="s">
        <v>33</v>
      </c>
      <c r="C119" s="125" t="s">
        <v>516</v>
      </c>
      <c r="D119" s="126">
        <v>850000</v>
      </c>
      <c r="E119" s="127">
        <v>332.68101761252399</v>
      </c>
      <c r="F119" s="128">
        <v>2555</v>
      </c>
      <c r="G119" s="125" t="s">
        <v>26</v>
      </c>
      <c r="H119" s="125" t="s">
        <v>520</v>
      </c>
      <c r="I119" s="129">
        <v>1965</v>
      </c>
      <c r="J119" s="125" t="s">
        <v>6275</v>
      </c>
      <c r="K119" s="125"/>
    </row>
    <row r="120" spans="1:13">
      <c r="A120" s="313" t="s">
        <v>701</v>
      </c>
      <c r="B120" s="130" t="s">
        <v>678</v>
      </c>
      <c r="C120" s="130" t="s">
        <v>702</v>
      </c>
      <c r="D120" s="118">
        <v>1300000</v>
      </c>
      <c r="E120" s="119">
        <v>363.73810856183502</v>
      </c>
      <c r="F120" s="117">
        <v>3574</v>
      </c>
      <c r="G120" s="130" t="s">
        <v>26</v>
      </c>
      <c r="H120" s="130" t="s">
        <v>706</v>
      </c>
      <c r="I120" s="131">
        <v>1968</v>
      </c>
      <c r="J120" s="130" t="s">
        <v>6275</v>
      </c>
      <c r="K120" s="130"/>
    </row>
    <row r="121" spans="1:13">
      <c r="A121" s="313" t="s">
        <v>115</v>
      </c>
      <c r="B121" s="130" t="s">
        <v>33</v>
      </c>
      <c r="C121" s="130" t="s">
        <v>34</v>
      </c>
      <c r="D121" s="118">
        <v>720000</v>
      </c>
      <c r="E121" s="119">
        <v>364.37246963562802</v>
      </c>
      <c r="F121" s="117">
        <v>1976</v>
      </c>
      <c r="G121" s="130" t="s">
        <v>26</v>
      </c>
      <c r="H121" s="130" t="s">
        <v>120</v>
      </c>
      <c r="I121" s="131">
        <v>1957</v>
      </c>
      <c r="J121" s="130" t="s">
        <v>6275</v>
      </c>
      <c r="K121" s="130"/>
    </row>
    <row r="122" spans="1:13">
      <c r="A122" s="314" t="s">
        <v>570</v>
      </c>
      <c r="B122" s="125" t="s">
        <v>33</v>
      </c>
      <c r="C122" s="125" t="s">
        <v>571</v>
      </c>
      <c r="D122" s="126">
        <v>1100000</v>
      </c>
      <c r="E122" s="127">
        <v>373.51443123938901</v>
      </c>
      <c r="F122" s="128">
        <v>2945</v>
      </c>
      <c r="G122" s="125" t="s">
        <v>26</v>
      </c>
      <c r="H122" s="125" t="s">
        <v>6463</v>
      </c>
      <c r="I122" s="129">
        <v>1980</v>
      </c>
      <c r="J122" s="125" t="s">
        <v>6275</v>
      </c>
      <c r="K122" s="125"/>
    </row>
    <row r="123" spans="1:13">
      <c r="A123" s="314" t="s">
        <v>633</v>
      </c>
      <c r="B123" s="125" t="s">
        <v>33</v>
      </c>
      <c r="C123" s="125" t="s">
        <v>398</v>
      </c>
      <c r="D123" s="126">
        <v>13200000</v>
      </c>
      <c r="E123" s="127">
        <v>470.42052744119701</v>
      </c>
      <c r="F123" s="128">
        <v>28060</v>
      </c>
      <c r="G123" s="125" t="s">
        <v>6212</v>
      </c>
      <c r="H123" s="125" t="s">
        <v>6519</v>
      </c>
      <c r="I123" s="129">
        <v>2006</v>
      </c>
      <c r="J123" s="125" t="s">
        <v>6276</v>
      </c>
      <c r="K123" s="125"/>
    </row>
    <row r="124" spans="1:13">
      <c r="A124" s="314" t="s">
        <v>435</v>
      </c>
      <c r="B124" s="125" t="s">
        <v>33</v>
      </c>
      <c r="C124" s="125" t="s">
        <v>436</v>
      </c>
      <c r="D124" s="126">
        <v>3000000</v>
      </c>
      <c r="E124" s="127">
        <v>713.43638525564802</v>
      </c>
      <c r="F124" s="128">
        <v>4205</v>
      </c>
      <c r="G124" s="125" t="s">
        <v>26</v>
      </c>
      <c r="H124" s="125" t="s">
        <v>6466</v>
      </c>
      <c r="I124" s="129">
        <v>2007</v>
      </c>
      <c r="J124" s="125" t="s">
        <v>6276</v>
      </c>
      <c r="K124" s="125" t="s">
        <v>6318</v>
      </c>
      <c r="M124" s="363" t="s">
        <v>6558</v>
      </c>
    </row>
    <row r="125" spans="1:13">
      <c r="A125" s="59"/>
      <c r="B125" s="59"/>
      <c r="C125" s="59"/>
      <c r="D125" s="59"/>
      <c r="E125" s="59"/>
      <c r="F125" s="59"/>
      <c r="G125" s="59"/>
      <c r="H125" s="59"/>
      <c r="I125" s="59"/>
      <c r="J125" s="59"/>
      <c r="K125" s="59"/>
    </row>
    <row r="126" spans="1:13">
      <c r="A126" s="71" t="s">
        <v>6282</v>
      </c>
      <c r="B126" s="59"/>
      <c r="C126" s="59"/>
      <c r="D126" s="59"/>
      <c r="E126" s="59"/>
      <c r="F126" s="59"/>
      <c r="G126" s="59"/>
      <c r="H126" s="59"/>
      <c r="I126" s="59"/>
      <c r="J126" s="59"/>
      <c r="K126" s="59"/>
    </row>
    <row r="127" spans="1:13">
      <c r="A127" s="103" t="s">
        <v>6283</v>
      </c>
      <c r="B127" s="59"/>
      <c r="C127" s="59"/>
      <c r="D127" s="59"/>
      <c r="E127" s="59"/>
      <c r="F127" s="59"/>
      <c r="G127" s="59"/>
      <c r="H127" s="59"/>
      <c r="I127" s="59"/>
      <c r="J127" s="59"/>
      <c r="K127" s="59"/>
    </row>
    <row r="128" spans="1:13">
      <c r="A128" s="301" t="s">
        <v>6438</v>
      </c>
      <c r="B128" s="59"/>
      <c r="C128" s="59"/>
      <c r="D128" s="59"/>
      <c r="E128" s="59"/>
      <c r="F128" s="59"/>
      <c r="G128" s="59"/>
      <c r="H128" s="59"/>
      <c r="I128" s="59"/>
      <c r="J128" s="59"/>
      <c r="K128" s="59"/>
    </row>
    <row r="129" spans="1:11">
      <c r="A129" s="105" t="s">
        <v>6439</v>
      </c>
      <c r="B129" s="59"/>
      <c r="C129" s="59"/>
      <c r="D129" s="59"/>
      <c r="E129" s="59"/>
      <c r="F129" s="59"/>
      <c r="G129" s="59"/>
      <c r="H129" s="59"/>
      <c r="I129" s="59"/>
      <c r="J129" s="59"/>
      <c r="K129" s="59"/>
    </row>
    <row r="130" spans="1:11">
      <c r="A130" s="253" t="s">
        <v>6440</v>
      </c>
      <c r="B130" s="59"/>
      <c r="C130" s="59"/>
      <c r="D130" s="59"/>
      <c r="E130" s="59"/>
      <c r="F130" s="59"/>
      <c r="G130" s="59"/>
      <c r="H130" s="59"/>
      <c r="I130" s="59"/>
      <c r="J130" s="59"/>
      <c r="K130" s="59"/>
    </row>
    <row r="131" spans="1:11">
      <c r="A131" s="59"/>
      <c r="B131" s="59"/>
      <c r="C131" s="59"/>
      <c r="D131" s="59"/>
      <c r="E131" s="59"/>
      <c r="F131" s="59"/>
      <c r="G131" s="59"/>
      <c r="H131" s="59"/>
      <c r="I131" s="59"/>
      <c r="J131" s="59"/>
      <c r="K131" s="59"/>
    </row>
    <row r="132" spans="1:11">
      <c r="A132" s="59"/>
      <c r="B132" s="59"/>
      <c r="C132" s="59"/>
      <c r="D132" s="59"/>
      <c r="E132" s="59"/>
      <c r="F132" s="59"/>
      <c r="G132" s="59"/>
      <c r="H132" s="59"/>
      <c r="I132" s="59"/>
      <c r="J132" s="59"/>
      <c r="K132" s="59"/>
    </row>
    <row r="133" spans="1:11">
      <c r="A133" s="59"/>
      <c r="B133" s="59"/>
      <c r="C133" s="59"/>
      <c r="D133" s="59"/>
      <c r="E133" s="59"/>
      <c r="F133" s="59"/>
      <c r="G133" s="59"/>
      <c r="H133" s="59"/>
      <c r="I133" s="59"/>
      <c r="J133" s="59"/>
      <c r="K133" s="59"/>
    </row>
    <row r="134" spans="1:11">
      <c r="A134" s="59"/>
      <c r="B134" s="59"/>
      <c r="C134" s="59"/>
      <c r="D134" s="59"/>
      <c r="E134" s="59"/>
      <c r="F134" s="59"/>
      <c r="G134" s="59"/>
      <c r="H134" s="59"/>
      <c r="I134" s="59"/>
      <c r="J134" s="59"/>
      <c r="K134" s="59"/>
    </row>
    <row r="135" spans="1:11">
      <c r="A135" s="59"/>
      <c r="B135" s="59"/>
      <c r="C135" s="59"/>
      <c r="D135" s="59"/>
      <c r="E135" s="59"/>
      <c r="F135" s="59"/>
      <c r="G135" s="59"/>
      <c r="H135" s="59"/>
      <c r="I135" s="59"/>
      <c r="J135" s="59"/>
      <c r="K135" s="59"/>
    </row>
    <row r="136" spans="1:11">
      <c r="A136" s="59"/>
      <c r="B136" s="59"/>
      <c r="C136" s="59"/>
      <c r="D136" s="59"/>
      <c r="E136" s="59"/>
      <c r="F136" s="59"/>
      <c r="G136" s="59"/>
      <c r="H136" s="59"/>
      <c r="I136" s="59"/>
      <c r="J136" s="59"/>
      <c r="K136" s="59"/>
    </row>
    <row r="137" spans="1:11">
      <c r="A137" s="59"/>
      <c r="B137" s="59"/>
      <c r="C137" s="59"/>
      <c r="D137" s="59"/>
      <c r="E137" s="59"/>
      <c r="F137" s="59"/>
      <c r="G137" s="59"/>
      <c r="H137" s="59"/>
      <c r="I137" s="59"/>
      <c r="J137" s="59"/>
      <c r="K137" s="59"/>
    </row>
    <row r="138" spans="1:11">
      <c r="A138" s="59"/>
      <c r="B138" s="59"/>
      <c r="C138" s="59"/>
      <c r="D138" s="59"/>
      <c r="E138" s="59"/>
      <c r="F138" s="59"/>
      <c r="G138" s="59"/>
      <c r="H138" s="59"/>
      <c r="I138" s="59"/>
      <c r="J138" s="59"/>
      <c r="K138" s="59"/>
    </row>
    <row r="139" spans="1:11">
      <c r="A139" s="59"/>
      <c r="B139" s="59"/>
      <c r="C139" s="59"/>
      <c r="D139" s="59"/>
      <c r="E139" s="59"/>
      <c r="F139" s="59"/>
      <c r="G139" s="59"/>
      <c r="H139" s="59"/>
      <c r="I139" s="59"/>
      <c r="J139" s="59"/>
      <c r="K139" s="59"/>
    </row>
    <row r="140" spans="1:11">
      <c r="A140" s="59"/>
      <c r="B140" s="59"/>
      <c r="C140" s="59"/>
      <c r="D140" s="59"/>
      <c r="E140" s="59"/>
      <c r="F140" s="59"/>
      <c r="G140" s="59"/>
      <c r="H140" s="59"/>
      <c r="I140" s="59"/>
      <c r="J140" s="59"/>
      <c r="K140" s="59"/>
    </row>
    <row r="141" spans="1:11">
      <c r="A141" s="59"/>
      <c r="B141" s="59"/>
      <c r="C141" s="59"/>
      <c r="D141" s="59"/>
      <c r="E141" s="59"/>
      <c r="F141" s="59"/>
      <c r="G141" s="59"/>
      <c r="H141" s="59"/>
      <c r="I141" s="59"/>
      <c r="J141" s="59"/>
      <c r="K141" s="59"/>
    </row>
    <row r="142" spans="1:11">
      <c r="A142" s="59"/>
      <c r="B142" s="59"/>
      <c r="C142" s="59"/>
      <c r="D142" s="59"/>
      <c r="E142" s="59"/>
      <c r="F142" s="59"/>
      <c r="G142" s="59"/>
      <c r="H142" s="59"/>
      <c r="I142" s="59"/>
      <c r="J142" s="59"/>
      <c r="K142" s="59"/>
    </row>
    <row r="143" spans="1:11">
      <c r="A143" s="59"/>
      <c r="B143" s="59"/>
      <c r="C143" s="59"/>
      <c r="D143" s="59"/>
      <c r="E143" s="59"/>
      <c r="F143" s="59"/>
      <c r="G143" s="59"/>
      <c r="H143" s="59"/>
      <c r="I143" s="59"/>
      <c r="J143" s="59"/>
      <c r="K143" s="59"/>
    </row>
    <row r="144" spans="1:11">
      <c r="A144" s="59"/>
      <c r="B144" s="59"/>
      <c r="C144" s="59"/>
      <c r="D144" s="59"/>
      <c r="E144" s="59"/>
      <c r="F144" s="59"/>
      <c r="G144" s="59"/>
      <c r="H144" s="59"/>
      <c r="I144" s="59"/>
      <c r="J144" s="59"/>
      <c r="K144" s="59"/>
    </row>
    <row r="145" spans="1:11">
      <c r="A145" s="59"/>
      <c r="B145" s="59"/>
      <c r="C145" s="59"/>
      <c r="D145" s="59"/>
      <c r="E145" s="59"/>
      <c r="F145" s="59"/>
      <c r="G145" s="59"/>
      <c r="H145" s="59"/>
      <c r="I145" s="59"/>
      <c r="J145" s="59"/>
      <c r="K145" s="59"/>
    </row>
    <row r="146" spans="1:11">
      <c r="A146" s="59"/>
      <c r="B146" s="59"/>
      <c r="C146" s="59"/>
      <c r="D146" s="59"/>
      <c r="E146" s="59"/>
      <c r="F146" s="59"/>
      <c r="G146" s="59"/>
      <c r="H146" s="59"/>
      <c r="I146" s="59"/>
      <c r="J146" s="59"/>
      <c r="K146" s="59"/>
    </row>
    <row r="147" spans="1:11">
      <c r="A147" s="59"/>
      <c r="B147" s="59"/>
      <c r="C147" s="59"/>
      <c r="D147" s="59"/>
      <c r="E147" s="59"/>
      <c r="F147" s="59"/>
      <c r="G147" s="59"/>
      <c r="H147" s="59"/>
      <c r="I147" s="59"/>
      <c r="J147" s="59"/>
      <c r="K147" s="59"/>
    </row>
    <row r="148" spans="1:11">
      <c r="A148" s="59"/>
      <c r="B148" s="59"/>
      <c r="C148" s="59"/>
      <c r="D148" s="59"/>
      <c r="E148" s="59"/>
      <c r="F148" s="59"/>
      <c r="G148" s="59"/>
      <c r="H148" s="59"/>
      <c r="I148" s="59"/>
      <c r="J148" s="59"/>
      <c r="K148" s="59"/>
    </row>
    <row r="149" spans="1:11">
      <c r="A149" s="59"/>
      <c r="B149" s="59"/>
      <c r="C149" s="59"/>
      <c r="D149" s="59"/>
      <c r="E149" s="59"/>
      <c r="F149" s="59"/>
      <c r="G149" s="59"/>
      <c r="H149" s="59"/>
      <c r="I149" s="59"/>
      <c r="J149" s="59"/>
      <c r="K149" s="59"/>
    </row>
    <row r="150" spans="1:11">
      <c r="A150" s="59"/>
      <c r="B150" s="59"/>
      <c r="C150" s="59"/>
      <c r="D150" s="59"/>
      <c r="E150" s="59"/>
      <c r="F150" s="59"/>
      <c r="G150" s="59"/>
      <c r="H150" s="59"/>
      <c r="I150" s="59"/>
      <c r="J150" s="59"/>
      <c r="K150" s="59"/>
    </row>
    <row r="151" spans="1:11">
      <c r="A151" s="59"/>
      <c r="B151" s="59"/>
      <c r="C151" s="59"/>
      <c r="D151" s="59"/>
      <c r="E151" s="59"/>
      <c r="F151" s="59"/>
      <c r="G151" s="59"/>
      <c r="H151" s="59"/>
      <c r="I151" s="59"/>
      <c r="J151" s="59"/>
      <c r="K151" s="59"/>
    </row>
    <row r="152" spans="1:11">
      <c r="A152" s="59"/>
      <c r="B152" s="59"/>
      <c r="C152" s="59"/>
      <c r="D152" s="59"/>
      <c r="E152" s="59"/>
      <c r="F152" s="59"/>
      <c r="G152" s="59"/>
      <c r="H152" s="59"/>
      <c r="I152" s="59"/>
      <c r="J152" s="59"/>
      <c r="K152" s="59"/>
    </row>
    <row r="153" spans="1:11">
      <c r="A153" s="59"/>
      <c r="B153" s="59"/>
      <c r="C153" s="59"/>
      <c r="D153" s="59"/>
      <c r="E153" s="59"/>
      <c r="F153" s="59"/>
      <c r="G153" s="59"/>
      <c r="H153" s="59"/>
      <c r="I153" s="59"/>
      <c r="J153" s="59"/>
      <c r="K153" s="59"/>
    </row>
    <row r="154" spans="1:11">
      <c r="A154" s="59"/>
      <c r="B154" s="59"/>
      <c r="C154" s="59"/>
      <c r="D154" s="59"/>
      <c r="E154" s="59"/>
      <c r="F154" s="59"/>
      <c r="G154" s="59"/>
      <c r="H154" s="59"/>
      <c r="I154" s="59"/>
      <c r="J154" s="59"/>
      <c r="K154" s="59"/>
    </row>
    <row r="155" spans="1:11">
      <c r="A155" s="59"/>
      <c r="B155" s="59"/>
      <c r="C155" s="59"/>
      <c r="D155" s="59"/>
      <c r="E155" s="59"/>
      <c r="F155" s="59"/>
      <c r="G155" s="59"/>
      <c r="H155" s="59"/>
      <c r="I155" s="59"/>
      <c r="J155" s="59"/>
      <c r="K155" s="59"/>
    </row>
    <row r="156" spans="1:11">
      <c r="A156" s="59"/>
      <c r="B156" s="59"/>
      <c r="C156" s="59"/>
      <c r="D156" s="59"/>
      <c r="E156" s="59"/>
      <c r="F156" s="59"/>
      <c r="G156" s="59"/>
      <c r="H156" s="59"/>
      <c r="I156" s="59"/>
      <c r="J156" s="59"/>
      <c r="K156" s="59"/>
    </row>
    <row r="157" spans="1:11">
      <c r="A157" s="59"/>
      <c r="B157" s="59"/>
      <c r="C157" s="59"/>
      <c r="D157" s="59"/>
      <c r="E157" s="59"/>
      <c r="F157" s="59"/>
      <c r="G157" s="59"/>
      <c r="H157" s="59"/>
      <c r="I157" s="59"/>
      <c r="J157" s="59"/>
      <c r="K157" s="59"/>
    </row>
    <row r="158" spans="1:11">
      <c r="A158" s="59"/>
      <c r="B158" s="59"/>
      <c r="C158" s="59"/>
      <c r="D158" s="59"/>
      <c r="E158" s="59"/>
      <c r="F158" s="59"/>
      <c r="G158" s="59"/>
      <c r="H158" s="59"/>
      <c r="I158" s="59"/>
      <c r="J158" s="59"/>
      <c r="K158" s="59"/>
    </row>
    <row r="159" spans="1:11">
      <c r="A159" s="59"/>
      <c r="B159" s="59"/>
      <c r="C159" s="59"/>
      <c r="D159" s="59"/>
      <c r="E159" s="59"/>
      <c r="F159" s="59"/>
      <c r="G159" s="59"/>
      <c r="H159" s="59"/>
      <c r="I159" s="59"/>
      <c r="J159" s="59"/>
      <c r="K159" s="59"/>
    </row>
    <row r="160" spans="1:11">
      <c r="A160" s="59"/>
      <c r="B160" s="59"/>
      <c r="C160" s="59"/>
      <c r="D160" s="59"/>
      <c r="E160" s="59"/>
      <c r="F160" s="59"/>
      <c r="G160" s="59"/>
      <c r="H160" s="59"/>
      <c r="I160" s="59"/>
      <c r="J160" s="59"/>
      <c r="K160" s="59"/>
    </row>
    <row r="161" spans="1:11">
      <c r="A161" s="59"/>
      <c r="B161" s="59"/>
      <c r="C161" s="59"/>
      <c r="D161" s="59"/>
      <c r="E161" s="59"/>
      <c r="F161" s="59"/>
      <c r="G161" s="59"/>
      <c r="H161" s="59"/>
      <c r="I161" s="59"/>
      <c r="J161" s="59"/>
      <c r="K161" s="59"/>
    </row>
    <row r="162" spans="1:11">
      <c r="A162" s="59"/>
      <c r="B162" s="59"/>
      <c r="C162" s="59"/>
      <c r="D162" s="59"/>
      <c r="E162" s="59"/>
      <c r="F162" s="59"/>
      <c r="G162" s="59"/>
      <c r="H162" s="59"/>
      <c r="I162" s="59"/>
      <c r="J162" s="59"/>
      <c r="K162" s="59"/>
    </row>
    <row r="163" spans="1:11">
      <c r="A163" s="59"/>
      <c r="B163" s="59"/>
      <c r="C163" s="59"/>
      <c r="D163" s="59"/>
      <c r="E163" s="59"/>
      <c r="F163" s="59"/>
      <c r="G163" s="59"/>
      <c r="H163" s="59"/>
      <c r="I163" s="59"/>
      <c r="J163" s="59"/>
      <c r="K163" s="59"/>
    </row>
    <row r="164" spans="1:11">
      <c r="A164" s="59"/>
      <c r="B164" s="59"/>
      <c r="C164" s="59"/>
      <c r="D164" s="59"/>
      <c r="E164" s="59"/>
      <c r="F164" s="59"/>
      <c r="G164" s="59"/>
      <c r="H164" s="59"/>
      <c r="I164" s="59"/>
      <c r="J164" s="59"/>
      <c r="K164" s="59"/>
    </row>
    <row r="165" spans="1:11">
      <c r="A165" s="59"/>
      <c r="B165" s="59"/>
      <c r="C165" s="59"/>
      <c r="D165" s="59"/>
      <c r="E165" s="59"/>
      <c r="F165" s="59"/>
      <c r="G165" s="59"/>
      <c r="H165" s="59"/>
      <c r="I165" s="59"/>
      <c r="J165" s="59"/>
      <c r="K165" s="59"/>
    </row>
    <row r="166" spans="1:11">
      <c r="A166" s="59"/>
      <c r="B166" s="59"/>
      <c r="C166" s="59"/>
      <c r="D166" s="59"/>
      <c r="E166" s="59"/>
      <c r="F166" s="59"/>
      <c r="G166" s="59"/>
      <c r="H166" s="59"/>
      <c r="I166" s="59"/>
      <c r="J166" s="59"/>
      <c r="K166" s="59"/>
    </row>
    <row r="167" spans="1:11">
      <c r="A167" s="59"/>
      <c r="B167" s="59"/>
      <c r="C167" s="59"/>
      <c r="D167" s="59"/>
      <c r="E167" s="59"/>
      <c r="F167" s="59"/>
      <c r="G167" s="59"/>
      <c r="H167" s="59"/>
      <c r="I167" s="59"/>
      <c r="J167" s="59"/>
      <c r="K167" s="59"/>
    </row>
    <row r="168" spans="1:11">
      <c r="A168" s="59"/>
      <c r="B168" s="59"/>
      <c r="C168" s="59"/>
      <c r="D168" s="59"/>
      <c r="E168" s="59"/>
      <c r="F168" s="59"/>
      <c r="G168" s="59"/>
      <c r="H168" s="59"/>
      <c r="I168" s="59"/>
      <c r="J168" s="59"/>
      <c r="K168" s="59"/>
    </row>
    <row r="169" spans="1:11">
      <c r="A169" s="59"/>
      <c r="B169" s="59"/>
      <c r="C169" s="59"/>
      <c r="D169" s="59"/>
      <c r="E169" s="59"/>
      <c r="F169" s="59"/>
      <c r="G169" s="59"/>
      <c r="H169" s="59"/>
      <c r="I169" s="59"/>
      <c r="J169" s="59"/>
      <c r="K169" s="59"/>
    </row>
    <row r="170" spans="1:11">
      <c r="A170" s="59"/>
      <c r="B170" s="59"/>
      <c r="C170" s="59"/>
      <c r="D170" s="59"/>
      <c r="E170" s="59"/>
      <c r="F170" s="59"/>
      <c r="G170" s="59"/>
      <c r="H170" s="59"/>
      <c r="I170" s="59"/>
      <c r="J170" s="59"/>
      <c r="K170" s="59"/>
    </row>
    <row r="171" spans="1:11">
      <c r="A171" s="59"/>
      <c r="B171" s="59"/>
      <c r="C171" s="59"/>
      <c r="D171" s="59"/>
      <c r="E171" s="59"/>
      <c r="F171" s="59"/>
      <c r="G171" s="59"/>
      <c r="H171" s="59"/>
      <c r="I171" s="59"/>
      <c r="J171" s="59"/>
      <c r="K171" s="59"/>
    </row>
    <row r="172" spans="1:11">
      <c r="A172" s="59"/>
      <c r="B172" s="59"/>
      <c r="C172" s="59"/>
      <c r="D172" s="59"/>
      <c r="E172" s="59"/>
      <c r="F172" s="59"/>
      <c r="G172" s="59"/>
      <c r="H172" s="59"/>
      <c r="I172" s="59"/>
      <c r="J172" s="59"/>
      <c r="K172" s="59"/>
    </row>
    <row r="173" spans="1:11">
      <c r="A173" s="59"/>
      <c r="B173" s="59"/>
      <c r="C173" s="59"/>
      <c r="D173" s="59"/>
      <c r="E173" s="59"/>
      <c r="F173" s="59"/>
      <c r="G173" s="59"/>
      <c r="H173" s="59"/>
      <c r="I173" s="59"/>
      <c r="J173" s="59"/>
      <c r="K173" s="59"/>
    </row>
    <row r="174" spans="1:11">
      <c r="A174" s="59"/>
      <c r="B174" s="59"/>
      <c r="C174" s="59"/>
      <c r="D174" s="59"/>
      <c r="E174" s="59"/>
      <c r="F174" s="59"/>
      <c r="G174" s="59"/>
      <c r="H174" s="59"/>
      <c r="I174" s="59"/>
      <c r="J174" s="59"/>
      <c r="K174" s="59"/>
    </row>
    <row r="175" spans="1:11">
      <c r="A175" s="59"/>
      <c r="B175" s="59"/>
      <c r="C175" s="59"/>
      <c r="D175" s="59"/>
      <c r="E175" s="59"/>
      <c r="F175" s="59"/>
      <c r="G175" s="59"/>
      <c r="H175" s="59"/>
      <c r="I175" s="59"/>
      <c r="J175" s="59"/>
      <c r="K175" s="59"/>
    </row>
    <row r="176" spans="1:11">
      <c r="A176" s="59"/>
      <c r="B176" s="59"/>
      <c r="C176" s="59"/>
      <c r="D176" s="59"/>
      <c r="E176" s="59"/>
      <c r="F176" s="59"/>
      <c r="G176" s="59"/>
      <c r="H176" s="59"/>
      <c r="I176" s="59"/>
      <c r="J176" s="59"/>
      <c r="K176" s="59"/>
    </row>
    <row r="177" spans="1:11">
      <c r="A177" s="59"/>
      <c r="B177" s="59"/>
      <c r="C177" s="59"/>
      <c r="D177" s="59"/>
      <c r="E177" s="59"/>
      <c r="F177" s="59"/>
      <c r="G177" s="59"/>
      <c r="H177" s="59"/>
      <c r="I177" s="59"/>
      <c r="J177" s="59"/>
      <c r="K177" s="59"/>
    </row>
    <row r="178" spans="1:11">
      <c r="A178" s="59"/>
      <c r="B178" s="59"/>
      <c r="C178" s="59"/>
      <c r="D178" s="59"/>
      <c r="E178" s="59"/>
      <c r="F178" s="59"/>
      <c r="G178" s="59"/>
      <c r="H178" s="59"/>
      <c r="I178" s="59"/>
      <c r="J178" s="59"/>
      <c r="K178" s="59"/>
    </row>
    <row r="179" spans="1:11">
      <c r="A179" s="59"/>
      <c r="B179" s="59"/>
      <c r="C179" s="59"/>
      <c r="D179" s="59"/>
      <c r="E179" s="59"/>
      <c r="F179" s="59"/>
      <c r="G179" s="59"/>
      <c r="H179" s="59"/>
      <c r="I179" s="59"/>
      <c r="J179" s="59"/>
      <c r="K179" s="59"/>
    </row>
    <row r="180" spans="1:11">
      <c r="A180" s="59"/>
      <c r="B180" s="59"/>
      <c r="C180" s="59"/>
      <c r="D180" s="59"/>
      <c r="E180" s="59"/>
      <c r="F180" s="59"/>
      <c r="G180" s="59"/>
      <c r="H180" s="59"/>
      <c r="I180" s="59"/>
      <c r="J180" s="59"/>
      <c r="K180" s="59"/>
    </row>
    <row r="181" spans="1:11">
      <c r="A181" s="59"/>
      <c r="B181" s="59"/>
      <c r="C181" s="59"/>
      <c r="D181" s="59"/>
      <c r="E181" s="59"/>
      <c r="F181" s="59"/>
      <c r="G181" s="59"/>
      <c r="H181" s="59"/>
      <c r="I181" s="59"/>
      <c r="J181" s="59"/>
      <c r="K181" s="59"/>
    </row>
    <row r="182" spans="1:11">
      <c r="A182" s="59"/>
      <c r="B182" s="59"/>
      <c r="C182" s="59"/>
      <c r="D182" s="59"/>
      <c r="E182" s="59"/>
      <c r="F182" s="59"/>
      <c r="G182" s="59"/>
      <c r="H182" s="59"/>
      <c r="I182" s="59"/>
      <c r="J182" s="59"/>
      <c r="K182" s="59"/>
    </row>
    <row r="183" spans="1:11">
      <c r="A183" s="59"/>
      <c r="B183" s="59"/>
      <c r="C183" s="59"/>
      <c r="D183" s="59"/>
      <c r="E183" s="59"/>
      <c r="F183" s="59"/>
      <c r="G183" s="59"/>
      <c r="H183" s="59"/>
      <c r="I183" s="59"/>
      <c r="J183" s="59"/>
      <c r="K183" s="59"/>
    </row>
    <row r="184" spans="1:11">
      <c r="A184" s="59"/>
      <c r="B184" s="59"/>
      <c r="C184" s="59"/>
      <c r="D184" s="59"/>
      <c r="E184" s="59"/>
      <c r="F184" s="59"/>
      <c r="G184" s="59"/>
      <c r="H184" s="59"/>
      <c r="I184" s="59"/>
      <c r="J184" s="59"/>
      <c r="K184" s="59"/>
    </row>
    <row r="185" spans="1:11">
      <c r="A185" s="59"/>
      <c r="B185" s="59"/>
      <c r="C185" s="59"/>
      <c r="D185" s="59"/>
      <c r="E185" s="59"/>
      <c r="F185" s="59"/>
      <c r="G185" s="59"/>
      <c r="H185" s="59"/>
      <c r="I185" s="59"/>
      <c r="J185" s="59"/>
      <c r="K185" s="59"/>
    </row>
    <row r="186" spans="1:11">
      <c r="A186" s="59"/>
      <c r="B186" s="59"/>
      <c r="C186" s="59"/>
      <c r="D186" s="59"/>
      <c r="E186" s="59"/>
      <c r="F186" s="59"/>
      <c r="G186" s="59"/>
      <c r="H186" s="59"/>
      <c r="I186" s="59"/>
      <c r="J186" s="59"/>
      <c r="K186" s="59"/>
    </row>
    <row r="187" spans="1:11">
      <c r="A187" s="59"/>
      <c r="B187" s="59"/>
      <c r="C187" s="59"/>
      <c r="D187" s="59"/>
      <c r="E187" s="59"/>
      <c r="F187" s="59"/>
      <c r="G187" s="59"/>
      <c r="H187" s="59"/>
      <c r="I187" s="59"/>
      <c r="J187" s="59"/>
      <c r="K187" s="59"/>
    </row>
    <row r="188" spans="1:11">
      <c r="A188" s="59"/>
      <c r="B188" s="59"/>
      <c r="C188" s="59"/>
      <c r="D188" s="59"/>
      <c r="E188" s="59"/>
      <c r="F188" s="59"/>
      <c r="G188" s="59"/>
      <c r="H188" s="59"/>
      <c r="I188" s="59"/>
      <c r="J188" s="59"/>
      <c r="K188" s="59"/>
    </row>
    <row r="189" spans="1:11">
      <c r="A189" s="59"/>
      <c r="B189" s="59"/>
      <c r="C189" s="59"/>
      <c r="D189" s="59"/>
      <c r="E189" s="59"/>
      <c r="F189" s="59"/>
      <c r="G189" s="59"/>
      <c r="H189" s="59"/>
      <c r="I189" s="59"/>
      <c r="J189" s="59"/>
      <c r="K189" s="59"/>
    </row>
    <row r="190" spans="1:11">
      <c r="A190" s="59"/>
      <c r="B190" s="59"/>
      <c r="C190" s="59"/>
      <c r="D190" s="59"/>
      <c r="E190" s="59"/>
      <c r="F190" s="59"/>
      <c r="G190" s="59"/>
      <c r="H190" s="59"/>
      <c r="I190" s="59"/>
      <c r="J190" s="59"/>
      <c r="K190" s="59"/>
    </row>
    <row r="191" spans="1:11">
      <c r="A191" s="59"/>
      <c r="B191" s="59"/>
      <c r="C191" s="59"/>
      <c r="D191" s="59"/>
      <c r="E191" s="59"/>
      <c r="F191" s="59"/>
      <c r="G191" s="59"/>
      <c r="H191" s="59"/>
      <c r="I191" s="59"/>
      <c r="J191" s="59"/>
      <c r="K191" s="59"/>
    </row>
    <row r="192" spans="1:11">
      <c r="A192" s="59"/>
      <c r="B192" s="59"/>
      <c r="C192" s="59"/>
      <c r="D192" s="59"/>
      <c r="E192" s="59"/>
      <c r="F192" s="59"/>
      <c r="G192" s="59"/>
      <c r="H192" s="59"/>
      <c r="I192" s="59"/>
      <c r="J192" s="59"/>
      <c r="K192" s="59"/>
    </row>
    <row r="193" spans="1:11">
      <c r="A193" s="59"/>
      <c r="B193" s="59"/>
      <c r="C193" s="59"/>
      <c r="D193" s="59"/>
      <c r="E193" s="59"/>
      <c r="F193" s="59"/>
      <c r="G193" s="59"/>
      <c r="H193" s="59"/>
      <c r="I193" s="59"/>
      <c r="J193" s="59"/>
      <c r="K193" s="59"/>
    </row>
    <row r="194" spans="1:11">
      <c r="A194" s="59"/>
      <c r="B194" s="59"/>
      <c r="C194" s="59"/>
      <c r="D194" s="59"/>
      <c r="E194" s="59"/>
      <c r="F194" s="59"/>
      <c r="G194" s="59"/>
      <c r="H194" s="59"/>
      <c r="I194" s="59"/>
      <c r="J194" s="59"/>
      <c r="K194" s="59"/>
    </row>
    <row r="195" spans="1:11">
      <c r="A195" s="59"/>
      <c r="B195" s="59"/>
      <c r="C195" s="59"/>
      <c r="D195" s="59"/>
      <c r="E195" s="59"/>
      <c r="F195" s="59"/>
      <c r="G195" s="59"/>
      <c r="H195" s="59"/>
      <c r="I195" s="59"/>
      <c r="J195" s="59"/>
      <c r="K195" s="59"/>
    </row>
    <row r="196" spans="1:11">
      <c r="A196" s="59"/>
      <c r="B196" s="59"/>
      <c r="C196" s="59"/>
      <c r="D196" s="59"/>
      <c r="E196" s="59"/>
      <c r="F196" s="59"/>
      <c r="G196" s="59"/>
      <c r="H196" s="59"/>
      <c r="I196" s="59"/>
      <c r="J196" s="59"/>
      <c r="K196" s="59"/>
    </row>
    <row r="197" spans="1:11">
      <c r="A197" s="59"/>
      <c r="B197" s="59"/>
      <c r="C197" s="59"/>
      <c r="D197" s="59"/>
      <c r="E197" s="59"/>
      <c r="F197" s="59"/>
      <c r="G197" s="59"/>
      <c r="H197" s="59"/>
      <c r="I197" s="59"/>
      <c r="J197" s="59"/>
      <c r="K197" s="59"/>
    </row>
    <row r="198" spans="1:11">
      <c r="A198" s="59"/>
      <c r="B198" s="59"/>
      <c r="C198" s="59"/>
      <c r="D198" s="59"/>
      <c r="E198" s="59"/>
      <c r="F198" s="59"/>
      <c r="G198" s="59"/>
      <c r="H198" s="59"/>
      <c r="I198" s="59"/>
      <c r="J198" s="59"/>
      <c r="K198" s="59"/>
    </row>
    <row r="199" spans="1:11">
      <c r="A199" s="59"/>
      <c r="B199" s="59"/>
      <c r="C199" s="59"/>
      <c r="D199" s="59"/>
      <c r="E199" s="59"/>
      <c r="F199" s="59"/>
      <c r="G199" s="59"/>
      <c r="H199" s="59"/>
      <c r="I199" s="59"/>
      <c r="J199" s="59"/>
      <c r="K199" s="59"/>
    </row>
    <row r="200" spans="1:11">
      <c r="A200" s="59"/>
      <c r="B200" s="59"/>
      <c r="C200" s="59"/>
      <c r="D200" s="59"/>
      <c r="E200" s="59"/>
      <c r="F200" s="59"/>
      <c r="G200" s="59"/>
      <c r="H200" s="59"/>
      <c r="I200" s="59"/>
      <c r="J200" s="59"/>
      <c r="K200" s="59"/>
    </row>
  </sheetData>
  <autoFilter ref="A96:M96" xr:uid="{B733D78F-0E19-BC47-841E-CCCCF112A0CB}">
    <sortState xmlns:xlrd2="http://schemas.microsoft.com/office/spreadsheetml/2017/richdata2" ref="A97:M124">
      <sortCondition ref="E96:E124"/>
    </sortState>
  </autoFilter>
  <conditionalFormatting sqref="A97:K123 M100">
    <cfRule type="expression" dxfId="23" priority="9" stopIfTrue="1">
      <formula>$K97="Yes"</formula>
    </cfRule>
    <cfRule type="expression" dxfId="22" priority="10">
      <formula>AND($F97&lt;6000,$F97&gt;0,$K97&lt;&gt;"Yes")</formula>
    </cfRule>
    <cfRule type="expression" dxfId="21" priority="11">
      <formula>AND($F97&gt;=6000,$F97&lt;10000,$K97&lt;&gt;"Yes")</formula>
    </cfRule>
    <cfRule type="expression" dxfId="20" priority="12">
      <formula>AND($F97&gt;=10000,$K97&lt;&gt;"Yes")</formula>
    </cfRule>
  </conditionalFormatting>
  <conditionalFormatting sqref="A97:K124 L100:M100 M124">
    <cfRule type="expression" dxfId="19" priority="1">
      <formula>AND($F97&lt;6000,$F97&gt;0)</formula>
    </cfRule>
    <cfRule type="expression" dxfId="18" priority="2">
      <formula>AND($F97&gt;=6000,$F97&lt;10000)</formula>
    </cfRule>
    <cfRule type="expression" dxfId="17" priority="3">
      <formula>$F97&gt;=10000</formula>
    </cfRule>
    <cfRule type="expression" dxfId="16" priority="4">
      <formula>$K97="Yes"</formula>
    </cfRule>
  </conditionalFormatting>
  <conditionalFormatting sqref="B13:B16">
    <cfRule type="dataBar" priority="7">
      <dataBar>
        <cfvo type="min"/>
        <cfvo type="max"/>
        <color rgb="FF4D93D9"/>
      </dataBar>
      <extLst>
        <ext xmlns:x14="http://schemas.microsoft.com/office/spreadsheetml/2009/9/main" uri="{B025F937-C7B1-47D3-B67F-A62EFF666E3E}">
          <x14:id>{F483A170-BFCF-0D41-B070-D26BB17608AE}</x14:id>
        </ext>
      </extLst>
    </cfRule>
  </conditionalFormatting>
  <conditionalFormatting sqref="D97:D123">
    <cfRule type="dataBar" priority="14">
      <dataBar>
        <cfvo type="min"/>
        <cfvo type="max"/>
        <color rgb="FF215C98"/>
      </dataBar>
      <extLst>
        <ext xmlns:x14="http://schemas.microsoft.com/office/spreadsheetml/2009/9/main" uri="{B025F937-C7B1-47D3-B67F-A62EFF666E3E}">
          <x14:id>{3ED3DC2E-DC24-4040-B5D9-67C38615D7AB}</x14:id>
        </ext>
      </extLst>
    </cfRule>
  </conditionalFormatting>
  <conditionalFormatting sqref="D97:D124">
    <cfRule type="dataBar" priority="5">
      <dataBar>
        <cfvo type="min"/>
        <cfvo type="max"/>
        <color rgb="FF215C98"/>
      </dataBar>
      <extLst>
        <ext xmlns:x14="http://schemas.microsoft.com/office/spreadsheetml/2009/9/main" uri="{B025F937-C7B1-47D3-B67F-A62EFF666E3E}">
          <x14:id>{67081EF1-585F-1B49-9BFF-AD6F7E4311A9}</x14:id>
        </ext>
      </extLst>
    </cfRule>
  </conditionalFormatting>
  <conditionalFormatting sqref="E97:E123">
    <cfRule type="colorScale" priority="13">
      <colorScale>
        <cfvo type="min"/>
        <cfvo type="percentile" val="50"/>
        <cfvo type="max"/>
        <color rgb="FFE8F5E9"/>
        <color rgb="FFFFF9C4"/>
        <color rgb="FFFFCDD2"/>
      </colorScale>
    </cfRule>
  </conditionalFormatting>
  <conditionalFormatting sqref="E97:E124">
    <cfRule type="colorScale" priority="6">
      <colorScale>
        <cfvo type="min"/>
        <cfvo type="percentile" val="50"/>
        <cfvo type="max"/>
        <color rgb="FFE8F5E9"/>
        <color rgb="FFFFF9C4"/>
        <color rgb="FFFFCDD2"/>
      </colorScale>
    </cfRule>
  </conditionalFormatting>
  <conditionalFormatting sqref="G13:G16">
    <cfRule type="colorScale" priority="8">
      <colorScale>
        <cfvo type="min"/>
        <cfvo type="percentile" val="50"/>
        <cfvo type="max"/>
        <color rgb="FF4CAF50"/>
        <color rgb="FFFFF9C4"/>
        <color rgb="FFE53935"/>
      </colorScale>
    </cfRule>
  </conditionalFormatting>
  <hyperlinks>
    <hyperlink ref="M124" r:id="rId1" xr:uid="{C28B888E-887A-E642-A568-F3FAA2266944}"/>
    <hyperlink ref="M100" r:id="rId2" xr:uid="{315988FF-D99A-614C-A403-4E038A622BEC}"/>
  </hyperlinks>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F483A170-BFCF-0D41-B070-D26BB17608AE}">
            <x14:dataBar minLength="0" maxLength="100" direction="leftToRight" negativeBarColorSameAsPositive="1" axisPosition="none">
              <x14:cfvo type="min"/>
              <x14:cfvo type="max"/>
            </x14:dataBar>
          </x14:cfRule>
          <xm:sqref>B13:B16</xm:sqref>
        </x14:conditionalFormatting>
        <x14:conditionalFormatting xmlns:xm="http://schemas.microsoft.com/office/excel/2006/main">
          <x14:cfRule type="dataBar" id="{3ED3DC2E-DC24-4040-B5D9-67C38615D7AB}">
            <x14:dataBar minLength="0" maxLength="100" direction="leftToRight" negativeBarColorSameAsPositive="1" axisPosition="none">
              <x14:cfvo type="min"/>
              <x14:cfvo type="max"/>
            </x14:dataBar>
          </x14:cfRule>
          <xm:sqref>D97:D123</xm:sqref>
        </x14:conditionalFormatting>
        <x14:conditionalFormatting xmlns:xm="http://schemas.microsoft.com/office/excel/2006/main">
          <x14:cfRule type="dataBar" id="{67081EF1-585F-1B49-9BFF-AD6F7E4311A9}">
            <x14:dataBar minLength="0" maxLength="100" direction="leftToRight" negativeBarColorSameAsPositive="1" axisPosition="none">
              <x14:cfvo type="min"/>
              <x14:cfvo type="max"/>
            </x14:dataBar>
          </x14:cfRule>
          <xm:sqref>D97:D124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914A6-7399-4545-A99B-4E7F3BC3487B}">
  <dimension ref="A1:O200"/>
  <sheetViews>
    <sheetView zoomScale="118" workbookViewId="0">
      <pane ySplit="2" topLeftCell="A91" activePane="bottomLeft" state="frozen"/>
      <selection pane="bottomLeft" activeCell="M106" sqref="M106"/>
    </sheetView>
  </sheetViews>
  <sheetFormatPr baseColWidth="10" defaultRowHeight="16" outlineLevelCol="1"/>
  <cols>
    <col min="1" max="1" width="46.6640625" customWidth="1"/>
    <col min="2" max="11" width="18.33203125" customWidth="1"/>
    <col min="13" max="15" width="10.83203125" outlineLevel="1"/>
  </cols>
  <sheetData>
    <row r="1" spans="1:15" ht="24">
      <c r="A1" s="53" t="s">
        <v>6468</v>
      </c>
      <c r="B1" s="53"/>
      <c r="C1" s="53"/>
      <c r="D1" s="53"/>
      <c r="E1" s="53"/>
      <c r="F1" s="53"/>
      <c r="G1" s="53"/>
      <c r="H1" s="53"/>
      <c r="I1" s="53"/>
      <c r="J1" s="53"/>
      <c r="K1" s="53"/>
      <c r="L1" s="59"/>
      <c r="M1" s="59"/>
      <c r="N1" s="59"/>
      <c r="O1" s="59"/>
    </row>
    <row r="2" spans="1:15">
      <c r="A2" s="54" t="s">
        <v>6469</v>
      </c>
      <c r="B2" s="59"/>
      <c r="C2" s="59"/>
      <c r="D2" s="59"/>
      <c r="E2" s="59"/>
      <c r="F2" s="59"/>
      <c r="G2" s="59"/>
      <c r="H2" s="59"/>
      <c r="I2" s="59"/>
      <c r="J2" s="59"/>
      <c r="K2" s="59"/>
      <c r="L2" s="59"/>
      <c r="M2" s="59"/>
      <c r="N2" s="59"/>
      <c r="O2" s="59"/>
    </row>
    <row r="3" spans="1:15">
      <c r="A3" s="59"/>
      <c r="B3" s="59"/>
      <c r="C3" s="59"/>
      <c r="D3" s="59"/>
      <c r="E3" s="59"/>
      <c r="F3" s="59"/>
      <c r="G3" s="59"/>
      <c r="H3" s="59"/>
      <c r="I3" s="59"/>
      <c r="J3" s="59"/>
      <c r="K3" s="59"/>
      <c r="L3" s="59"/>
      <c r="M3" s="59"/>
      <c r="N3" s="59"/>
      <c r="O3" s="59"/>
    </row>
    <row r="4" spans="1:15" ht="19">
      <c r="A4" s="55" t="s">
        <v>6470</v>
      </c>
      <c r="B4" s="55"/>
      <c r="C4" s="55"/>
      <c r="D4" s="55"/>
      <c r="E4" s="55"/>
      <c r="F4" s="55"/>
      <c r="G4" s="55"/>
      <c r="H4" s="55"/>
      <c r="I4" s="55"/>
      <c r="J4" s="55"/>
      <c r="K4" s="55"/>
      <c r="L4" s="59"/>
      <c r="M4" s="71" t="s">
        <v>6214</v>
      </c>
      <c r="N4" s="71" t="s">
        <v>6215</v>
      </c>
      <c r="O4" s="59"/>
    </row>
    <row r="5" spans="1:15">
      <c r="A5" s="305" t="s">
        <v>6214</v>
      </c>
      <c r="B5" s="305" t="s">
        <v>6215</v>
      </c>
      <c r="C5" s="305" t="s">
        <v>6216</v>
      </c>
      <c r="D5" s="305" t="s">
        <v>6217</v>
      </c>
      <c r="E5" s="305" t="s">
        <v>6218</v>
      </c>
      <c r="F5" s="305" t="s">
        <v>6219</v>
      </c>
      <c r="G5" s="305" t="s">
        <v>6220</v>
      </c>
      <c r="H5" s="305" t="s">
        <v>6221</v>
      </c>
      <c r="I5" s="305" t="s">
        <v>6230</v>
      </c>
      <c r="J5" s="305" t="s">
        <v>6231</v>
      </c>
      <c r="K5" s="59"/>
      <c r="L5" s="59"/>
      <c r="M5" s="99" t="s">
        <v>26</v>
      </c>
      <c r="N5" s="99">
        <f>B6</f>
        <v>1</v>
      </c>
      <c r="O5" s="59"/>
    </row>
    <row r="6" spans="1:15">
      <c r="A6" s="309" t="s">
        <v>26</v>
      </c>
      <c r="B6" s="117" cm="1">
        <f t="array" ref="B6">SUMPRODUCT(('Medical Sales'!N3:N196="Medical")*(LEFT('Medical Sales'!D3:D196,4)="2024")*('Medical Sales'!U3:U196&lt;&gt;"Yes"))</f>
        <v>1</v>
      </c>
      <c r="C6" s="118" cm="1">
        <f t="array" ref="C6">SUMPRODUCT(('Medical Sales'!N3:N196="Medical")*(LEFT('Medical Sales'!D3:D196,4)="2024")*('Medical Sales'!U3:U196&lt;&gt;"Yes")*('Medical Sales'!E3:E196))</f>
        <v>4225000</v>
      </c>
      <c r="D6" s="118">
        <f>IF(B6=0,"-",C6/B6)</f>
        <v>4225000</v>
      </c>
      <c r="E6" s="118" cm="1">
        <f t="array" ref="E6">IFERROR(MEDIAN(IF(('Medical Sales'!N3:N196="Medical")*(LEFT('Medical Sales'!D3:D196,4)="2024")*('Medical Sales'!U3:U196&lt;&gt;"Yes"),'Medical Sales'!E3:E196)),"-")</f>
        <v>4225000</v>
      </c>
      <c r="F6" s="119" cm="1">
        <f t="array" ref="F6">IF(B6=0,"-",SUMPRODUCT(('Medical Sales'!N3:N196="Medical")*(LEFT('Medical Sales'!D3:D196,4)="2024")*('Medical Sales'!U3:U196&lt;&gt;"Yes")*('Medical Sales'!F3:F196))/B6)</f>
        <v>479.56867196367762</v>
      </c>
      <c r="G6" s="119" cm="1">
        <f t="array" ref="G6">IFERROR(MEDIAN(IF(('Medical Sales'!N3:N196="Medical")*(LEFT('Medical Sales'!D3:D196,4)="2024")*('Medical Sales'!U3:U196&lt;&gt;"Yes"),'Medical Sales'!F3:F196)),"-")</f>
        <v>479.56867196367762</v>
      </c>
      <c r="H6" s="117" cm="1">
        <f t="array" ref="H6">IF(B6=0,"-",SUMPRODUCT(('Medical Sales'!N3:N196="Medical")*(LEFT('Medical Sales'!D3:D196,4)="2024")*('Medical Sales'!U3:U196&lt;&gt;"Yes")*('Medical Sales'!G3:G196))/B6)</f>
        <v>8810</v>
      </c>
      <c r="I6" s="118" cm="1">
        <f t="array" ref="I6">IFERROR(MIN(IF(('Medical Sales'!N3:N196="Medical")*(LEFT('Medical Sales'!D3:D196,4)="2024")*('Medical Sales'!U3:U196&lt;&gt;"Yes"),'Medical Sales'!E3:E196)),"-")</f>
        <v>4225000</v>
      </c>
      <c r="J6" s="118" cm="1">
        <f t="array" ref="J6">IFERROR(MAX(IF(('Medical Sales'!N3:N196="Medical")*(LEFT('Medical Sales'!D3:D196,4)="2024")*('Medical Sales'!U3:U196&lt;&gt;"Yes"),'Medical Sales'!E3:E196)),"-")</f>
        <v>4225000</v>
      </c>
      <c r="K6" s="59"/>
      <c r="L6" s="59"/>
      <c r="M6" s="99" t="s">
        <v>6278</v>
      </c>
      <c r="N6" s="99">
        <f>B7</f>
        <v>1</v>
      </c>
      <c r="O6" s="59"/>
    </row>
    <row r="7" spans="1:15">
      <c r="A7" s="309" t="s">
        <v>1519</v>
      </c>
      <c r="B7" s="117" cm="1">
        <f t="array" ref="B7">SUMPRODUCT(('Medical Sales'!N3:N196="Multi-Tenant Medical")*(LEFT('Medical Sales'!D3:D196,4)="2024")*('Medical Sales'!U3:U196&lt;&gt;"Yes"))</f>
        <v>1</v>
      </c>
      <c r="C7" s="118" cm="1">
        <f t="array" ref="C7">SUMPRODUCT(('Medical Sales'!N3:N196="Multi-Tenant Medical")*(LEFT('Medical Sales'!D3:D196,4)="2024")*('Medical Sales'!U3:U196&lt;&gt;"Yes")*('Medical Sales'!E3:E196))</f>
        <v>3200000</v>
      </c>
      <c r="D7" s="118">
        <f>IF(B7=0,"-",C7/B7)</f>
        <v>3200000</v>
      </c>
      <c r="E7" s="118" cm="1">
        <f t="array" ref="E7">IFERROR(MEDIAN(IF(('Medical Sales'!N3:N196="Multi-Tenant Medical")*(LEFT('Medical Sales'!D3:D196,4)="2024")*('Medical Sales'!U3:U196&lt;&gt;"Yes"),'Medical Sales'!E3:E196)),"-")</f>
        <v>3200000</v>
      </c>
      <c r="F7" s="119" cm="1">
        <f t="array" ref="F7">IF(B7=0,"-",SUMPRODUCT(('Medical Sales'!N3:N196="Multi-Tenant Medical")*(LEFT('Medical Sales'!D3:D196,4)="2024")*('Medical Sales'!U3:U196&lt;&gt;"Yes")*('Medical Sales'!F3:F196))/B7)</f>
        <v>119.69776314805117</v>
      </c>
      <c r="G7" s="119" cm="1">
        <f t="array" ref="G7">IFERROR(MEDIAN(IF(('Medical Sales'!N3:N196="Multi-Tenant Medical")*(LEFT('Medical Sales'!D3:D196,4)="2024")*('Medical Sales'!U3:U196&lt;&gt;"Yes"),'Medical Sales'!F3:F196)),"-")</f>
        <v>119.69776314805117</v>
      </c>
      <c r="H7" s="117" cm="1">
        <f t="array" ref="H7">IF(B7=0,"-",SUMPRODUCT(('Medical Sales'!N3:N196="Multi-Tenant Medical")*(LEFT('Medical Sales'!D3:D196,4)="2024")*('Medical Sales'!U3:U196&lt;&gt;"Yes")*('Medical Sales'!G3:G196))/B7)</f>
        <v>26734</v>
      </c>
      <c r="I7" s="118" cm="1">
        <f t="array" ref="I7">IFERROR(MIN(IF(('Medical Sales'!N3:N196="Multi-Tenant Medical")*(LEFT('Medical Sales'!D3:D196,4)="2024")*('Medical Sales'!U3:U196&lt;&gt;"Yes"),'Medical Sales'!E3:E196)),"-")</f>
        <v>3200000</v>
      </c>
      <c r="J7" s="118" cm="1">
        <f t="array" ref="J7">IFERROR(MAX(IF(('Medical Sales'!N3:N196="Multi-Tenant Medical")*(LEFT('Medical Sales'!D3:D196,4)="2024")*('Medical Sales'!U3:U196&lt;&gt;"Yes"),'Medical Sales'!E3:E196)),"-")</f>
        <v>3200000</v>
      </c>
      <c r="K7" s="59"/>
      <c r="L7" s="59"/>
      <c r="M7" s="99" t="s">
        <v>6212</v>
      </c>
      <c r="N7" s="99">
        <f>B8</f>
        <v>1</v>
      </c>
      <c r="O7" s="59"/>
    </row>
    <row r="8" spans="1:15">
      <c r="A8" s="309" t="s">
        <v>6212</v>
      </c>
      <c r="B8" s="117" cm="1">
        <f t="array" ref="B8">SUMPRODUCT(('Medical Sales'!N3:N196="Hospitals")*(LEFT('Medical Sales'!D3:D196,4)="2024")*('Medical Sales'!U3:U196&lt;&gt;"Yes"))</f>
        <v>1</v>
      </c>
      <c r="C8" s="118" cm="1">
        <f t="array" ref="C8">SUMPRODUCT(('Medical Sales'!N3:N196="Hospitals")*(LEFT('Medical Sales'!D3:D196,4)="2024")*('Medical Sales'!U3:U196&lt;&gt;"Yes")*('Medical Sales'!E3:E196))</f>
        <v>3500000</v>
      </c>
      <c r="D8" s="118">
        <f>IF(B8=0,"-",C8/B8)</f>
        <v>3500000</v>
      </c>
      <c r="E8" s="118" cm="1">
        <f t="array" ref="E8">IFERROR(MEDIAN(IF(('Medical Sales'!N3:N196="Hospitals")*(LEFT('Medical Sales'!D3:D196,4)="2024")*('Medical Sales'!U3:U196&lt;&gt;"Yes"),'Medical Sales'!E3:E196)),"-")</f>
        <v>3500000</v>
      </c>
      <c r="F8" s="119" cm="1">
        <f t="array" ref="F8">IF(B8=0,"-",SUMPRODUCT(('Medical Sales'!N3:N196="Hospitals")*(LEFT('Medical Sales'!D3:D196,4)="2024")*('Medical Sales'!U3:U196&lt;&gt;"Yes")*('Medical Sales'!F3:F196))/B8)</f>
        <v>591.01654846335703</v>
      </c>
      <c r="G8" s="119" cm="1">
        <f t="array" ref="G8">IFERROR(MEDIAN(IF(('Medical Sales'!N3:N196="Hospitals")*(LEFT('Medical Sales'!D3:D196,4)="2024")*('Medical Sales'!U3:U196&lt;&gt;"Yes"),'Medical Sales'!F3:F196)),"-")</f>
        <v>591.01654846335703</v>
      </c>
      <c r="H8" s="117" cm="1">
        <f t="array" ref="H8">IF(B8=0,"-",SUMPRODUCT(('Medical Sales'!N3:N196="Hospitals")*(LEFT('Medical Sales'!D3:D196,4)="2024")*('Medical Sales'!U3:U196&lt;&gt;"Yes")*('Medical Sales'!G3:G196))/B8)</f>
        <v>5922</v>
      </c>
      <c r="I8" s="118" cm="1">
        <f t="array" ref="I8">IFERROR(MIN(IF(('Medical Sales'!N3:N196="Hospitals")*(LEFT('Medical Sales'!D3:D196,4)="2024")*('Medical Sales'!U3:U196&lt;&gt;"Yes"),'Medical Sales'!E3:E196)),"-")</f>
        <v>3500000</v>
      </c>
      <c r="J8" s="118" cm="1">
        <f t="array" ref="J8">IFERROR(MAX(IF(('Medical Sales'!N3:N196="Hospitals")*(LEFT('Medical Sales'!D3:D196,4)="2024")*('Medical Sales'!U3:U196&lt;&gt;"Yes"),'Medical Sales'!E3:E196)),"-")</f>
        <v>3500000</v>
      </c>
      <c r="K8" s="59"/>
      <c r="L8" s="59"/>
      <c r="M8" s="59"/>
      <c r="N8" s="59"/>
      <c r="O8" s="59"/>
    </row>
    <row r="9" spans="1:15">
      <c r="A9" s="309" t="s">
        <v>6222</v>
      </c>
      <c r="B9" s="306">
        <f>SUM(B6:B8)</f>
        <v>3</v>
      </c>
      <c r="C9" s="307">
        <f>SUM(C6:C8)</f>
        <v>10925000</v>
      </c>
      <c r="D9" s="307">
        <f>IF(B9=0,"-",C9/B9)</f>
        <v>3641666.6666666665</v>
      </c>
      <c r="E9" s="307" cm="1">
        <f t="array" ref="E9">IFERROR(MEDIAN(IF((LEFT('Medical Sales'!D3:D196,4)="2024")*('Medical Sales'!U3:U196&lt;&gt;"Yes"),'Medical Sales'!E3:E196)),"-")</f>
        <v>3500000</v>
      </c>
      <c r="F9" s="308" cm="1">
        <f t="array" ref="F9">IF(B9=0,"-",SUMPRODUCT((LEFT('Medical Sales'!D3:D196,4)="2024")*('Medical Sales'!U3:U196&lt;&gt;"Yes")*('Medical Sales'!F3:F196))/SUMPRODUCT((LEFT('Medical Sales'!D3:D196,4)="2024")*('Medical Sales'!U3:U196&lt;&gt;"Yes")*('Medical Sales'!F3:F196&lt;&gt;0)*1))</f>
        <v>396.76099452502854</v>
      </c>
      <c r="G9" s="308" cm="1">
        <f t="array" ref="G9">IFERROR(MEDIAN(IF((LEFT('Medical Sales'!D3:D196,4)="2024")*('Medical Sales'!U3:U196&lt;&gt;"Yes"),'Medical Sales'!F3:F196)),"-")</f>
        <v>479.56867196367762</v>
      </c>
      <c r="H9" s="306" cm="1">
        <f t="array" ref="H9">IF(B9=0,"-",SUMPRODUCT((LEFT('Medical Sales'!D3:D196,4)="2024")*('Medical Sales'!U3:U196&lt;&gt;"Yes")*('Medical Sales'!G3:G196))/B9)</f>
        <v>13822</v>
      </c>
      <c r="I9" s="307" cm="1">
        <f t="array" ref="I9">IFERROR(MIN(IF((LEFT('Medical Sales'!D3:D196,4)="2024")*('Medical Sales'!U3:U196&lt;&gt;"Yes"),'Medical Sales'!E3:E196)),"-")</f>
        <v>3200000</v>
      </c>
      <c r="J9" s="307" cm="1">
        <f t="array" ref="J9">IFERROR(MAX(IF((LEFT('Medical Sales'!D3:D196,4)="2024")*('Medical Sales'!U3:U196&lt;&gt;"Yes"),'Medical Sales'!E3:E196)),"-")</f>
        <v>4225000</v>
      </c>
      <c r="K9" s="59"/>
      <c r="L9" s="59"/>
      <c r="M9" s="59"/>
      <c r="N9" s="59"/>
      <c r="O9" s="59"/>
    </row>
    <row r="10" spans="1:15">
      <c r="A10" s="59"/>
      <c r="B10" s="59"/>
      <c r="C10" s="59"/>
      <c r="D10" s="59"/>
      <c r="E10" s="59"/>
      <c r="F10" s="59"/>
      <c r="G10" s="59"/>
      <c r="H10" s="59"/>
      <c r="I10" s="59"/>
      <c r="J10" s="59"/>
      <c r="K10" s="59"/>
      <c r="L10" s="59"/>
      <c r="M10" s="71" t="s">
        <v>2</v>
      </c>
      <c r="N10" s="71" t="s">
        <v>6215</v>
      </c>
      <c r="O10" s="71" t="s">
        <v>6220</v>
      </c>
    </row>
    <row r="11" spans="1:15" ht="19">
      <c r="A11" s="55" t="s">
        <v>6471</v>
      </c>
      <c r="B11" s="55"/>
      <c r="C11" s="55"/>
      <c r="D11" s="55"/>
      <c r="E11" s="55"/>
      <c r="F11" s="55"/>
      <c r="G11" s="55"/>
      <c r="H11" s="55"/>
      <c r="I11" s="55"/>
      <c r="J11" s="55"/>
      <c r="K11" s="55"/>
      <c r="L11" s="59"/>
      <c r="M11" s="99" t="s">
        <v>33</v>
      </c>
      <c r="N11" s="99">
        <f>B13</f>
        <v>2</v>
      </c>
      <c r="O11" s="102">
        <f>G13</f>
        <v>355.35715580570411</v>
      </c>
    </row>
    <row r="12" spans="1:15">
      <c r="A12" s="305" t="s">
        <v>2</v>
      </c>
      <c r="B12" s="305" t="s">
        <v>6215</v>
      </c>
      <c r="C12" s="305" t="s">
        <v>6216</v>
      </c>
      <c r="D12" s="305" t="s">
        <v>6217</v>
      </c>
      <c r="E12" s="305" t="s">
        <v>6218</v>
      </c>
      <c r="F12" s="305" t="s">
        <v>6219</v>
      </c>
      <c r="G12" s="305" t="s">
        <v>6220</v>
      </c>
      <c r="H12" s="305" t="s">
        <v>6221</v>
      </c>
      <c r="I12" s="305" t="s">
        <v>6230</v>
      </c>
      <c r="J12" s="305" t="s">
        <v>6231</v>
      </c>
      <c r="K12" s="59"/>
      <c r="L12" s="59"/>
      <c r="M12" s="99" t="s">
        <v>20</v>
      </c>
      <c r="N12" s="99">
        <f>B14</f>
        <v>1</v>
      </c>
      <c r="O12" s="102">
        <f>G14</f>
        <v>479.56867196367762</v>
      </c>
    </row>
    <row r="13" spans="1:15">
      <c r="A13" s="309" t="s">
        <v>33</v>
      </c>
      <c r="B13" s="117" cm="1">
        <f t="array" ref="B13">SUMPRODUCT(('Medical Sales'!C3:C196="Orange")*(LEFT('Medical Sales'!D3:D196,4)="2024")*('Medical Sales'!U3:U196&lt;&gt;"Yes"))</f>
        <v>2</v>
      </c>
      <c r="C13" s="118" cm="1">
        <f t="array" ref="C13">SUMPRODUCT(('Medical Sales'!C3:C196="Orange")*(LEFT('Medical Sales'!D3:D196,4)="2024")*('Medical Sales'!U3:U196&lt;&gt;"Yes")*('Medical Sales'!E3:E196))</f>
        <v>6700000</v>
      </c>
      <c r="D13" s="118">
        <f>IF(B13=0,"-",C13/B13)</f>
        <v>3350000</v>
      </c>
      <c r="E13" s="118" cm="1">
        <f t="array" ref="E13">IFERROR(MEDIAN(IF(('Medical Sales'!C3:C196="Orange")*(LEFT('Medical Sales'!D3:D196,4)="2024")*('Medical Sales'!U3:U196&lt;&gt;"Yes"),'Medical Sales'!E3:E196)),"-")</f>
        <v>3350000</v>
      </c>
      <c r="F13" s="119" cm="1">
        <f t="array" ref="F13">IF(B13=0,"-",SUMPRODUCT(('Medical Sales'!C3:C196="Orange")*(LEFT('Medical Sales'!D3:D196,4)="2024")*('Medical Sales'!U3:U196&lt;&gt;"Yes")*('Medical Sales'!F3:F196))/B13)</f>
        <v>355.35715580570411</v>
      </c>
      <c r="G13" s="119" cm="1">
        <f t="array" ref="G13">IFERROR(MEDIAN(IF(('Medical Sales'!C3:C196="Orange")*(LEFT('Medical Sales'!D3:D196,4)="2024")*('Medical Sales'!U3:U196&lt;&gt;"Yes"),'Medical Sales'!F3:F196)),"-")</f>
        <v>355.35715580570411</v>
      </c>
      <c r="H13" s="117" cm="1">
        <f t="array" ref="H13">IF(B13=0,"-",SUMPRODUCT(('Medical Sales'!C3:C196="Orange")*(LEFT('Medical Sales'!D3:D196,4)="2024")*('Medical Sales'!U3:U196&lt;&gt;"Yes")*('Medical Sales'!G3:G196))/B13)</f>
        <v>16328</v>
      </c>
      <c r="I13" s="118" cm="1">
        <f t="array" ref="I13">IF(B13=0,"-",MIN(IF(('Medical Sales'!C3:C196="Orange")*(LEFT('Medical Sales'!D3:D196,4)="2024")*('Medical Sales'!U3:U196&lt;&gt;"Yes"),'Medical Sales'!E3:E196)))</f>
        <v>3200000</v>
      </c>
      <c r="J13" s="118" cm="1">
        <f t="array" ref="J13">IF(B13=0,"-",MAX(IF(('Medical Sales'!C3:C196="Orange")*(LEFT('Medical Sales'!D3:D196,4)="2024")*('Medical Sales'!U3:U196&lt;&gt;"Yes"),'Medical Sales'!E3:E196)))</f>
        <v>3500000</v>
      </c>
      <c r="K13" s="59"/>
      <c r="L13" s="59"/>
      <c r="M13" s="99" t="s">
        <v>678</v>
      </c>
      <c r="N13" s="99">
        <f>B15</f>
        <v>0</v>
      </c>
      <c r="O13" s="102" t="str">
        <f>G15</f>
        <v>-</v>
      </c>
    </row>
    <row r="14" spans="1:15">
      <c r="A14" s="309" t="s">
        <v>20</v>
      </c>
      <c r="B14" s="117" cm="1">
        <f t="array" ref="B14">SUMPRODUCT(('Medical Sales'!C3:C196="Seminole")*(LEFT('Medical Sales'!D3:D196,4)="2024")*('Medical Sales'!U3:U196&lt;&gt;"Yes"))</f>
        <v>1</v>
      </c>
      <c r="C14" s="118" cm="1">
        <f t="array" ref="C14">SUMPRODUCT(('Medical Sales'!C3:C196="Seminole")*(LEFT('Medical Sales'!D3:D196,4)="2024")*('Medical Sales'!U3:U196&lt;&gt;"Yes")*('Medical Sales'!E3:E196))</f>
        <v>4225000</v>
      </c>
      <c r="D14" s="118">
        <f>IF(B14=0,"-",C14/B14)</f>
        <v>4225000</v>
      </c>
      <c r="E14" s="118" cm="1">
        <f t="array" ref="E14">IFERROR(MEDIAN(IF(('Medical Sales'!C3:C196="Seminole")*(LEFT('Medical Sales'!D3:D196,4)="2024")*('Medical Sales'!U3:U196&lt;&gt;"Yes"),'Medical Sales'!E3:E196)),"-")</f>
        <v>4225000</v>
      </c>
      <c r="F14" s="119" cm="1">
        <f t="array" ref="F14">IF(B14=0,"-",SUMPRODUCT(('Medical Sales'!C3:C196="Seminole")*(LEFT('Medical Sales'!D3:D196,4)="2024")*('Medical Sales'!U3:U196&lt;&gt;"Yes")*('Medical Sales'!F3:F196))/B14)</f>
        <v>479.56867196367762</v>
      </c>
      <c r="G14" s="119" cm="1">
        <f t="array" ref="G14">IFERROR(MEDIAN(IF(('Medical Sales'!C3:C196="Seminole")*(LEFT('Medical Sales'!D3:D196,4)="2024")*('Medical Sales'!U3:U196&lt;&gt;"Yes"),'Medical Sales'!F3:F196)),"-")</f>
        <v>479.56867196367762</v>
      </c>
      <c r="H14" s="117" cm="1">
        <f t="array" ref="H14">IF(B14=0,"-",SUMPRODUCT(('Medical Sales'!C3:C196="Seminole")*(LEFT('Medical Sales'!D3:D196,4)="2024")*('Medical Sales'!U3:U196&lt;&gt;"Yes")*('Medical Sales'!G3:G196))/B14)</f>
        <v>8810</v>
      </c>
      <c r="I14" s="118" cm="1">
        <f t="array" ref="I14">IF(B14=0,"-",MIN(IF(('Medical Sales'!C3:C196="Seminole")*(LEFT('Medical Sales'!D3:D196,4)="2024")*('Medical Sales'!U3:U196&lt;&gt;"Yes"),'Medical Sales'!E3:E196)))</f>
        <v>4225000</v>
      </c>
      <c r="J14" s="118" cm="1">
        <f t="array" ref="J14">IF(B14=0,"-",MAX(IF(('Medical Sales'!C3:C196="Seminole")*(LEFT('Medical Sales'!D3:D196,4)="2024")*('Medical Sales'!U3:U196&lt;&gt;"Yes"),'Medical Sales'!E3:E196)))</f>
        <v>4225000</v>
      </c>
      <c r="K14" s="59"/>
      <c r="L14" s="59"/>
      <c r="M14" s="99" t="s">
        <v>184</v>
      </c>
      <c r="N14" s="99">
        <f>B16</f>
        <v>0</v>
      </c>
      <c r="O14" s="102" t="str">
        <f>G16</f>
        <v>-</v>
      </c>
    </row>
    <row r="15" spans="1:15">
      <c r="A15" s="309" t="s">
        <v>678</v>
      </c>
      <c r="B15" s="117" cm="1">
        <f t="array" ref="B15">SUMPRODUCT(('Medical Sales'!C3:C196="Osceola")*(LEFT('Medical Sales'!D3:D196,4)="2024")*('Medical Sales'!U3:U196&lt;&gt;"Yes"))</f>
        <v>0</v>
      </c>
      <c r="C15" s="118" cm="1">
        <f t="array" ref="C15">SUMPRODUCT(('Medical Sales'!C3:C196="Osceola")*(LEFT('Medical Sales'!D3:D196,4)="2024")*('Medical Sales'!U3:U196&lt;&gt;"Yes")*('Medical Sales'!E3:E196))</f>
        <v>0</v>
      </c>
      <c r="D15" s="118" t="str">
        <f>IF(B15=0,"-",C15/B15)</f>
        <v>-</v>
      </c>
      <c r="E15" s="118" t="str" cm="1">
        <f t="array" ref="E15">IFERROR(MEDIAN(IF(('Medical Sales'!C3:C196="Osceola")*(LEFT('Medical Sales'!D3:D196,4)="2024")*('Medical Sales'!U3:U196&lt;&gt;"Yes"),'Medical Sales'!E3:E196)),"-")</f>
        <v>-</v>
      </c>
      <c r="F15" s="119" t="str" cm="1">
        <f t="array" ref="F15">IF(B15=0,"-",SUMPRODUCT(('Medical Sales'!C3:C196="Osceola")*(LEFT('Medical Sales'!D3:D196,4)="2024")*('Medical Sales'!U3:U196&lt;&gt;"Yes")*('Medical Sales'!F3:F196))/B15)</f>
        <v>-</v>
      </c>
      <c r="G15" s="119" t="str" cm="1">
        <f t="array" ref="G15">IFERROR(MEDIAN(IF(('Medical Sales'!C3:C196="Osceola")*(LEFT('Medical Sales'!D3:D196,4)="2024")*('Medical Sales'!U3:U196&lt;&gt;"Yes"),'Medical Sales'!F3:F196)),"-")</f>
        <v>-</v>
      </c>
      <c r="H15" s="117" t="str" cm="1">
        <f t="array" ref="H15">IF(B15=0,"-",SUMPRODUCT(('Medical Sales'!C3:C196="Osceola")*(LEFT('Medical Sales'!D3:D196,4)="2024")*('Medical Sales'!U3:U196&lt;&gt;"Yes")*('Medical Sales'!G3:G196))/B15)</f>
        <v>-</v>
      </c>
      <c r="I15" s="118" t="str" cm="1">
        <f t="array" ref="I15">IF(B15=0,"-",MIN(IF(('Medical Sales'!C3:C196="Osceola")*(LEFT('Medical Sales'!D3:D196,4)="2024")*('Medical Sales'!U3:U196&lt;&gt;"Yes"),'Medical Sales'!E3:E196)))</f>
        <v>-</v>
      </c>
      <c r="J15" s="118" t="str" cm="1">
        <f t="array" ref="J15">IF(B15=0,"-",MAX(IF(('Medical Sales'!C3:C196="Osceola")*(LEFT('Medical Sales'!D3:D196,4)="2024")*('Medical Sales'!U3:U196&lt;&gt;"Yes"),'Medical Sales'!E3:E196)))</f>
        <v>-</v>
      </c>
      <c r="K15" s="59"/>
      <c r="L15" s="59"/>
      <c r="M15" s="59"/>
      <c r="N15" s="59"/>
      <c r="O15" s="59"/>
    </row>
    <row r="16" spans="1:15">
      <c r="A16" s="309" t="s">
        <v>184</v>
      </c>
      <c r="B16" s="117" cm="1">
        <f t="array" ref="B16">SUMPRODUCT(('Medical Sales'!C3:C196="Lake")*(LEFT('Medical Sales'!D3:D196,4)="2024")*('Medical Sales'!U3:U196&lt;&gt;"Yes"))</f>
        <v>0</v>
      </c>
      <c r="C16" s="118" cm="1">
        <f t="array" ref="C16">SUMPRODUCT(('Medical Sales'!C3:C196="Lake")*(LEFT('Medical Sales'!D3:D196,4)="2024")*('Medical Sales'!U3:U196&lt;&gt;"Yes")*('Medical Sales'!E3:E196))</f>
        <v>0</v>
      </c>
      <c r="D16" s="118" t="str">
        <f>IF(B16=0,"-",C16/B16)</f>
        <v>-</v>
      </c>
      <c r="E16" s="118" t="str" cm="1">
        <f t="array" ref="E16">IFERROR(MEDIAN(IF(('Medical Sales'!C3:C196="Lake")*(LEFT('Medical Sales'!D3:D196,4)="2024")*('Medical Sales'!U3:U196&lt;&gt;"Yes"),'Medical Sales'!E3:E196)),"-")</f>
        <v>-</v>
      </c>
      <c r="F16" s="119" t="str" cm="1">
        <f t="array" ref="F16">IF(B16=0,"-",SUMPRODUCT(('Medical Sales'!C3:C196="Lake")*(LEFT('Medical Sales'!D3:D196,4)="2024")*('Medical Sales'!U3:U196&lt;&gt;"Yes")*('Medical Sales'!F3:F196))/B16)</f>
        <v>-</v>
      </c>
      <c r="G16" s="119" t="str" cm="1">
        <f t="array" ref="G16">IFERROR(MEDIAN(IF(('Medical Sales'!C3:C196="Lake")*(LEFT('Medical Sales'!D3:D196,4)="2024")*('Medical Sales'!U3:U196&lt;&gt;"Yes"),'Medical Sales'!F3:F196)),"-")</f>
        <v>-</v>
      </c>
      <c r="H16" s="117" t="str" cm="1">
        <f t="array" ref="H16">IF(B16=0,"-",SUMPRODUCT(('Medical Sales'!C3:C196="Lake")*(LEFT('Medical Sales'!D3:D196,4)="2024")*('Medical Sales'!U3:U196&lt;&gt;"Yes")*('Medical Sales'!G3:G196))/B16)</f>
        <v>-</v>
      </c>
      <c r="I16" s="118" t="str" cm="1">
        <f t="array" ref="I16">IF(B16=0,"-",MIN(IF(('Medical Sales'!C3:C196="Lake")*(LEFT('Medical Sales'!D3:D196,4)="2024")*('Medical Sales'!U3:U196&lt;&gt;"Yes"),'Medical Sales'!E3:E196)))</f>
        <v>-</v>
      </c>
      <c r="J16" s="118" t="str" cm="1">
        <f t="array" ref="J16">IF(B16=0,"-",MAX(IF(('Medical Sales'!C3:C196="Lake")*(LEFT('Medical Sales'!D3:D196,4)="2024")*('Medical Sales'!U3:U196&lt;&gt;"Yes"),'Medical Sales'!E3:E196)))</f>
        <v>-</v>
      </c>
      <c r="K16" s="59"/>
      <c r="L16" s="59"/>
      <c r="M16" s="59"/>
      <c r="N16" s="59"/>
      <c r="O16" s="59"/>
    </row>
    <row r="17" spans="1:15">
      <c r="A17" s="59"/>
      <c r="B17" s="59"/>
      <c r="C17" s="59"/>
      <c r="D17" s="59"/>
      <c r="E17" s="59"/>
      <c r="F17" s="59"/>
      <c r="G17" s="59"/>
      <c r="H17" s="59"/>
      <c r="I17" s="59"/>
      <c r="J17" s="59"/>
      <c r="K17" s="59"/>
      <c r="L17" s="59"/>
      <c r="M17" s="71" t="s">
        <v>6279</v>
      </c>
      <c r="N17" s="71" t="s">
        <v>6218</v>
      </c>
      <c r="O17" s="71" t="s">
        <v>6220</v>
      </c>
    </row>
    <row r="18" spans="1:15" ht="19">
      <c r="A18" s="55" t="s">
        <v>6303</v>
      </c>
      <c r="B18" s="55"/>
      <c r="C18" s="55"/>
      <c r="D18" s="55"/>
      <c r="E18" s="55"/>
      <c r="F18" s="55"/>
      <c r="G18" s="55"/>
      <c r="H18" s="55"/>
      <c r="I18" s="55"/>
      <c r="J18" s="55"/>
      <c r="K18" s="55"/>
      <c r="L18" s="59"/>
      <c r="M18" s="99" t="s">
        <v>6280</v>
      </c>
      <c r="N18" s="101">
        <f>B28</f>
        <v>3500000</v>
      </c>
      <c r="O18" s="102">
        <f>B30</f>
        <v>591.01654846335703</v>
      </c>
    </row>
    <row r="19" spans="1:15">
      <c r="A19" s="305" t="s">
        <v>2</v>
      </c>
      <c r="B19" s="305" t="s">
        <v>6215</v>
      </c>
      <c r="C19" s="305" t="s">
        <v>6216</v>
      </c>
      <c r="D19" s="305" t="s">
        <v>6217</v>
      </c>
      <c r="E19" s="305" t="s">
        <v>6218</v>
      </c>
      <c r="F19" s="305" t="s">
        <v>6219</v>
      </c>
      <c r="G19" s="305" t="s">
        <v>6220</v>
      </c>
      <c r="H19" s="59"/>
      <c r="I19" s="59"/>
      <c r="J19" s="59"/>
      <c r="K19" s="59"/>
      <c r="L19" s="59"/>
      <c r="M19" s="99" t="s">
        <v>6489</v>
      </c>
      <c r="N19" s="101">
        <f>B47</f>
        <v>4225000</v>
      </c>
      <c r="O19" s="102">
        <f>B49</f>
        <v>479.56867196367762</v>
      </c>
    </row>
    <row r="20" spans="1:15">
      <c r="A20" s="309" t="s">
        <v>6304</v>
      </c>
      <c r="B20" s="117" cm="1">
        <f t="array" ref="B20">SUMPRODUCT(('Medical Sales'!C3:C196="Orange")*(LEFT('Medical Sales'!D3:D196,4)="2024")*('Medical Sales'!N3:N196&lt;&gt;"Hospitals")*('Medical Sales'!U3:U196&lt;&gt;"Yes"))</f>
        <v>1</v>
      </c>
      <c r="C20" s="118" cm="1">
        <f t="array" ref="C20">SUMPRODUCT(('Medical Sales'!C3:C196="Orange")*(LEFT('Medical Sales'!D3:D196,4)="2024")*('Medical Sales'!N3:N196&lt;&gt;"Hospitals")*('Medical Sales'!U3:U196&lt;&gt;"Yes")*('Medical Sales'!E3:E196))</f>
        <v>3200000</v>
      </c>
      <c r="D20" s="118">
        <f>IF(B20=0,"-",C20/B20)</f>
        <v>3200000</v>
      </c>
      <c r="E20" s="118" cm="1">
        <f t="array" ref="E20">IFERROR(MEDIAN(IF(('Medical Sales'!C3:C196="Orange")*(LEFT('Medical Sales'!D3:D196,4)="2024")*('Medical Sales'!N3:N196&lt;&gt;"Hospitals")*('Medical Sales'!U3:U196&lt;&gt;"Yes"),'Medical Sales'!E3:E196)),"-")</f>
        <v>3200000</v>
      </c>
      <c r="F20" s="119" cm="1">
        <f t="array" ref="F20">IF(B20=0,"-",SUMPRODUCT(('Medical Sales'!C3:C196="Orange")*(LEFT('Medical Sales'!D3:D196,4)="2024")*('Medical Sales'!N3:N196&lt;&gt;"Hospitals")*('Medical Sales'!U3:U196&lt;&gt;"Yes")*('Medical Sales'!F3:F196))/B20)</f>
        <v>119.69776314805117</v>
      </c>
      <c r="G20" s="119" cm="1">
        <f t="array" ref="G20">IFERROR(MEDIAN(IF(('Medical Sales'!C3:C196="Orange")*(LEFT('Medical Sales'!D3:D196,4)="2024")*('Medical Sales'!N3:N196&lt;&gt;"Hospitals")*('Medical Sales'!U3:U196&lt;&gt;"Yes"),'Medical Sales'!F3:F196)),"-")</f>
        <v>119.69776314805117</v>
      </c>
      <c r="H20" s="59"/>
      <c r="I20" s="59"/>
      <c r="J20" s="59"/>
      <c r="K20" s="59"/>
      <c r="L20" s="59"/>
      <c r="M20" s="99" t="s">
        <v>6490</v>
      </c>
      <c r="N20" s="101">
        <f>B66</f>
        <v>3200000</v>
      </c>
      <c r="O20" s="102">
        <f>B68</f>
        <v>119.69776314805117</v>
      </c>
    </row>
    <row r="21" spans="1:15">
      <c r="A21" s="309" t="s">
        <v>6305</v>
      </c>
      <c r="B21" s="117" cm="1">
        <f t="array" ref="B21">SUMPRODUCT((LEFT('Medical Sales'!D3:D196,4)="2024")*('Medical Sales'!N3:N196&lt;&gt;"Hospitals")*('Medical Sales'!U3:U196&lt;&gt;"Yes"))</f>
        <v>2</v>
      </c>
      <c r="C21" s="118" cm="1">
        <f t="array" ref="C21">SUMPRODUCT((LEFT('Medical Sales'!D3:D196,4)="2024")*('Medical Sales'!N3:N196&lt;&gt;"Hospitals")*('Medical Sales'!U3:U196&lt;&gt;"Yes")*('Medical Sales'!E3:E196))</f>
        <v>7425000</v>
      </c>
      <c r="D21" s="118">
        <f>IF(B21=0,"-",C21/B21)</f>
        <v>3712500</v>
      </c>
      <c r="E21" s="118" cm="1">
        <f t="array" ref="E21">IFERROR(MEDIAN(IF((LEFT('Medical Sales'!D3:D196,4)="2024")*('Medical Sales'!N3:N196&lt;&gt;"Hospitals")*('Medical Sales'!U3:U196&lt;&gt;"Yes"),'Medical Sales'!E3:E196)),"-")</f>
        <v>3712500</v>
      </c>
      <c r="F21" s="119" cm="1">
        <f t="array" ref="F21">IF(B21=0,"-",SUMPRODUCT((LEFT('Medical Sales'!D3:D196,4)="2024")*('Medical Sales'!N3:N196&lt;&gt;"Hospitals")*('Medical Sales'!U3:U196&lt;&gt;"Yes")*('Medical Sales'!F3:F196))/B21)</f>
        <v>299.63321755586441</v>
      </c>
      <c r="G21" s="119" cm="1">
        <f t="array" ref="G21">IFERROR(MEDIAN(IF((LEFT('Medical Sales'!D3:D196,4)="2024")*('Medical Sales'!N3:N196&lt;&gt;"Hospitals")*('Medical Sales'!U3:U196&lt;&gt;"Yes"),'Medical Sales'!F3:F196)),"-")</f>
        <v>299.63321755586435</v>
      </c>
      <c r="H21" s="59"/>
      <c r="I21" s="59"/>
      <c r="J21" s="59"/>
      <c r="K21" s="59"/>
      <c r="L21" s="59"/>
      <c r="M21" s="59"/>
      <c r="N21" s="59"/>
      <c r="O21" s="59"/>
    </row>
    <row r="22" spans="1:15">
      <c r="A22" s="270" t="s">
        <v>6348</v>
      </c>
      <c r="B22" s="59"/>
      <c r="C22" s="59"/>
      <c r="D22" s="59"/>
      <c r="E22" s="59"/>
      <c r="F22" s="59"/>
      <c r="G22" s="59"/>
      <c r="H22" s="59"/>
      <c r="I22" s="59"/>
      <c r="J22" s="59"/>
      <c r="K22" s="59"/>
      <c r="L22" s="59"/>
      <c r="M22" s="59"/>
      <c r="N22" s="59"/>
      <c r="O22" s="59"/>
    </row>
    <row r="23" spans="1:15">
      <c r="A23" s="59"/>
      <c r="B23" s="59"/>
      <c r="C23" s="59"/>
      <c r="D23" s="59"/>
      <c r="E23" s="59"/>
      <c r="F23" s="59"/>
      <c r="G23" s="59"/>
      <c r="H23" s="59"/>
      <c r="I23" s="59"/>
      <c r="J23" s="59"/>
      <c r="K23" s="59"/>
      <c r="L23" s="59"/>
      <c r="M23" s="71" t="s">
        <v>6233</v>
      </c>
      <c r="N23" s="71" t="s">
        <v>6215</v>
      </c>
      <c r="O23" s="59"/>
    </row>
    <row r="24" spans="1:15" ht="19">
      <c r="A24" s="84" t="s">
        <v>6256</v>
      </c>
      <c r="B24" s="84"/>
      <c r="C24" s="84"/>
      <c r="D24" s="84"/>
      <c r="E24" s="84"/>
      <c r="F24" s="84"/>
      <c r="G24" s="84"/>
      <c r="H24" s="84"/>
      <c r="I24" s="84"/>
      <c r="J24" s="84"/>
      <c r="K24" s="84"/>
      <c r="L24" s="59"/>
      <c r="M24" s="99" t="s">
        <v>6659</v>
      </c>
      <c r="N24" s="99" cm="1">
        <f t="array" ref="N24">SUMPRODUCT((LEFT('Medical Sales'!D3:D196,4)="2024")*('Medical Sales'!G3:G196&lt;3000)*('Medical Sales'!G3:G196&gt;0)*('Medical Sales'!U3:U196&lt;&gt;"Yes"))</f>
        <v>0</v>
      </c>
      <c r="O24" s="59"/>
    </row>
    <row r="25" spans="1:15">
      <c r="A25" s="86" t="s">
        <v>6257</v>
      </c>
      <c r="B25" s="86"/>
      <c r="C25" s="86"/>
      <c r="D25" s="106" t="s">
        <v>6473</v>
      </c>
      <c r="E25" s="106"/>
      <c r="F25" s="106"/>
      <c r="G25" s="106"/>
      <c r="H25" s="106"/>
      <c r="I25" s="106"/>
      <c r="J25" s="106"/>
      <c r="K25" s="59"/>
      <c r="L25" s="59"/>
      <c r="M25" s="99" t="s">
        <v>6658</v>
      </c>
      <c r="N25" s="99" cm="1">
        <f t="array" ref="N25">SUMPRODUCT((LEFT('Medical Sales'!D3:D196,4)="2024")*('Medical Sales'!G3:G196&gt;=3000)*('Medical Sales'!G3:G196&lt;6000)*('Medical Sales'!U3:U196&lt;&gt;"Yes"))</f>
        <v>1</v>
      </c>
      <c r="O25" s="59"/>
    </row>
    <row r="26" spans="1:15">
      <c r="A26" s="57" t="s">
        <v>6472</v>
      </c>
      <c r="B26" s="62" cm="1">
        <f t="array" ref="B26">SUMPRODUCT((LEFT('Medical Sales'!D3:D196,4)="2024")*('Medical Sales'!G3:G196&lt;6000)*('Medical Sales'!G3:G196&gt;0)*('Medical Sales'!U3:U196&lt;&gt;"Yes"))</f>
        <v>1</v>
      </c>
      <c r="C26" s="59"/>
      <c r="D26" s="297" t="s">
        <v>6474</v>
      </c>
      <c r="E26" s="108"/>
      <c r="F26" s="108"/>
      <c r="G26" s="108"/>
      <c r="H26" s="108"/>
      <c r="I26" s="108"/>
      <c r="J26" s="108"/>
      <c r="K26" s="59"/>
      <c r="L26" s="59"/>
      <c r="M26" s="99" t="s">
        <v>6657</v>
      </c>
      <c r="N26" s="99" cm="1">
        <f t="array" ref="N26">SUMPRODUCT((LEFT('Medical Sales'!D3:D196,4)="2024")*('Medical Sales'!G3:G196&gt;=6000)*('Medical Sales'!G3:G196&lt;10000)*('Medical Sales'!U3:U196&lt;&gt;"Yes"))</f>
        <v>1</v>
      </c>
      <c r="O26" s="59"/>
    </row>
    <row r="27" spans="1:15">
      <c r="A27" s="57" t="s">
        <v>6216</v>
      </c>
      <c r="B27" s="63" cm="1">
        <f t="array" ref="B27">SUMPRODUCT((LEFT('Medical Sales'!D3:D196,4)="2024")*('Medical Sales'!G3:G196&lt;6000)*('Medical Sales'!G3:G196&gt;0)*('Medical Sales'!U3:U196&lt;&gt;"Yes")*('Medical Sales'!E3:E196))</f>
        <v>3500000</v>
      </c>
      <c r="C27" s="59"/>
      <c r="D27" s="108"/>
      <c r="E27" s="108"/>
      <c r="F27" s="108"/>
      <c r="G27" s="108"/>
      <c r="H27" s="108"/>
      <c r="I27" s="108"/>
      <c r="J27" s="108"/>
      <c r="K27" s="59"/>
      <c r="L27" s="59"/>
      <c r="M27" s="99" t="s">
        <v>6655</v>
      </c>
      <c r="N27" s="99" cm="1">
        <f t="array" ref="N27">SUMPRODUCT((LEFT('Medical Sales'!D3:D196,4)="2024")*('Medical Sales'!G3:G196&gt;=10000)*('Medical Sales'!G3:G196&lt;20000)*('Medical Sales'!U3:U196&lt;&gt;"Yes"))</f>
        <v>0</v>
      </c>
      <c r="O27" s="59"/>
    </row>
    <row r="28" spans="1:15">
      <c r="A28" s="57" t="s">
        <v>6218</v>
      </c>
      <c r="B28" s="63" cm="1">
        <f t="array" ref="B28">IFERROR(MEDIAN(IF((LEFT('Medical Sales'!D3:D196,4)="2024")*('Medical Sales'!G3:G196&lt;6000)*('Medical Sales'!G3:G196&gt;0)*('Medical Sales'!U3:U196&lt;&gt;"Yes"),'Medical Sales'!E3:E196)),"-")</f>
        <v>3500000</v>
      </c>
      <c r="C28" s="59"/>
      <c r="D28" s="108"/>
      <c r="E28" s="108"/>
      <c r="F28" s="108"/>
      <c r="G28" s="108"/>
      <c r="H28" s="108"/>
      <c r="I28" s="108"/>
      <c r="J28" s="108"/>
      <c r="K28" s="59"/>
      <c r="L28" s="59"/>
      <c r="M28" s="99" t="s">
        <v>6656</v>
      </c>
      <c r="N28" s="99" cm="1">
        <f t="array" ref="N28">SUMPRODUCT((LEFT('Medical Sales'!D3:D196,4)="2024")*('Medical Sales'!G3:G196&gt;=20000)*('Medical Sales'!G3:G196&gt;0)*('Medical Sales'!U3:U196&lt;&gt;"Yes"))</f>
        <v>1</v>
      </c>
      <c r="O28" s="59"/>
    </row>
    <row r="29" spans="1:15">
      <c r="A29" s="57" t="s">
        <v>6259</v>
      </c>
      <c r="B29" s="63">
        <f>IF(B26=0,"-",B27/B26)</f>
        <v>3500000</v>
      </c>
      <c r="C29" s="59"/>
      <c r="D29" s="108"/>
      <c r="E29" s="108"/>
      <c r="F29" s="108"/>
      <c r="G29" s="108"/>
      <c r="H29" s="108"/>
      <c r="I29" s="108"/>
      <c r="J29" s="108"/>
      <c r="K29" s="59"/>
      <c r="L29" s="59"/>
      <c r="M29" s="59"/>
      <c r="N29" s="59"/>
      <c r="O29" s="59"/>
    </row>
    <row r="30" spans="1:15">
      <c r="A30" s="57" t="s">
        <v>6220</v>
      </c>
      <c r="B30" s="61" cm="1">
        <f t="array" ref="B30">IFERROR(MEDIAN(IF((LEFT('Medical Sales'!D3:D196,4)="2024")*('Medical Sales'!G3:G196&lt;6000)*('Medical Sales'!G3:G196&gt;0)*('Medical Sales'!U3:U196&lt;&gt;"Yes"),'Medical Sales'!F3:F196)),"-")</f>
        <v>591.01654846335703</v>
      </c>
      <c r="C30" s="59"/>
      <c r="D30" s="108"/>
      <c r="E30" s="108"/>
      <c r="F30" s="108"/>
      <c r="G30" s="108"/>
      <c r="H30" s="108"/>
      <c r="I30" s="108"/>
      <c r="J30" s="108"/>
      <c r="K30" s="59"/>
      <c r="L30" s="59"/>
      <c r="M30" s="59"/>
      <c r="N30" s="59"/>
      <c r="O30" s="59"/>
    </row>
    <row r="31" spans="1:15">
      <c r="A31" s="309" t="s">
        <v>6260</v>
      </c>
      <c r="B31" s="119" cm="1">
        <f t="array" ref="B31">IF(B26=0,"-",SUMPRODUCT((LEFT('Medical Sales'!D3:D196,4)="2024")*('Medical Sales'!G3:G196&lt;6000)*('Medical Sales'!G3:G196&gt;0)*('Medical Sales'!U3:U196&lt;&gt;"Yes")*('Medical Sales'!F3:F196))/B26)</f>
        <v>591.01654846335703</v>
      </c>
      <c r="C31" s="313"/>
      <c r="D31" s="337"/>
      <c r="E31" s="337"/>
      <c r="F31" s="337"/>
      <c r="G31" s="337"/>
      <c r="H31" s="108"/>
      <c r="I31" s="108"/>
      <c r="J31" s="108"/>
      <c r="K31" s="59"/>
      <c r="L31" s="59"/>
      <c r="M31" s="59"/>
      <c r="N31" s="59"/>
      <c r="O31" s="59"/>
    </row>
    <row r="32" spans="1:15">
      <c r="A32" s="309" t="s">
        <v>6261</v>
      </c>
      <c r="B32" s="117" cm="1">
        <f t="array" ref="B32">IF(B26=0,"-",SUMPRODUCT((LEFT('Medical Sales'!D3:D196,4)="2024")*('Medical Sales'!G3:G196&lt;6000)*('Medical Sales'!G3:G196&gt;0)*('Medical Sales'!U3:U196&lt;&gt;"Yes")*('Medical Sales'!G3:G196))/B26)</f>
        <v>5922</v>
      </c>
      <c r="C32" s="313"/>
      <c r="D32" s="337"/>
      <c r="E32" s="337"/>
      <c r="F32" s="337"/>
      <c r="G32" s="337"/>
      <c r="H32" s="108"/>
      <c r="I32" s="108"/>
      <c r="J32" s="108"/>
      <c r="K32" s="59"/>
      <c r="L32" s="59"/>
      <c r="M32" s="59"/>
      <c r="N32" s="59"/>
      <c r="O32" s="59"/>
    </row>
    <row r="33" spans="1:15">
      <c r="A33" s="309" t="s">
        <v>6262</v>
      </c>
      <c r="B33" s="118" cm="1">
        <f t="array" ref="B33">IFERROR(MIN(IF((LEFT('Medical Sales'!D3:D196,4)="2024")*('Medical Sales'!G3:G196&lt;6000)*('Medical Sales'!G3:G196&gt;0)*('Medical Sales'!U3:U196&lt;&gt;"Yes"),'Medical Sales'!E3:E196)),"-")</f>
        <v>3500000</v>
      </c>
      <c r="C33" s="313"/>
      <c r="D33" s="337"/>
      <c r="E33" s="337"/>
      <c r="F33" s="337"/>
      <c r="G33" s="337"/>
      <c r="H33" s="108"/>
      <c r="I33" s="108"/>
      <c r="J33" s="108"/>
      <c r="K33" s="59"/>
      <c r="L33" s="59"/>
      <c r="M33" s="59"/>
      <c r="N33" s="59"/>
      <c r="O33" s="59"/>
    </row>
    <row r="34" spans="1:15">
      <c r="A34" s="309" t="s">
        <v>6263</v>
      </c>
      <c r="B34" s="118" cm="1">
        <f t="array" ref="B34">IFERROR(MAX(IF((LEFT('Medical Sales'!D3:D196,4)="2024")*('Medical Sales'!G3:G196&lt;6000)*('Medical Sales'!G3:G196&gt;0)*('Medical Sales'!U3:U196&lt;&gt;"Yes"),'Medical Sales'!E3:E196)),"-")</f>
        <v>3500000</v>
      </c>
      <c r="C34" s="313"/>
      <c r="D34" s="313"/>
      <c r="E34" s="313"/>
      <c r="F34" s="313"/>
      <c r="G34" s="313"/>
      <c r="H34" s="59"/>
      <c r="I34" s="59"/>
      <c r="J34" s="59"/>
      <c r="K34" s="59"/>
      <c r="L34" s="59"/>
      <c r="M34" s="59"/>
      <c r="N34" s="59"/>
      <c r="O34" s="59"/>
    </row>
    <row r="35" spans="1:15">
      <c r="A35" s="313"/>
      <c r="B35" s="313"/>
      <c r="C35" s="313"/>
      <c r="D35" s="313"/>
      <c r="E35" s="313"/>
      <c r="F35" s="313"/>
      <c r="G35" s="313"/>
      <c r="H35" s="59"/>
      <c r="I35" s="59"/>
      <c r="J35" s="59"/>
      <c r="K35" s="59"/>
      <c r="L35" s="59"/>
      <c r="M35" s="59"/>
      <c r="N35" s="59"/>
      <c r="O35" s="59"/>
    </row>
    <row r="36" spans="1:15">
      <c r="A36" s="86" t="s">
        <v>6264</v>
      </c>
      <c r="B36" s="59"/>
      <c r="C36" s="59"/>
      <c r="D36" s="59"/>
      <c r="E36" s="59"/>
      <c r="F36" s="59"/>
      <c r="G36" s="59"/>
      <c r="H36" s="59"/>
      <c r="I36" s="59"/>
      <c r="J36" s="59"/>
      <c r="K36" s="59"/>
      <c r="L36" s="59"/>
      <c r="M36" s="59"/>
      <c r="N36" s="59"/>
      <c r="O36" s="59"/>
    </row>
    <row r="37" spans="1:15">
      <c r="A37" s="310" t="s">
        <v>2</v>
      </c>
      <c r="B37" s="310" t="s">
        <v>6215</v>
      </c>
      <c r="C37" s="310" t="s">
        <v>6218</v>
      </c>
      <c r="D37" s="310" t="s">
        <v>6220</v>
      </c>
      <c r="E37" s="310" t="s">
        <v>6221</v>
      </c>
      <c r="F37" s="310" t="s">
        <v>6230</v>
      </c>
      <c r="G37" s="310" t="s">
        <v>6231</v>
      </c>
      <c r="H37" s="59"/>
      <c r="I37" s="59"/>
      <c r="J37" s="59"/>
      <c r="K37" s="59"/>
      <c r="L37" s="59"/>
      <c r="M37" s="59"/>
      <c r="N37" s="59"/>
      <c r="O37" s="59"/>
    </row>
    <row r="38" spans="1:15">
      <c r="A38" s="309" t="s">
        <v>33</v>
      </c>
      <c r="B38" s="117" cm="1">
        <f t="array" ref="B38">SUMPRODUCT(('Medical Sales'!C3:C196="Orange")*(LEFT('Medical Sales'!D3:D196,4)="2024")*('Medical Sales'!G3:G196&lt;6000)*('Medical Sales'!G3:G196&gt;0)*('Medical Sales'!U3:U196&lt;&gt;"Yes"))</f>
        <v>1</v>
      </c>
      <c r="C38" s="118" cm="1">
        <f t="array" ref="C38">IFERROR(MEDIAN(IF(('Medical Sales'!C3:C196="Orange")*(LEFT('Medical Sales'!D3:D196,4)="2024")*('Medical Sales'!G3:G196&lt;6000)*('Medical Sales'!G3:G196&gt;0)*('Medical Sales'!U3:U196&lt;&gt;"Yes"),'Medical Sales'!E3:E196)),"-")</f>
        <v>3500000</v>
      </c>
      <c r="D38" s="119" cm="1">
        <f t="array" ref="D38">IFERROR(MEDIAN(IF(('Medical Sales'!C3:C196="Orange")*(LEFT('Medical Sales'!D3:D196,4)="2024")*('Medical Sales'!G3:G196&lt;6000)*('Medical Sales'!G3:G196&gt;0)*('Medical Sales'!U3:U196&lt;&gt;"Yes"),'Medical Sales'!F3:F196)),"-")</f>
        <v>591.01654846335703</v>
      </c>
      <c r="E38" s="117" cm="1">
        <f t="array" ref="E38">IF(B38=0,"-",SUMPRODUCT(('Medical Sales'!C3:C196="Orange")*(LEFT('Medical Sales'!D3:D196,4)="2024")*('Medical Sales'!G3:G196&lt;6000)*('Medical Sales'!G3:G196&gt;0)*('Medical Sales'!U3:U196&lt;&gt;"Yes")*('Medical Sales'!G3:G196))/B38)</f>
        <v>5922</v>
      </c>
      <c r="F38" s="118" cm="1">
        <f t="array" ref="F38">IFERROR(MIN(IF(('Medical Sales'!C3:C196="Orange")*(LEFT('Medical Sales'!D3:D196,4)="2024")*('Medical Sales'!G3:G196&lt;6000)*('Medical Sales'!G3:G196&gt;0)*('Medical Sales'!U3:U196&lt;&gt;"Yes"),'Medical Sales'!E3:E196)),"-")</f>
        <v>3500000</v>
      </c>
      <c r="G38" s="118" cm="1">
        <f t="array" ref="G38">IFERROR(MAX(IF(('Medical Sales'!C3:C196="Orange")*(LEFT('Medical Sales'!D3:D196,4)="2024")*('Medical Sales'!G3:G196&lt;6000)*('Medical Sales'!G3:G196&gt;0)*('Medical Sales'!U3:U196&lt;&gt;"Yes"),'Medical Sales'!E3:E196)),"-")</f>
        <v>3500000</v>
      </c>
      <c r="H38" s="59"/>
      <c r="I38" s="59"/>
      <c r="J38" s="59"/>
      <c r="K38" s="59"/>
      <c r="L38" s="59"/>
      <c r="M38" s="59"/>
      <c r="N38" s="59"/>
      <c r="O38" s="59"/>
    </row>
    <row r="39" spans="1:15">
      <c r="A39" s="309" t="s">
        <v>20</v>
      </c>
      <c r="B39" s="117" cm="1">
        <f t="array" ref="B39">SUMPRODUCT(('Medical Sales'!C3:C196="Seminole")*(LEFT('Medical Sales'!D3:D196,4)="2024")*('Medical Sales'!G3:G196&lt;6000)*('Medical Sales'!G3:G196&gt;0)*('Medical Sales'!U3:U196&lt;&gt;"Yes"))</f>
        <v>0</v>
      </c>
      <c r="C39" s="118" t="str" cm="1">
        <f t="array" ref="C39">IFERROR(MEDIAN(IF(('Medical Sales'!C3:C196="Seminole")*(LEFT('Medical Sales'!D3:D196,4)="2024")*('Medical Sales'!G3:G196&lt;6000)*('Medical Sales'!G3:G196&gt;0)*('Medical Sales'!U3:U196&lt;&gt;"Yes"),'Medical Sales'!E3:E196)),"-")</f>
        <v>-</v>
      </c>
      <c r="D39" s="119" t="str" cm="1">
        <f t="array" ref="D39">IFERROR(MEDIAN(IF(('Medical Sales'!C3:C196="Seminole")*(LEFT('Medical Sales'!D3:D196,4)="2024")*('Medical Sales'!G3:G196&lt;6000)*('Medical Sales'!G3:G196&gt;0)*('Medical Sales'!U3:U196&lt;&gt;"Yes"),'Medical Sales'!F3:F196)),"-")</f>
        <v>-</v>
      </c>
      <c r="E39" s="117" t="str" cm="1">
        <f t="array" ref="E39">IF(B39=0,"-",SUMPRODUCT(('Medical Sales'!C3:C196="Seminole")*(LEFT('Medical Sales'!D3:D196,4)="2024")*('Medical Sales'!G3:G196&lt;6000)*('Medical Sales'!G3:G196&gt;0)*('Medical Sales'!U3:U196&lt;&gt;"Yes")*('Medical Sales'!G3:G196))/B39)</f>
        <v>-</v>
      </c>
      <c r="F39" s="118" cm="1">
        <f t="array" ref="F39">IFERROR(MIN(IF(('Medical Sales'!C3:C196="Seminole")*(LEFT('Medical Sales'!D3:D196,4)="2024")*('Medical Sales'!G3:G196&lt;6000)*('Medical Sales'!G3:G196&gt;0)*('Medical Sales'!U3:U196&lt;&gt;"Yes"),'Medical Sales'!E3:E196)),"-")</f>
        <v>0</v>
      </c>
      <c r="G39" s="118" cm="1">
        <f t="array" ref="G39">IFERROR(MAX(IF(('Medical Sales'!C3:C196="Seminole")*(LEFT('Medical Sales'!D3:D196,4)="2024")*('Medical Sales'!G3:G196&lt;6000)*('Medical Sales'!G3:G196&gt;0)*('Medical Sales'!U3:U196&lt;&gt;"Yes"),'Medical Sales'!E3:E196)),"-")</f>
        <v>0</v>
      </c>
      <c r="H39" s="59"/>
      <c r="I39" s="59"/>
      <c r="J39" s="59"/>
      <c r="K39" s="59"/>
      <c r="L39" s="59"/>
      <c r="M39" s="59"/>
      <c r="N39" s="59"/>
      <c r="O39" s="59"/>
    </row>
    <row r="40" spans="1:15">
      <c r="A40" s="309" t="s">
        <v>678</v>
      </c>
      <c r="B40" s="117" cm="1">
        <f t="array" ref="B40">SUMPRODUCT(('Medical Sales'!C3:C196="Osceola")*(LEFT('Medical Sales'!D3:D196,4)="2024")*('Medical Sales'!G3:G196&lt;6000)*('Medical Sales'!G3:G196&gt;0)*('Medical Sales'!U3:U196&lt;&gt;"Yes"))</f>
        <v>0</v>
      </c>
      <c r="C40" s="118" t="str" cm="1">
        <f t="array" ref="C40">IFERROR(MEDIAN(IF(('Medical Sales'!C3:C196="Osceola")*(LEFT('Medical Sales'!D3:D196,4)="2024")*('Medical Sales'!G3:G196&lt;6000)*('Medical Sales'!G3:G196&gt;0)*('Medical Sales'!U3:U196&lt;&gt;"Yes"),'Medical Sales'!E3:E196)),"-")</f>
        <v>-</v>
      </c>
      <c r="D40" s="119" t="str" cm="1">
        <f t="array" ref="D40">IFERROR(MEDIAN(IF(('Medical Sales'!C3:C196="Osceola")*(LEFT('Medical Sales'!D3:D196,4)="2024")*('Medical Sales'!G3:G196&lt;6000)*('Medical Sales'!G3:G196&gt;0)*('Medical Sales'!U3:U196&lt;&gt;"Yes"),'Medical Sales'!F3:F196)),"-")</f>
        <v>-</v>
      </c>
      <c r="E40" s="117" t="str" cm="1">
        <f t="array" ref="E40">IF(B40=0,"-",SUMPRODUCT(('Medical Sales'!C3:C196="Osceola")*(LEFT('Medical Sales'!D3:D196,4)="2024")*('Medical Sales'!G3:G196&lt;6000)*('Medical Sales'!G3:G196&gt;0)*('Medical Sales'!U3:U196&lt;&gt;"Yes")*('Medical Sales'!G3:G196))/B40)</f>
        <v>-</v>
      </c>
      <c r="F40" s="118" cm="1">
        <f t="array" ref="F40">IFERROR(MIN(IF(('Medical Sales'!C3:C196="Osceola")*(LEFT('Medical Sales'!D3:D196,4)="2024")*('Medical Sales'!G3:G196&lt;6000)*('Medical Sales'!G3:G196&gt;0)*('Medical Sales'!U3:U196&lt;&gt;"Yes"),'Medical Sales'!E3:E196)),"-")</f>
        <v>0</v>
      </c>
      <c r="G40" s="118" cm="1">
        <f t="array" ref="G40">IFERROR(MAX(IF(('Medical Sales'!C3:C196="Osceola")*(LEFT('Medical Sales'!D3:D196,4)="2024")*('Medical Sales'!G3:G196&lt;6000)*('Medical Sales'!G3:G196&gt;0)*('Medical Sales'!U3:U196&lt;&gt;"Yes"),'Medical Sales'!E3:E196)),"-")</f>
        <v>0</v>
      </c>
      <c r="H40" s="59"/>
      <c r="I40" s="59"/>
      <c r="J40" s="59"/>
      <c r="K40" s="59"/>
      <c r="L40" s="59"/>
      <c r="M40" s="59"/>
      <c r="N40" s="59"/>
      <c r="O40" s="59"/>
    </row>
    <row r="41" spans="1:15">
      <c r="A41" s="309" t="s">
        <v>184</v>
      </c>
      <c r="B41" s="117" cm="1">
        <f t="array" ref="B41">SUMPRODUCT(('Medical Sales'!C3:C196="Lake")*(LEFT('Medical Sales'!D3:D196,4)="2024")*('Medical Sales'!G3:G196&lt;6000)*('Medical Sales'!G3:G196&gt;0)*('Medical Sales'!U3:U196&lt;&gt;"Yes"))</f>
        <v>0</v>
      </c>
      <c r="C41" s="118" t="str" cm="1">
        <f t="array" ref="C41">IFERROR(MEDIAN(IF(('Medical Sales'!C3:C196="Lake")*(LEFT('Medical Sales'!D3:D196,4)="2024")*('Medical Sales'!G3:G196&lt;6000)*('Medical Sales'!G3:G196&gt;0)*('Medical Sales'!U3:U196&lt;&gt;"Yes"),'Medical Sales'!E3:E196)),"-")</f>
        <v>-</v>
      </c>
      <c r="D41" s="119" t="str" cm="1">
        <f t="array" ref="D41">IFERROR(MEDIAN(IF(('Medical Sales'!C3:C196="Lake")*(LEFT('Medical Sales'!D3:D196,4)="2024")*('Medical Sales'!G3:G196&lt;6000)*('Medical Sales'!G3:G196&gt;0)*('Medical Sales'!U3:U196&lt;&gt;"Yes"),'Medical Sales'!F3:F196)),"-")</f>
        <v>-</v>
      </c>
      <c r="E41" s="117" t="str" cm="1">
        <f t="array" ref="E41">IF(B41=0,"-",SUMPRODUCT(('Medical Sales'!C3:C196="Lake")*(LEFT('Medical Sales'!D3:D196,4)="2024")*('Medical Sales'!G3:G196&lt;6000)*('Medical Sales'!G3:G196&gt;0)*('Medical Sales'!U3:U196&lt;&gt;"Yes")*('Medical Sales'!G3:G196))/B41)</f>
        <v>-</v>
      </c>
      <c r="F41" s="118" cm="1">
        <f t="array" ref="F41">IFERROR(MIN(IF(('Medical Sales'!C3:C196="Lake")*(LEFT('Medical Sales'!D3:D196,4)="2024")*('Medical Sales'!G3:G196&lt;6000)*('Medical Sales'!G3:G196&gt;0)*('Medical Sales'!U3:U196&lt;&gt;"Yes"),'Medical Sales'!E3:E196)),"-")</f>
        <v>0</v>
      </c>
      <c r="G41" s="118" cm="1">
        <f t="array" ref="G41">IFERROR(MAX(IF(('Medical Sales'!C3:C196="Lake")*(LEFT('Medical Sales'!D3:D196,4)="2024")*('Medical Sales'!G3:G196&lt;6000)*('Medical Sales'!G3:G196&gt;0)*('Medical Sales'!U3:U196&lt;&gt;"Yes"),'Medical Sales'!E3:E196)),"-")</f>
        <v>0</v>
      </c>
      <c r="H41" s="59"/>
      <c r="I41" s="59"/>
      <c r="J41" s="59"/>
      <c r="K41" s="59"/>
      <c r="L41" s="59"/>
      <c r="M41" s="59"/>
      <c r="N41" s="59"/>
      <c r="O41" s="59"/>
    </row>
    <row r="42" spans="1:15">
      <c r="A42" s="59"/>
      <c r="B42" s="59"/>
      <c r="C42" s="59"/>
      <c r="D42" s="59"/>
      <c r="E42" s="59"/>
      <c r="F42" s="59"/>
      <c r="G42" s="59"/>
      <c r="H42" s="59"/>
      <c r="I42" s="59"/>
      <c r="J42" s="59"/>
      <c r="K42" s="59"/>
      <c r="L42" s="59"/>
      <c r="M42" s="59"/>
      <c r="N42" s="59"/>
      <c r="O42" s="59"/>
    </row>
    <row r="43" spans="1:15" ht="19">
      <c r="A43" s="181" t="s">
        <v>6475</v>
      </c>
      <c r="B43" s="181"/>
      <c r="C43" s="181"/>
      <c r="D43" s="181"/>
      <c r="E43" s="181"/>
      <c r="F43" s="181"/>
      <c r="G43" s="181"/>
      <c r="H43" s="181"/>
      <c r="I43" s="181"/>
      <c r="J43" s="181"/>
      <c r="K43" s="181"/>
      <c r="L43" s="59"/>
      <c r="M43" s="59"/>
      <c r="N43" s="59"/>
      <c r="O43" s="59"/>
    </row>
    <row r="44" spans="1:15">
      <c r="A44" s="183" t="s">
        <v>6476</v>
      </c>
      <c r="B44" s="183"/>
      <c r="C44" s="183"/>
      <c r="D44" s="184" t="s">
        <v>6477</v>
      </c>
      <c r="E44" s="184"/>
      <c r="F44" s="184"/>
      <c r="G44" s="184"/>
      <c r="H44" s="184"/>
      <c r="I44" s="184"/>
      <c r="J44" s="184"/>
      <c r="K44" s="59"/>
      <c r="L44" s="59"/>
      <c r="M44" s="59"/>
      <c r="N44" s="59"/>
      <c r="O44" s="59"/>
    </row>
    <row r="45" spans="1:15">
      <c r="A45" s="57" t="s">
        <v>6472</v>
      </c>
      <c r="B45" s="62" cm="1">
        <f t="array" ref="B45">SUMPRODUCT((LEFT('Medical Sales'!D3:D196,4)="2024")*('Medical Sales'!G3:G196&gt;=6000)*('Medical Sales'!G3:G196&lt;10000)*('Medical Sales'!U3:U196&lt;&gt;"Yes"))</f>
        <v>1</v>
      </c>
      <c r="C45" s="59"/>
      <c r="D45" s="299" t="s">
        <v>6474</v>
      </c>
      <c r="E45" s="298"/>
      <c r="F45" s="298"/>
      <c r="G45" s="298"/>
      <c r="H45" s="298"/>
      <c r="I45" s="298"/>
      <c r="J45" s="298"/>
      <c r="K45" s="59"/>
      <c r="L45" s="59"/>
      <c r="M45" s="59"/>
      <c r="N45" s="59"/>
      <c r="O45" s="59"/>
    </row>
    <row r="46" spans="1:15">
      <c r="A46" s="57" t="s">
        <v>6216</v>
      </c>
      <c r="B46" s="63" cm="1">
        <f t="array" ref="B46">SUMPRODUCT((LEFT('Medical Sales'!D3:D196,4)="2024")*('Medical Sales'!G3:G196&gt;=6000)*('Medical Sales'!G3:G196&lt;10000)*('Medical Sales'!U3:U196&lt;&gt;"Yes")*('Medical Sales'!E3:E196))</f>
        <v>4225000</v>
      </c>
      <c r="C46" s="59"/>
      <c r="D46" s="298"/>
      <c r="E46" s="298"/>
      <c r="F46" s="298"/>
      <c r="G46" s="298"/>
      <c r="H46" s="298"/>
      <c r="I46" s="298"/>
      <c r="J46" s="298"/>
      <c r="K46" s="59"/>
      <c r="L46" s="59"/>
      <c r="M46" s="59"/>
      <c r="N46" s="59"/>
      <c r="O46" s="59"/>
    </row>
    <row r="47" spans="1:15">
      <c r="A47" s="57" t="s">
        <v>6218</v>
      </c>
      <c r="B47" s="63" cm="1">
        <f t="array" ref="B47">IFERROR(MEDIAN(IF((LEFT('Medical Sales'!D3:D196,4)="2024")*('Medical Sales'!G3:G196&gt;=6000)*('Medical Sales'!G3:G196&lt;10000)*('Medical Sales'!U3:U196&lt;&gt;"Yes"),'Medical Sales'!E3:E196)),"-")</f>
        <v>4225000</v>
      </c>
      <c r="C47" s="59"/>
      <c r="D47" s="298"/>
      <c r="E47" s="298"/>
      <c r="F47" s="298"/>
      <c r="G47" s="298"/>
      <c r="H47" s="298"/>
      <c r="I47" s="298"/>
      <c r="J47" s="298"/>
      <c r="K47" s="59"/>
      <c r="L47" s="59"/>
      <c r="M47" s="59"/>
      <c r="N47" s="59"/>
      <c r="O47" s="59"/>
    </row>
    <row r="48" spans="1:15">
      <c r="A48" s="57" t="s">
        <v>6259</v>
      </c>
      <c r="B48" s="63">
        <f>IF(B45=0,"-",B46/B45)</f>
        <v>4225000</v>
      </c>
      <c r="C48" s="59"/>
      <c r="D48" s="298"/>
      <c r="E48" s="298"/>
      <c r="F48" s="298"/>
      <c r="G48" s="298"/>
      <c r="H48" s="298"/>
      <c r="I48" s="298"/>
      <c r="J48" s="298"/>
      <c r="K48" s="59"/>
      <c r="L48" s="59"/>
      <c r="M48" s="59"/>
      <c r="N48" s="59"/>
      <c r="O48" s="59"/>
    </row>
    <row r="49" spans="1:15">
      <c r="A49" s="57" t="s">
        <v>6220</v>
      </c>
      <c r="B49" s="61" cm="1">
        <f t="array" ref="B49">IFERROR(MEDIAN(IF((LEFT('Medical Sales'!D3:D196,4)="2024")*('Medical Sales'!G3:G196&gt;=6000)*('Medical Sales'!G3:G196&lt;10000)*('Medical Sales'!U3:U196&lt;&gt;"Yes"),'Medical Sales'!F3:F196)),"-")</f>
        <v>479.56867196367762</v>
      </c>
      <c r="C49" s="59"/>
      <c r="D49" s="298"/>
      <c r="E49" s="298"/>
      <c r="F49" s="298"/>
      <c r="G49" s="298"/>
      <c r="H49" s="298"/>
      <c r="I49" s="298"/>
      <c r="J49" s="298"/>
      <c r="K49" s="59"/>
      <c r="L49" s="59"/>
      <c r="M49" s="59"/>
      <c r="N49" s="59"/>
      <c r="O49" s="59"/>
    </row>
    <row r="50" spans="1:15">
      <c r="A50" s="309" t="s">
        <v>6260</v>
      </c>
      <c r="B50" s="119" cm="1">
        <f t="array" ref="B50">IF(B45=0,"-",SUMPRODUCT((LEFT('Medical Sales'!D3:D196,4)="2024")*('Medical Sales'!G3:G196&gt;=6000)*('Medical Sales'!G3:G196&lt;10000)*('Medical Sales'!U3:U196&lt;&gt;"Yes")*('Medical Sales'!F3:F196))/B45)</f>
        <v>479.56867196367762</v>
      </c>
      <c r="C50" s="313"/>
      <c r="D50" s="338"/>
      <c r="E50" s="338"/>
      <c r="F50" s="338"/>
      <c r="G50" s="338"/>
      <c r="H50" s="298"/>
      <c r="I50" s="298"/>
      <c r="J50" s="298"/>
      <c r="K50" s="59"/>
      <c r="L50" s="59"/>
      <c r="M50" s="59"/>
      <c r="N50" s="59"/>
      <c r="O50" s="59"/>
    </row>
    <row r="51" spans="1:15">
      <c r="A51" s="309" t="s">
        <v>6261</v>
      </c>
      <c r="B51" s="117" cm="1">
        <f t="array" ref="B51">IF(B45=0,"-",SUMPRODUCT((LEFT('Medical Sales'!D3:D196,4)="2024")*('Medical Sales'!G3:G196&gt;=6000)*('Medical Sales'!G3:G196&lt;10000)*('Medical Sales'!U3:U196&lt;&gt;"Yes")*('Medical Sales'!G3:G196))/B45)</f>
        <v>8810</v>
      </c>
      <c r="C51" s="313"/>
      <c r="D51" s="338"/>
      <c r="E51" s="338"/>
      <c r="F51" s="338"/>
      <c r="G51" s="338"/>
      <c r="H51" s="298"/>
      <c r="I51" s="298"/>
      <c r="J51" s="298"/>
      <c r="K51" s="59"/>
      <c r="L51" s="59"/>
      <c r="M51" s="59"/>
      <c r="N51" s="59"/>
      <c r="O51" s="59"/>
    </row>
    <row r="52" spans="1:15">
      <c r="A52" s="309" t="s">
        <v>6262</v>
      </c>
      <c r="B52" s="118" cm="1">
        <f t="array" ref="B52">IFERROR(MIN(IF((LEFT('Medical Sales'!D3:D196,4)="2024")*('Medical Sales'!G3:G196&gt;=6000)*('Medical Sales'!G3:G196&lt;10000)*('Medical Sales'!U3:U196&lt;&gt;"Yes"),'Medical Sales'!E3:E196)),"-")</f>
        <v>4225000</v>
      </c>
      <c r="C52" s="313"/>
      <c r="D52" s="338"/>
      <c r="E52" s="338"/>
      <c r="F52" s="338"/>
      <c r="G52" s="338"/>
      <c r="H52" s="298"/>
      <c r="I52" s="298"/>
      <c r="J52" s="298"/>
      <c r="K52" s="59"/>
      <c r="L52" s="59"/>
      <c r="M52" s="59"/>
      <c r="N52" s="59"/>
      <c r="O52" s="59"/>
    </row>
    <row r="53" spans="1:15">
      <c r="A53" s="309" t="s">
        <v>6263</v>
      </c>
      <c r="B53" s="118" cm="1">
        <f t="array" ref="B53">IFERROR(MAX(IF((LEFT('Medical Sales'!D3:D196,4)="2024")*('Medical Sales'!G3:G196&gt;=6000)*('Medical Sales'!G3:G196&lt;10000)*('Medical Sales'!U3:U196&lt;&gt;"Yes"),'Medical Sales'!E3:E196)),"-")</f>
        <v>4225000</v>
      </c>
      <c r="C53" s="313"/>
      <c r="D53" s="313"/>
      <c r="E53" s="313"/>
      <c r="F53" s="313"/>
      <c r="G53" s="313"/>
      <c r="H53" s="59"/>
      <c r="I53" s="59"/>
      <c r="J53" s="59"/>
      <c r="K53" s="59"/>
      <c r="L53" s="59"/>
      <c r="M53" s="59"/>
      <c r="N53" s="59"/>
      <c r="O53" s="59"/>
    </row>
    <row r="54" spans="1:15">
      <c r="A54" s="313"/>
      <c r="B54" s="313"/>
      <c r="C54" s="313"/>
      <c r="D54" s="313"/>
      <c r="E54" s="313"/>
      <c r="F54" s="313"/>
      <c r="G54" s="313"/>
      <c r="H54" s="59"/>
      <c r="I54" s="59"/>
      <c r="J54" s="59"/>
      <c r="K54" s="59"/>
      <c r="L54" s="59"/>
      <c r="M54" s="59"/>
      <c r="N54" s="59"/>
      <c r="O54" s="59"/>
    </row>
    <row r="55" spans="1:15">
      <c r="A55" s="183" t="s">
        <v>6478</v>
      </c>
      <c r="B55" s="59"/>
      <c r="C55" s="59"/>
      <c r="D55" s="59"/>
      <c r="E55" s="59"/>
      <c r="F55" s="59"/>
      <c r="G55" s="59"/>
      <c r="H55" s="59"/>
      <c r="I55" s="59"/>
      <c r="J55" s="59"/>
      <c r="K55" s="59"/>
      <c r="L55" s="59"/>
      <c r="M55" s="59"/>
      <c r="N55" s="59"/>
      <c r="O55" s="59"/>
    </row>
    <row r="56" spans="1:15">
      <c r="A56" s="335" t="s">
        <v>2</v>
      </c>
      <c r="B56" s="335" t="s">
        <v>6215</v>
      </c>
      <c r="C56" s="335" t="s">
        <v>6218</v>
      </c>
      <c r="D56" s="335" t="s">
        <v>6220</v>
      </c>
      <c r="E56" s="335" t="s">
        <v>6221</v>
      </c>
      <c r="F56" s="335" t="s">
        <v>6230</v>
      </c>
      <c r="G56" s="335" t="s">
        <v>6231</v>
      </c>
      <c r="H56" s="59"/>
      <c r="I56" s="59"/>
      <c r="J56" s="59"/>
      <c r="K56" s="59"/>
      <c r="L56" s="59"/>
      <c r="M56" s="59"/>
      <c r="N56" s="59"/>
      <c r="O56" s="59"/>
    </row>
    <row r="57" spans="1:15">
      <c r="A57" s="309" t="s">
        <v>33</v>
      </c>
      <c r="B57" s="117" cm="1">
        <f t="array" ref="B57">SUMPRODUCT(('Medical Sales'!C3:C196="Orange")*(LEFT('Medical Sales'!D3:D196,4)="2024")*('Medical Sales'!G3:G196&gt;=6000)*('Medical Sales'!G3:G196&lt;10000)*('Medical Sales'!U3:U196&lt;&gt;"Yes"))</f>
        <v>0</v>
      </c>
      <c r="C57" s="118" t="str" cm="1">
        <f t="array" ref="C57">IFERROR(MEDIAN(IF(('Medical Sales'!C3:C196="Orange")*(LEFT('Medical Sales'!D3:D196,4)="2024")*('Medical Sales'!G3:G196&gt;=6000)*('Medical Sales'!G3:G196&lt;10000)*('Medical Sales'!U3:U196&lt;&gt;"Yes"),'Medical Sales'!E3:E196)),"-")</f>
        <v>-</v>
      </c>
      <c r="D57" s="119" t="str" cm="1">
        <f t="array" ref="D57">IFERROR(MEDIAN(IF(('Medical Sales'!C3:C196="Orange")*(LEFT('Medical Sales'!D3:D196,4)="2024")*('Medical Sales'!G3:G196&gt;=6000)*('Medical Sales'!G3:G196&lt;10000)*('Medical Sales'!U3:U196&lt;&gt;"Yes"),'Medical Sales'!F3:F196)),"-")</f>
        <v>-</v>
      </c>
      <c r="E57" s="117" t="str" cm="1">
        <f t="array" ref="E57">IF(B57=0,"-",SUMPRODUCT(('Medical Sales'!C3:C196="Orange")*(LEFT('Medical Sales'!D3:D196,4)="2024")*('Medical Sales'!G3:G196&gt;=6000)*('Medical Sales'!G3:G196&lt;10000)*('Medical Sales'!U3:U196&lt;&gt;"Yes")*('Medical Sales'!G3:G196))/B57)</f>
        <v>-</v>
      </c>
      <c r="F57" s="118" cm="1">
        <f t="array" ref="F57">IFERROR(MIN(IF(('Medical Sales'!C3:C196="Orange")*(LEFT('Medical Sales'!D3:D196,4)="2024")*('Medical Sales'!G3:G196&gt;=6000)*('Medical Sales'!G3:G196&lt;10000)*('Medical Sales'!U3:U196&lt;&gt;"Yes"),'Medical Sales'!E3:E196)),"-")</f>
        <v>0</v>
      </c>
      <c r="G57" s="118" cm="1">
        <f t="array" ref="G57">IFERROR(MAX(IF(('Medical Sales'!C3:C196="Orange")*(LEFT('Medical Sales'!D3:D196,4)="2024")*('Medical Sales'!G3:G196&gt;=6000)*('Medical Sales'!G3:G196&lt;10000)*('Medical Sales'!U3:U196&lt;&gt;"Yes"),'Medical Sales'!E3:E196)),"-")</f>
        <v>0</v>
      </c>
      <c r="H57" s="59"/>
      <c r="I57" s="59"/>
      <c r="J57" s="59"/>
      <c r="K57" s="59"/>
      <c r="L57" s="59"/>
      <c r="M57" s="59"/>
      <c r="N57" s="59"/>
      <c r="O57" s="59"/>
    </row>
    <row r="58" spans="1:15">
      <c r="A58" s="309" t="s">
        <v>20</v>
      </c>
      <c r="B58" s="117" cm="1">
        <f t="array" ref="B58">SUMPRODUCT(('Medical Sales'!C3:C196="Seminole")*(LEFT('Medical Sales'!D3:D196,4)="2024")*('Medical Sales'!G3:G196&gt;=6000)*('Medical Sales'!G3:G196&lt;10000)*('Medical Sales'!U3:U196&lt;&gt;"Yes"))</f>
        <v>1</v>
      </c>
      <c r="C58" s="118" cm="1">
        <f t="array" ref="C58">IFERROR(MEDIAN(IF(('Medical Sales'!C3:C196="Seminole")*(LEFT('Medical Sales'!D3:D196,4)="2024")*('Medical Sales'!G3:G196&gt;=6000)*('Medical Sales'!G3:G196&lt;10000)*('Medical Sales'!U3:U196&lt;&gt;"Yes"),'Medical Sales'!E3:E196)),"-")</f>
        <v>4225000</v>
      </c>
      <c r="D58" s="119" cm="1">
        <f t="array" ref="D58">IFERROR(MEDIAN(IF(('Medical Sales'!C3:C196="Seminole")*(LEFT('Medical Sales'!D3:D196,4)="2024")*('Medical Sales'!G3:G196&gt;=6000)*('Medical Sales'!G3:G196&lt;10000)*('Medical Sales'!U3:U196&lt;&gt;"Yes"),'Medical Sales'!F3:F196)),"-")</f>
        <v>479.56867196367762</v>
      </c>
      <c r="E58" s="117" cm="1">
        <f t="array" ref="E58">IF(B58=0,"-",SUMPRODUCT(('Medical Sales'!C3:C196="Seminole")*(LEFT('Medical Sales'!D3:D196,4)="2024")*('Medical Sales'!G3:G196&gt;=6000)*('Medical Sales'!G3:G196&lt;10000)*('Medical Sales'!U3:U196&lt;&gt;"Yes")*('Medical Sales'!G3:G196))/B58)</f>
        <v>8810</v>
      </c>
      <c r="F58" s="118" cm="1">
        <f t="array" ref="F58">IFERROR(MIN(IF(('Medical Sales'!C3:C196="Seminole")*(LEFT('Medical Sales'!D3:D196,4)="2024")*('Medical Sales'!G3:G196&gt;=6000)*('Medical Sales'!G3:G196&lt;10000)*('Medical Sales'!U3:U196&lt;&gt;"Yes"),'Medical Sales'!E3:E196)),"-")</f>
        <v>4225000</v>
      </c>
      <c r="G58" s="118" cm="1">
        <f t="array" ref="G58">IFERROR(MAX(IF(('Medical Sales'!C3:C196="Seminole")*(LEFT('Medical Sales'!D3:D196,4)="2024")*('Medical Sales'!G3:G196&gt;=6000)*('Medical Sales'!G3:G196&lt;10000)*('Medical Sales'!U3:U196&lt;&gt;"Yes"),'Medical Sales'!E3:E196)),"-")</f>
        <v>4225000</v>
      </c>
      <c r="H58" s="59"/>
      <c r="I58" s="59"/>
      <c r="J58" s="59"/>
      <c r="K58" s="59"/>
      <c r="L58" s="59"/>
      <c r="M58" s="59"/>
      <c r="N58" s="59"/>
      <c r="O58" s="59"/>
    </row>
    <row r="59" spans="1:15">
      <c r="A59" s="309" t="s">
        <v>678</v>
      </c>
      <c r="B59" s="117" cm="1">
        <f t="array" ref="B59">SUMPRODUCT(('Medical Sales'!C3:C196="Osceola")*(LEFT('Medical Sales'!D3:D196,4)="2024")*('Medical Sales'!G3:G196&gt;=6000)*('Medical Sales'!G3:G196&lt;10000)*('Medical Sales'!U3:U196&lt;&gt;"Yes"))</f>
        <v>0</v>
      </c>
      <c r="C59" s="118" t="str" cm="1">
        <f t="array" ref="C59">IFERROR(MEDIAN(IF(('Medical Sales'!C3:C196="Osceola")*(LEFT('Medical Sales'!D3:D196,4)="2024")*('Medical Sales'!G3:G196&gt;=6000)*('Medical Sales'!G3:G196&lt;10000)*('Medical Sales'!U3:U196&lt;&gt;"Yes"),'Medical Sales'!E3:E196)),"-")</f>
        <v>-</v>
      </c>
      <c r="D59" s="119" t="str" cm="1">
        <f t="array" ref="D59">IFERROR(MEDIAN(IF(('Medical Sales'!C3:C196="Osceola")*(LEFT('Medical Sales'!D3:D196,4)="2024")*('Medical Sales'!G3:G196&gt;=6000)*('Medical Sales'!G3:G196&lt;10000)*('Medical Sales'!U3:U196&lt;&gt;"Yes"),'Medical Sales'!F3:F196)),"-")</f>
        <v>-</v>
      </c>
      <c r="E59" s="117" t="str" cm="1">
        <f t="array" ref="E59">IF(B59=0,"-",SUMPRODUCT(('Medical Sales'!C3:C196="Osceola")*(LEFT('Medical Sales'!D3:D196,4)="2024")*('Medical Sales'!G3:G196&gt;=6000)*('Medical Sales'!G3:G196&lt;10000)*('Medical Sales'!U3:U196&lt;&gt;"Yes")*('Medical Sales'!G3:G196))/B59)</f>
        <v>-</v>
      </c>
      <c r="F59" s="118" cm="1">
        <f t="array" ref="F59">IFERROR(MIN(IF(('Medical Sales'!C3:C196="Osceola")*(LEFT('Medical Sales'!D3:D196,4)="2024")*('Medical Sales'!G3:G196&gt;=6000)*('Medical Sales'!G3:G196&lt;10000)*('Medical Sales'!U3:U196&lt;&gt;"Yes"),'Medical Sales'!E3:E196)),"-")</f>
        <v>0</v>
      </c>
      <c r="G59" s="118" cm="1">
        <f t="array" ref="G59">IFERROR(MAX(IF(('Medical Sales'!C3:C196="Osceola")*(LEFT('Medical Sales'!D3:D196,4)="2024")*('Medical Sales'!G3:G196&gt;=6000)*('Medical Sales'!G3:G196&lt;10000)*('Medical Sales'!U3:U196&lt;&gt;"Yes"),'Medical Sales'!E3:E196)),"-")</f>
        <v>0</v>
      </c>
      <c r="H59" s="59"/>
      <c r="I59" s="59"/>
      <c r="J59" s="59"/>
      <c r="K59" s="59"/>
      <c r="L59" s="59"/>
      <c r="M59" s="59"/>
      <c r="N59" s="59"/>
      <c r="O59" s="59"/>
    </row>
    <row r="60" spans="1:15">
      <c r="A60" s="309" t="s">
        <v>184</v>
      </c>
      <c r="B60" s="117" cm="1">
        <f t="array" ref="B60">SUMPRODUCT(('Medical Sales'!C3:C196="Lake")*(LEFT('Medical Sales'!D3:D196,4)="2024")*('Medical Sales'!G3:G196&gt;=6000)*('Medical Sales'!G3:G196&lt;10000)*('Medical Sales'!U3:U196&lt;&gt;"Yes"))</f>
        <v>0</v>
      </c>
      <c r="C60" s="118" t="str" cm="1">
        <f t="array" ref="C60">IFERROR(MEDIAN(IF(('Medical Sales'!C3:C196="Lake")*(LEFT('Medical Sales'!D3:D196,4)="2024")*('Medical Sales'!G3:G196&gt;=6000)*('Medical Sales'!G3:G196&lt;10000)*('Medical Sales'!U3:U196&lt;&gt;"Yes"),'Medical Sales'!E3:E196)),"-")</f>
        <v>-</v>
      </c>
      <c r="D60" s="119" t="str" cm="1">
        <f t="array" ref="D60">IFERROR(MEDIAN(IF(('Medical Sales'!C3:C196="Lake")*(LEFT('Medical Sales'!D3:D196,4)="2024")*('Medical Sales'!G3:G196&gt;=6000)*('Medical Sales'!G3:G196&lt;10000)*('Medical Sales'!U3:U196&lt;&gt;"Yes"),'Medical Sales'!F3:F196)),"-")</f>
        <v>-</v>
      </c>
      <c r="E60" s="117" t="str" cm="1">
        <f t="array" ref="E60">IF(B60=0,"-",SUMPRODUCT(('Medical Sales'!C3:C196="Lake")*(LEFT('Medical Sales'!D3:D196,4)="2024")*('Medical Sales'!G3:G196&gt;=6000)*('Medical Sales'!G3:G196&lt;10000)*('Medical Sales'!U3:U196&lt;&gt;"Yes")*('Medical Sales'!G3:G196))/B60)</f>
        <v>-</v>
      </c>
      <c r="F60" s="118" cm="1">
        <f t="array" ref="F60">IFERROR(MIN(IF(('Medical Sales'!C3:C196="Lake")*(LEFT('Medical Sales'!D3:D196,4)="2024")*('Medical Sales'!G3:G196&gt;=6000)*('Medical Sales'!G3:G196&lt;10000)*('Medical Sales'!U3:U196&lt;&gt;"Yes"),'Medical Sales'!E3:E196)),"-")</f>
        <v>0</v>
      </c>
      <c r="G60" s="118" cm="1">
        <f t="array" ref="G60">IFERROR(MAX(IF(('Medical Sales'!C3:C196="Lake")*(LEFT('Medical Sales'!D3:D196,4)="2024")*('Medical Sales'!G3:G196&gt;=6000)*('Medical Sales'!G3:G196&lt;10000)*('Medical Sales'!U3:U196&lt;&gt;"Yes"),'Medical Sales'!E3:E196)),"-")</f>
        <v>0</v>
      </c>
      <c r="H60" s="59"/>
      <c r="I60" s="59"/>
      <c r="J60" s="59"/>
      <c r="K60" s="59"/>
      <c r="L60" s="59"/>
      <c r="M60" s="59"/>
      <c r="N60" s="59"/>
      <c r="O60" s="59"/>
    </row>
    <row r="61" spans="1:15">
      <c r="A61" s="59"/>
      <c r="B61" s="59"/>
      <c r="C61" s="59"/>
      <c r="D61" s="59"/>
      <c r="E61" s="59"/>
      <c r="F61" s="59"/>
      <c r="G61" s="59"/>
      <c r="H61" s="59"/>
      <c r="I61" s="59"/>
      <c r="J61" s="59"/>
      <c r="K61" s="59"/>
      <c r="L61" s="59"/>
      <c r="M61" s="59"/>
      <c r="N61" s="59"/>
      <c r="O61" s="59"/>
    </row>
    <row r="62" spans="1:15" ht="19">
      <c r="A62" s="87" t="s">
        <v>6265</v>
      </c>
      <c r="B62" s="87"/>
      <c r="C62" s="87"/>
      <c r="D62" s="87"/>
      <c r="E62" s="87"/>
      <c r="F62" s="87"/>
      <c r="G62" s="87"/>
      <c r="H62" s="87"/>
      <c r="I62" s="87"/>
      <c r="J62" s="87"/>
      <c r="K62" s="87"/>
      <c r="L62" s="59"/>
      <c r="M62" s="59"/>
      <c r="N62" s="59"/>
      <c r="O62" s="59"/>
    </row>
    <row r="63" spans="1:15">
      <c r="A63" s="89" t="s">
        <v>6479</v>
      </c>
      <c r="B63" s="89"/>
      <c r="C63" s="89"/>
      <c r="D63" s="109" t="s">
        <v>6480</v>
      </c>
      <c r="E63" s="109"/>
      <c r="F63" s="109"/>
      <c r="G63" s="109"/>
      <c r="H63" s="109"/>
      <c r="I63" s="109"/>
      <c r="J63" s="109"/>
      <c r="K63" s="59"/>
      <c r="L63" s="59"/>
      <c r="M63" s="59"/>
      <c r="N63" s="59"/>
      <c r="O63" s="59"/>
    </row>
    <row r="64" spans="1:15">
      <c r="A64" s="57" t="s">
        <v>6472</v>
      </c>
      <c r="B64" s="62" cm="1">
        <f t="array" ref="B64">SUMPRODUCT((LEFT('Medical Sales'!D3:D196,4)="2024")*('Medical Sales'!G3:G196&gt;=10000)*('Medical Sales'!G3:G196&gt;0)*('Medical Sales'!U3:U196&lt;&gt;"Yes"))</f>
        <v>1</v>
      </c>
      <c r="C64" s="59"/>
      <c r="D64" s="300" t="s">
        <v>6474</v>
      </c>
      <c r="E64" s="111"/>
      <c r="F64" s="111"/>
      <c r="G64" s="111"/>
      <c r="H64" s="111"/>
      <c r="I64" s="111"/>
      <c r="J64" s="111"/>
      <c r="K64" s="59"/>
      <c r="L64" s="59"/>
      <c r="M64" s="59"/>
      <c r="N64" s="59"/>
      <c r="O64" s="59"/>
    </row>
    <row r="65" spans="1:15">
      <c r="A65" s="57" t="s">
        <v>6216</v>
      </c>
      <c r="B65" s="63" cm="1">
        <f t="array" ref="B65">SUMPRODUCT((LEFT('Medical Sales'!D3:D196,4)="2024")*('Medical Sales'!G3:G196&gt;=10000)*('Medical Sales'!G3:G196&gt;0)*('Medical Sales'!U3:U196&lt;&gt;"Yes")*('Medical Sales'!E3:E196))</f>
        <v>3200000</v>
      </c>
      <c r="C65" s="59"/>
      <c r="D65" s="111"/>
      <c r="E65" s="111"/>
      <c r="F65" s="111"/>
      <c r="G65" s="111"/>
      <c r="H65" s="111"/>
      <c r="I65" s="111"/>
      <c r="J65" s="111"/>
      <c r="K65" s="59"/>
      <c r="L65" s="59"/>
      <c r="M65" s="59"/>
      <c r="N65" s="59"/>
      <c r="O65" s="59"/>
    </row>
    <row r="66" spans="1:15">
      <c r="A66" s="57" t="s">
        <v>6218</v>
      </c>
      <c r="B66" s="63" cm="1">
        <f t="array" ref="B66">IFERROR(MEDIAN(IF((LEFT('Medical Sales'!D3:D196,4)="2024")*('Medical Sales'!G3:G196&gt;=10000)*('Medical Sales'!G3:G196&gt;0)*('Medical Sales'!U3:U196&lt;&gt;"Yes"),'Medical Sales'!E3:E196)),"-")</f>
        <v>3200000</v>
      </c>
      <c r="C66" s="59"/>
      <c r="D66" s="111"/>
      <c r="E66" s="111"/>
      <c r="F66" s="111"/>
      <c r="G66" s="111"/>
      <c r="H66" s="111"/>
      <c r="I66" s="111"/>
      <c r="J66" s="111"/>
      <c r="K66" s="59"/>
      <c r="L66" s="59"/>
      <c r="M66" s="59"/>
      <c r="N66" s="59"/>
      <c r="O66" s="59"/>
    </row>
    <row r="67" spans="1:15">
      <c r="A67" s="57" t="s">
        <v>6259</v>
      </c>
      <c r="B67" s="63">
        <f>IF(B64=0,"-",B65/B64)</f>
        <v>3200000</v>
      </c>
      <c r="C67" s="59"/>
      <c r="D67" s="111"/>
      <c r="E67" s="111"/>
      <c r="F67" s="111"/>
      <c r="G67" s="111"/>
      <c r="H67" s="111"/>
      <c r="I67" s="111"/>
      <c r="J67" s="111"/>
      <c r="K67" s="59"/>
      <c r="L67" s="59"/>
      <c r="M67" s="59"/>
      <c r="N67" s="59"/>
      <c r="O67" s="59"/>
    </row>
    <row r="68" spans="1:15">
      <c r="A68" s="57" t="s">
        <v>6220</v>
      </c>
      <c r="B68" s="61" cm="1">
        <f t="array" ref="B68">IFERROR(MEDIAN(IF((LEFT('Medical Sales'!D3:D196,4)="2024")*('Medical Sales'!G3:G196&gt;=10000)*('Medical Sales'!G3:G196&gt;0)*('Medical Sales'!U3:U196&lt;&gt;"Yes"),'Medical Sales'!F3:F196)),"-")</f>
        <v>119.69776314805117</v>
      </c>
      <c r="C68" s="59"/>
      <c r="D68" s="111"/>
      <c r="E68" s="111"/>
      <c r="F68" s="111"/>
      <c r="G68" s="111"/>
      <c r="H68" s="111"/>
      <c r="I68" s="111"/>
      <c r="J68" s="111"/>
      <c r="K68" s="59"/>
      <c r="L68" s="59"/>
      <c r="M68" s="59"/>
      <c r="N68" s="59"/>
      <c r="O68" s="59"/>
    </row>
    <row r="69" spans="1:15">
      <c r="A69" s="309" t="s">
        <v>6260</v>
      </c>
      <c r="B69" s="119" cm="1">
        <f t="array" ref="B69">IF(B64=0,"-",SUMPRODUCT((LEFT('Medical Sales'!D3:D196,4)="2024")*('Medical Sales'!G3:G196&gt;=10000)*('Medical Sales'!G3:G196&gt;0)*('Medical Sales'!U3:U196&lt;&gt;"Yes")*('Medical Sales'!F3:F196))/B64)</f>
        <v>119.69776314805117</v>
      </c>
      <c r="C69" s="313"/>
      <c r="D69" s="339"/>
      <c r="E69" s="339"/>
      <c r="F69" s="339"/>
      <c r="G69" s="339"/>
      <c r="H69" s="111"/>
      <c r="I69" s="111"/>
      <c r="J69" s="111"/>
      <c r="K69" s="59"/>
      <c r="L69" s="59"/>
      <c r="M69" s="59"/>
      <c r="N69" s="59"/>
      <c r="O69" s="59"/>
    </row>
    <row r="70" spans="1:15">
      <c r="A70" s="309" t="s">
        <v>6261</v>
      </c>
      <c r="B70" s="117" cm="1">
        <f t="array" ref="B70">IF(B64=0,"-",SUMPRODUCT((LEFT('Medical Sales'!D3:D196,4)="2024")*('Medical Sales'!G3:G196&gt;=10000)*('Medical Sales'!G3:G196&gt;0)*('Medical Sales'!U3:U196&lt;&gt;"Yes")*('Medical Sales'!G3:G196))/B64)</f>
        <v>26734</v>
      </c>
      <c r="C70" s="313"/>
      <c r="D70" s="339"/>
      <c r="E70" s="339"/>
      <c r="F70" s="339"/>
      <c r="G70" s="339"/>
      <c r="H70" s="111"/>
      <c r="I70" s="111"/>
      <c r="J70" s="111"/>
      <c r="K70" s="59"/>
      <c r="L70" s="59"/>
      <c r="M70" s="59"/>
      <c r="N70" s="59"/>
      <c r="O70" s="59"/>
    </row>
    <row r="71" spans="1:15">
      <c r="A71" s="309" t="s">
        <v>6262</v>
      </c>
      <c r="B71" s="118" cm="1">
        <f t="array" ref="B71">IFERROR(MIN(IF((LEFT('Medical Sales'!D3:D196,4)="2024")*('Medical Sales'!G3:G196&gt;=10000)*('Medical Sales'!G3:G196&gt;0)*('Medical Sales'!U3:U196&lt;&gt;"Yes"),'Medical Sales'!E3:E196)),"-")</f>
        <v>3200000</v>
      </c>
      <c r="C71" s="313"/>
      <c r="D71" s="339"/>
      <c r="E71" s="339"/>
      <c r="F71" s="339"/>
      <c r="G71" s="339"/>
      <c r="H71" s="111"/>
      <c r="I71" s="111"/>
      <c r="J71" s="111"/>
      <c r="K71" s="59"/>
      <c r="L71" s="59"/>
      <c r="M71" s="59"/>
      <c r="N71" s="59"/>
      <c r="O71" s="59"/>
    </row>
    <row r="72" spans="1:15">
      <c r="A72" s="309" t="s">
        <v>6263</v>
      </c>
      <c r="B72" s="118" cm="1">
        <f t="array" ref="B72">IFERROR(MAX(IF((LEFT('Medical Sales'!D3:D196,4)="2024")*('Medical Sales'!G3:G196&gt;=10000)*('Medical Sales'!G3:G196&gt;0)*('Medical Sales'!U3:U196&lt;&gt;"Yes"),'Medical Sales'!E3:E196)),"-")</f>
        <v>3200000</v>
      </c>
      <c r="C72" s="313"/>
      <c r="D72" s="313"/>
      <c r="E72" s="313"/>
      <c r="F72" s="313"/>
      <c r="G72" s="313"/>
      <c r="H72" s="59"/>
      <c r="I72" s="59"/>
      <c r="J72" s="59"/>
      <c r="K72" s="59"/>
      <c r="L72" s="59"/>
      <c r="M72" s="59"/>
      <c r="N72" s="59"/>
      <c r="O72" s="59"/>
    </row>
    <row r="73" spans="1:15">
      <c r="A73" s="313"/>
      <c r="B73" s="313"/>
      <c r="C73" s="313"/>
      <c r="D73" s="313"/>
      <c r="E73" s="313"/>
      <c r="F73" s="313"/>
      <c r="G73" s="313"/>
      <c r="H73" s="59"/>
      <c r="I73" s="59"/>
      <c r="J73" s="59"/>
      <c r="K73" s="59"/>
      <c r="L73" s="59"/>
      <c r="M73" s="59"/>
      <c r="N73" s="59"/>
      <c r="O73" s="59"/>
    </row>
    <row r="74" spans="1:15">
      <c r="A74" s="89" t="s">
        <v>6481</v>
      </c>
      <c r="B74" s="59"/>
      <c r="C74" s="59"/>
      <c r="D74" s="59"/>
      <c r="E74" s="59"/>
      <c r="F74" s="59"/>
      <c r="G74" s="59"/>
      <c r="H74" s="59"/>
      <c r="I74" s="59"/>
      <c r="J74" s="59"/>
      <c r="K74" s="59"/>
      <c r="L74" s="59"/>
      <c r="M74" s="59"/>
      <c r="N74" s="59"/>
      <c r="O74" s="59"/>
    </row>
    <row r="75" spans="1:15">
      <c r="A75" s="90" t="s">
        <v>2</v>
      </c>
      <c r="B75" s="90" t="s">
        <v>6215</v>
      </c>
      <c r="C75" s="90" t="s">
        <v>6218</v>
      </c>
      <c r="D75" s="90" t="s">
        <v>6220</v>
      </c>
      <c r="E75" s="90" t="s">
        <v>6221</v>
      </c>
      <c r="F75" s="90" t="s">
        <v>6230</v>
      </c>
      <c r="G75" s="90" t="s">
        <v>6231</v>
      </c>
      <c r="H75" s="59"/>
      <c r="I75" s="59"/>
      <c r="J75" s="59"/>
      <c r="K75" s="59"/>
      <c r="L75" s="59"/>
      <c r="M75" s="59"/>
      <c r="N75" s="59"/>
      <c r="O75" s="59"/>
    </row>
    <row r="76" spans="1:15">
      <c r="A76" s="57" t="s">
        <v>33</v>
      </c>
      <c r="B76" s="62" cm="1">
        <f t="array" ref="B76">SUMPRODUCT(('Medical Sales'!C3:C196="Orange")*(LEFT('Medical Sales'!D3:D196,4)="2024")*('Medical Sales'!G3:G196&gt;=10000)*('Medical Sales'!G3:G196&gt;0)*('Medical Sales'!U3:U196&lt;&gt;"Yes"))</f>
        <v>1</v>
      </c>
      <c r="C76" s="63" cm="1">
        <f t="array" ref="C76">IFERROR(MEDIAN(IF(('Medical Sales'!C3:C196="Orange")*(LEFT('Medical Sales'!D3:D196,4)="2024")*('Medical Sales'!G3:G196&gt;=10000)*('Medical Sales'!G3:G196&gt;0)*('Medical Sales'!U3:U196&lt;&gt;"Yes"),'Medical Sales'!E3:E196)),"-")</f>
        <v>3200000</v>
      </c>
      <c r="D76" s="61" cm="1">
        <f t="array" ref="D76">IFERROR(MEDIAN(IF(('Medical Sales'!C3:C196="Orange")*(LEFT('Medical Sales'!D3:D196,4)="2024")*('Medical Sales'!G3:G196&gt;=10000)*('Medical Sales'!G3:G196&gt;0)*('Medical Sales'!U3:U196&lt;&gt;"Yes"),'Medical Sales'!F3:F196)),"-")</f>
        <v>119.69776314805117</v>
      </c>
      <c r="E76" s="62" cm="1">
        <f t="array" ref="E76">IF(B76=0,"-",SUMPRODUCT(('Medical Sales'!C3:C196="Orange")*(LEFT('Medical Sales'!D3:D196,4)="2024")*('Medical Sales'!G3:G196&gt;=10000)*('Medical Sales'!G3:G196&gt;0)*('Medical Sales'!U3:U196&lt;&gt;"Yes")*('Medical Sales'!G3:G196))/B76)</f>
        <v>26734</v>
      </c>
      <c r="F76" s="63" cm="1">
        <f t="array" ref="F76">IFERROR(MIN(IF(('Medical Sales'!C3:C196="Orange")*(LEFT('Medical Sales'!D3:D196,4)="2024")*('Medical Sales'!G3:G196&gt;=10000)*('Medical Sales'!G3:G196&gt;0)*('Medical Sales'!U3:U196&lt;&gt;"Yes"),'Medical Sales'!E3:E196)),"-")</f>
        <v>3200000</v>
      </c>
      <c r="G76" s="63" cm="1">
        <f t="array" ref="G76">IFERROR(MAX(IF(('Medical Sales'!C3:C196="Orange")*(LEFT('Medical Sales'!D3:D196,4)="2024")*('Medical Sales'!G3:G196&gt;=10000)*('Medical Sales'!G3:G196&gt;0)*('Medical Sales'!U3:U196&lt;&gt;"Yes"),'Medical Sales'!E3:E196)),"-")</f>
        <v>3200000</v>
      </c>
      <c r="H76" s="59"/>
      <c r="I76" s="59"/>
      <c r="J76" s="59"/>
      <c r="K76" s="59"/>
      <c r="L76" s="59"/>
      <c r="M76" s="59"/>
      <c r="N76" s="59"/>
      <c r="O76" s="59"/>
    </row>
    <row r="77" spans="1:15">
      <c r="A77" s="89" t="s">
        <v>6269</v>
      </c>
      <c r="B77" s="62" cm="1">
        <f t="array" ref="B77">SUMPRODUCT(('Medical Sales'!C3:C196="Seminole")*(LEFT('Medical Sales'!D3:D196,4)="2024")*('Medical Sales'!G3:G196&gt;=10000)*('Medical Sales'!G3:G196&gt;0)*('Medical Sales'!U3:U196&lt;&gt;"Yes"))</f>
        <v>0</v>
      </c>
      <c r="C77" s="63" t="str" cm="1">
        <f t="array" ref="C77">IFERROR(MEDIAN(IF(('Medical Sales'!C3:C196="Seminole")*(LEFT('Medical Sales'!D3:D196,4)="2024")*('Medical Sales'!G3:G196&gt;=10000)*('Medical Sales'!G3:G196&gt;0)*('Medical Sales'!U3:U196&lt;&gt;"Yes"),'Medical Sales'!E3:E196)),"-")</f>
        <v>-</v>
      </c>
      <c r="D77" s="61" t="str" cm="1">
        <f t="array" ref="D77">IFERROR(MEDIAN(IF(('Medical Sales'!C3:C196="Seminole")*(LEFT('Medical Sales'!D3:D196,4)="2024")*('Medical Sales'!G3:G196&gt;=10000)*('Medical Sales'!G3:G196&gt;0)*('Medical Sales'!U3:U196&lt;&gt;"Yes"),'Medical Sales'!F3:F196)),"-")</f>
        <v>-</v>
      </c>
      <c r="E77" s="62" t="str" cm="1">
        <f t="array" ref="E77">IF(B77=0,"-",SUMPRODUCT(('Medical Sales'!C3:C196="Seminole")*(LEFT('Medical Sales'!D3:D196,4)="2024")*('Medical Sales'!G3:G196&gt;=10000)*('Medical Sales'!G3:G196&gt;0)*('Medical Sales'!U3:U196&lt;&gt;"Yes")*('Medical Sales'!G3:G196))/B77)</f>
        <v>-</v>
      </c>
      <c r="F77" s="63" cm="1">
        <f t="array" ref="F77">IFERROR(MIN(IF(('Medical Sales'!C3:C196="Seminole")*(LEFT('Medical Sales'!D3:D196,4)="2024")*('Medical Sales'!G3:G196&gt;=10000)*('Medical Sales'!G3:G196&gt;0)*('Medical Sales'!U3:U196&lt;&gt;"Yes"),'Medical Sales'!E3:E196)),"-")</f>
        <v>0</v>
      </c>
      <c r="G77" s="63" cm="1">
        <f t="array" ref="G77">IFERROR(MAX(IF(('Medical Sales'!C3:C196="Seminole")*(LEFT('Medical Sales'!D3:D196,4)="2024")*('Medical Sales'!G3:G196&gt;=10000)*('Medical Sales'!G3:G196&gt;0)*('Medical Sales'!U3:U196&lt;&gt;"Yes"),'Medical Sales'!E3:E196)),"-")</f>
        <v>0</v>
      </c>
      <c r="H77" s="59"/>
      <c r="I77" s="59"/>
      <c r="J77" s="59"/>
      <c r="K77" s="59"/>
      <c r="L77" s="59"/>
      <c r="M77" s="59"/>
      <c r="N77" s="59"/>
      <c r="O77" s="59"/>
    </row>
    <row r="78" spans="1:15">
      <c r="A78" s="312" t="s">
        <v>6214</v>
      </c>
      <c r="B78" s="340" t="s">
        <v>6215</v>
      </c>
      <c r="C78" s="341" t="s">
        <v>6216</v>
      </c>
      <c r="D78" s="342" t="s">
        <v>6218</v>
      </c>
      <c r="E78" s="340" t="s">
        <v>6220</v>
      </c>
      <c r="F78" s="341" t="s">
        <v>6221</v>
      </c>
      <c r="G78" s="341" t="s">
        <v>6231</v>
      </c>
      <c r="H78" s="59"/>
      <c r="I78" s="59"/>
      <c r="J78" s="59"/>
      <c r="K78" s="59"/>
      <c r="L78" s="59"/>
      <c r="M78" s="59"/>
      <c r="N78" s="59"/>
      <c r="O78" s="59"/>
    </row>
    <row r="79" spans="1:15">
      <c r="A79" s="309" t="s">
        <v>26</v>
      </c>
      <c r="B79" s="117" cm="1">
        <f t="array" ref="B79">SUMPRODUCT(('Medical Sales'!N3:N196="Medical")*(LEFT('Medical Sales'!D3:D196,4)="2024")*('Medical Sales'!G3:G196&gt;=10000)*('Medical Sales'!U3:U196&lt;&gt;"Yes"))</f>
        <v>0</v>
      </c>
      <c r="C79" s="118" cm="1">
        <f t="array" ref="C79">SUMPRODUCT(('Medical Sales'!N3:N196="Medical")*(LEFT('Medical Sales'!D3:D196,4)="2024")*('Medical Sales'!G3:G196&gt;=10000)*('Medical Sales'!U3:U196&lt;&gt;"Yes")*('Medical Sales'!E3:E196))</f>
        <v>0</v>
      </c>
      <c r="D79" s="118" t="str" cm="1">
        <f t="array" ref="D79">IFERROR(MEDIAN(IF(('Medical Sales'!N3:N196="Medical")*(LEFT('Medical Sales'!D3:D196,4)="2024")*('Medical Sales'!G3:G196&gt;=10000)*('Medical Sales'!U3:U196&lt;&gt;"Yes"),'Medical Sales'!E3:E196)),"-")</f>
        <v>-</v>
      </c>
      <c r="E79" s="119" t="str" cm="1">
        <f t="array" ref="E79">IFERROR(MEDIAN(IF(('Medical Sales'!N3:N196="Medical")*(LEFT('Medical Sales'!D3:D196,4)="2024")*('Medical Sales'!G3:G196&gt;=10000)*('Medical Sales'!U3:U196&lt;&gt;"Yes"),'Medical Sales'!F3:F196)),"-")</f>
        <v>-</v>
      </c>
      <c r="F79" s="117" t="str" cm="1">
        <f t="array" ref="F79">IF(B79=0,"-",SUMPRODUCT(('Medical Sales'!N3:N196="Medical")*(LEFT('Medical Sales'!D3:D196,4)="2024")*('Medical Sales'!G3:G196&gt;=10000)*('Medical Sales'!U3:U196&lt;&gt;"Yes")*('Medical Sales'!G3:G196))/B79)</f>
        <v>-</v>
      </c>
      <c r="G79" s="118" cm="1">
        <f t="array" ref="G79">IFERROR(MAX(IF(('Medical Sales'!N3:N196="Medical")*(LEFT('Medical Sales'!D3:D196,4)="2024")*('Medical Sales'!G3:G196&gt;=10000)*('Medical Sales'!U3:U196&lt;&gt;"Yes"),'Medical Sales'!E3:E196)),"-")</f>
        <v>0</v>
      </c>
      <c r="H79" s="59"/>
      <c r="I79" s="59"/>
      <c r="J79" s="59"/>
      <c r="K79" s="59"/>
      <c r="L79" s="59"/>
      <c r="M79" s="59"/>
      <c r="N79" s="59"/>
      <c r="O79" s="59"/>
    </row>
    <row r="80" spans="1:15">
      <c r="A80" s="309" t="s">
        <v>1519</v>
      </c>
      <c r="B80" s="117" cm="1">
        <f t="array" ref="B80">SUMPRODUCT(('Medical Sales'!N3:N196="Multi-Tenant Medical")*(LEFT('Medical Sales'!D3:D196,4)="2024")*('Medical Sales'!G3:G196&gt;=10000)*('Medical Sales'!U3:U196&lt;&gt;"Yes"))</f>
        <v>1</v>
      </c>
      <c r="C80" s="118" cm="1">
        <f t="array" ref="C80">SUMPRODUCT(('Medical Sales'!N3:N196="Multi-Tenant Medical")*(LEFT('Medical Sales'!D3:D196,4)="2024")*('Medical Sales'!G3:G196&gt;=10000)*('Medical Sales'!U3:U196&lt;&gt;"Yes")*('Medical Sales'!E3:E196))</f>
        <v>3200000</v>
      </c>
      <c r="D80" s="118" cm="1">
        <f t="array" ref="D80">IFERROR(MEDIAN(IF(('Medical Sales'!N3:N196="Multi-Tenant Medical")*(LEFT('Medical Sales'!D3:D196,4)="2024")*('Medical Sales'!G3:G196&gt;=10000)*('Medical Sales'!U3:U196&lt;&gt;"Yes"),'Medical Sales'!E3:E196)),"-")</f>
        <v>3200000</v>
      </c>
      <c r="E80" s="119" cm="1">
        <f t="array" ref="E80">IFERROR(MEDIAN(IF(('Medical Sales'!N3:N196="Multi-Tenant Medical")*(LEFT('Medical Sales'!D3:D196,4)="2024")*('Medical Sales'!G3:G196&gt;=10000)*('Medical Sales'!U3:U196&lt;&gt;"Yes"),'Medical Sales'!F3:F196)),"-")</f>
        <v>119.69776314805117</v>
      </c>
      <c r="F80" s="117" cm="1">
        <f t="array" ref="F80">IF(B80=0,"-",SUMPRODUCT(('Medical Sales'!N3:N196="Multi-Tenant Medical")*(LEFT('Medical Sales'!D3:D196,4)="2024")*('Medical Sales'!G3:G196&gt;=10000)*('Medical Sales'!U3:U196&lt;&gt;"Yes")*('Medical Sales'!G3:G196))/B80)</f>
        <v>26734</v>
      </c>
      <c r="G80" s="118" cm="1">
        <f t="array" ref="G80">IFERROR(MAX(IF(('Medical Sales'!N3:N196="Multi-Tenant Medical")*(LEFT('Medical Sales'!D3:D196,4)="2024")*('Medical Sales'!G3:G196&gt;=10000)*('Medical Sales'!U3:U196&lt;&gt;"Yes"),'Medical Sales'!E3:E196)),"-")</f>
        <v>3200000</v>
      </c>
      <c r="H80" s="59"/>
      <c r="I80" s="59"/>
      <c r="J80" s="59"/>
      <c r="K80" s="59"/>
      <c r="L80" s="59"/>
      <c r="M80" s="59"/>
      <c r="N80" s="59"/>
      <c r="O80" s="59"/>
    </row>
    <row r="81" spans="1:15">
      <c r="A81" s="309" t="s">
        <v>6212</v>
      </c>
      <c r="B81" s="117" cm="1">
        <f t="array" ref="B81">SUMPRODUCT(('Medical Sales'!N3:N196="Hospitals")*(LEFT('Medical Sales'!D3:D196,4)="2024")*('Medical Sales'!G3:G196&gt;=10000)*('Medical Sales'!U3:U196&lt;&gt;"Yes"))</f>
        <v>0</v>
      </c>
      <c r="C81" s="118" cm="1">
        <f t="array" ref="C81">SUMPRODUCT(('Medical Sales'!N3:N196="Hospitals")*(LEFT('Medical Sales'!D3:D196,4)="2024")*('Medical Sales'!G3:G196&gt;=10000)*('Medical Sales'!U3:U196&lt;&gt;"Yes")*('Medical Sales'!E3:E196))</f>
        <v>0</v>
      </c>
      <c r="D81" s="118" t="str" cm="1">
        <f t="array" ref="D81">IFERROR(MEDIAN(IF(('Medical Sales'!N3:N196="Hospitals")*(LEFT('Medical Sales'!D3:D196,4)="2024")*('Medical Sales'!G3:G196&gt;=10000)*('Medical Sales'!U3:U196&lt;&gt;"Yes"),'Medical Sales'!E3:E196)),"-")</f>
        <v>-</v>
      </c>
      <c r="E81" s="119" t="str" cm="1">
        <f t="array" ref="E81">IFERROR(MEDIAN(IF(('Medical Sales'!N3:N196="Hospitals")*(LEFT('Medical Sales'!D3:D196,4)="2024")*('Medical Sales'!G3:G196&gt;=10000)*('Medical Sales'!U3:U196&lt;&gt;"Yes"),'Medical Sales'!F3:F196)),"-")</f>
        <v>-</v>
      </c>
      <c r="F81" s="117" t="str" cm="1">
        <f t="array" ref="F81">IF(B81=0,"-",SUMPRODUCT(('Medical Sales'!N3:N196="Hospitals")*(LEFT('Medical Sales'!D3:D196,4)="2024")*('Medical Sales'!G3:G196&gt;=10000)*('Medical Sales'!U3:U196&lt;&gt;"Yes")*('Medical Sales'!G3:G196))/B81)</f>
        <v>-</v>
      </c>
      <c r="G81" s="118" cm="1">
        <f t="array" ref="G81">IFERROR(MAX(IF(('Medical Sales'!N3:N196="Hospitals")*(LEFT('Medical Sales'!D3:D196,4)="2024")*('Medical Sales'!G3:G196&gt;=10000)*('Medical Sales'!U3:U196&lt;&gt;"Yes"),'Medical Sales'!E3:E196)),"-")</f>
        <v>0</v>
      </c>
      <c r="H81" s="59"/>
      <c r="I81" s="59"/>
      <c r="J81" s="59"/>
      <c r="K81" s="59"/>
      <c r="L81" s="59"/>
      <c r="M81" s="59"/>
      <c r="N81" s="59"/>
      <c r="O81" s="59"/>
    </row>
    <row r="82" spans="1:15">
      <c r="A82" s="59"/>
      <c r="B82" s="59"/>
      <c r="C82" s="59"/>
      <c r="D82" s="59"/>
      <c r="E82" s="59"/>
      <c r="F82" s="59"/>
      <c r="G82" s="59"/>
      <c r="H82" s="59"/>
      <c r="I82" s="59"/>
      <c r="J82" s="59"/>
      <c r="K82" s="59"/>
      <c r="L82" s="59"/>
      <c r="M82" s="59"/>
      <c r="N82" s="59"/>
      <c r="O82" s="59"/>
    </row>
    <row r="83" spans="1:15">
      <c r="A83" s="59"/>
      <c r="B83" s="59"/>
      <c r="C83" s="59"/>
      <c r="D83" s="59"/>
      <c r="E83" s="59"/>
      <c r="F83" s="59"/>
      <c r="G83" s="59"/>
      <c r="H83" s="59"/>
      <c r="I83" s="59"/>
      <c r="J83" s="59"/>
      <c r="K83" s="59"/>
      <c r="L83" s="59"/>
      <c r="M83" s="59"/>
      <c r="N83" s="59"/>
      <c r="O83" s="59"/>
    </row>
    <row r="84" spans="1:15" ht="19">
      <c r="A84" s="55" t="s">
        <v>6482</v>
      </c>
      <c r="B84" s="55"/>
      <c r="C84" s="55"/>
      <c r="D84" s="55"/>
      <c r="E84" s="55"/>
      <c r="F84" s="55"/>
      <c r="G84" s="55"/>
      <c r="H84" s="55"/>
      <c r="I84" s="55"/>
      <c r="J84" s="55"/>
      <c r="K84" s="55"/>
      <c r="L84" s="59"/>
      <c r="M84" s="59"/>
      <c r="N84" s="59"/>
      <c r="O84" s="59"/>
    </row>
    <row r="85" spans="1:15">
      <c r="A85" s="270" t="s">
        <v>6488</v>
      </c>
      <c r="B85" s="59"/>
      <c r="C85" s="59"/>
      <c r="D85" s="59"/>
      <c r="E85" s="59"/>
      <c r="F85" s="59"/>
      <c r="G85" s="59"/>
      <c r="H85" s="59"/>
      <c r="I85" s="59"/>
      <c r="J85" s="59"/>
      <c r="K85" s="59"/>
      <c r="L85" s="59"/>
      <c r="M85" s="59"/>
      <c r="N85" s="59"/>
      <c r="O85" s="59"/>
    </row>
    <row r="86" spans="1:15">
      <c r="A86" s="305" t="s">
        <v>6356</v>
      </c>
      <c r="B86" s="305" t="s">
        <v>6215</v>
      </c>
      <c r="C86" s="305" t="s">
        <v>6218</v>
      </c>
      <c r="D86" s="305" t="s">
        <v>6220</v>
      </c>
      <c r="E86" s="305" t="s">
        <v>6221</v>
      </c>
      <c r="F86" s="305" t="s">
        <v>6217</v>
      </c>
      <c r="G86" s="59"/>
      <c r="H86" s="59"/>
      <c r="I86" s="59"/>
      <c r="J86" s="59"/>
      <c r="K86" s="59"/>
      <c r="L86" s="59"/>
      <c r="M86" s="59"/>
      <c r="N86" s="59"/>
      <c r="O86" s="59"/>
    </row>
    <row r="87" spans="1:15">
      <c r="A87" s="309" t="s">
        <v>6483</v>
      </c>
      <c r="B87" s="117" cm="1">
        <f t="array" ref="B87">SUMPRODUCT((LEFT('Medical Sales'!D3:D196,4)="2024")*('Medical Sales'!T3:T196="New")*('Medical Sales'!U3:U196&lt;&gt;"Yes"))</f>
        <v>1</v>
      </c>
      <c r="C87" s="118" cm="1">
        <f t="array" ref="C87">IFERROR(MEDIAN(IF((LEFT('Medical Sales'!D3:D196,4)="2024")*('Medical Sales'!T3:T196="New")*('Medical Sales'!U3:U196&lt;&gt;"Yes"),'Medical Sales'!E3:E196)),"-")</f>
        <v>3500000</v>
      </c>
      <c r="D87" s="119" cm="1">
        <f t="array" ref="D87">IFERROR(MEDIAN(IF((LEFT('Medical Sales'!D3:D196,4)="2024")*('Medical Sales'!T3:T196="New")*('Medical Sales'!U3:U196&lt;&gt;"Yes"),'Medical Sales'!F3:F196)),"-")</f>
        <v>591.01654846335703</v>
      </c>
      <c r="E87" s="117" cm="1">
        <f t="array" ref="E87">IF(B87=0,"-",SUMPRODUCT((LEFT('Medical Sales'!D3:D196,4)="2024")*('Medical Sales'!T3:T196="New")*('Medical Sales'!U3:U196&lt;&gt;"Yes")*('Medical Sales'!G3:G196))/B87)</f>
        <v>5922</v>
      </c>
      <c r="F87" s="118" cm="1">
        <f t="array" ref="F87">IF(B87=0,"-",SUMPRODUCT((LEFT('Medical Sales'!D3:D196,4)="2024")*('Medical Sales'!T3:T196="New")*('Medical Sales'!U3:U196&lt;&gt;"Yes")*('Medical Sales'!E3:E196))/B87)</f>
        <v>3500000</v>
      </c>
      <c r="G87" s="59"/>
      <c r="H87" s="59"/>
      <c r="I87" s="59"/>
      <c r="J87" s="59"/>
      <c r="K87" s="59"/>
      <c r="L87" s="59"/>
      <c r="M87" s="59"/>
      <c r="N87" s="59"/>
      <c r="O87" s="59"/>
    </row>
    <row r="88" spans="1:15">
      <c r="A88" s="309" t="s">
        <v>6484</v>
      </c>
      <c r="B88" s="117" cm="1">
        <f t="array" ref="B88">SUMPRODUCT((LEFT('Medical Sales'!D3:D196,4)="2024")*('Medical Sales'!T3:T196="Normal")*('Medical Sales'!U3:U196&lt;&gt;"Yes"))</f>
        <v>1</v>
      </c>
      <c r="C88" s="118" cm="1">
        <f t="array" ref="C88">IFERROR(MEDIAN(IF((LEFT('Medical Sales'!D3:D196,4)="2024")*('Medical Sales'!T3:T196="Normal")*('Medical Sales'!U3:U196&lt;&gt;"Yes"),'Medical Sales'!E3:E196)),"-")</f>
        <v>4225000</v>
      </c>
      <c r="D88" s="119" cm="1">
        <f t="array" ref="D88">IFERROR(MEDIAN(IF((LEFT('Medical Sales'!D3:D196,4)="2024")*('Medical Sales'!T3:T196="Normal")*('Medical Sales'!U3:U196&lt;&gt;"Yes"),'Medical Sales'!F3:F196)),"-")</f>
        <v>479.56867196367762</v>
      </c>
      <c r="E88" s="117" cm="1">
        <f t="array" ref="E88">IF(B88=0,"-",SUMPRODUCT((LEFT('Medical Sales'!D3:D196,4)="2024")*('Medical Sales'!T3:T196="Normal")*('Medical Sales'!U3:U196&lt;&gt;"Yes")*('Medical Sales'!G3:G196))/B88)</f>
        <v>8810</v>
      </c>
      <c r="F88" s="118" cm="1">
        <f t="array" ref="F88">IF(B88=0,"-",SUMPRODUCT((LEFT('Medical Sales'!D3:D196,4)="2024")*('Medical Sales'!T3:T196="Normal")*('Medical Sales'!U3:U196&lt;&gt;"Yes")*('Medical Sales'!E3:E196))/B88)</f>
        <v>4225000</v>
      </c>
      <c r="G88" s="59"/>
      <c r="H88" s="59"/>
      <c r="I88" s="59"/>
      <c r="J88" s="59"/>
      <c r="K88" s="59"/>
      <c r="L88" s="59"/>
      <c r="M88" s="59"/>
      <c r="N88" s="59"/>
      <c r="O88" s="59"/>
    </row>
    <row r="89" spans="1:15">
      <c r="A89" s="309" t="s">
        <v>6485</v>
      </c>
      <c r="B89" s="117" cm="1">
        <f t="array" ref="B89">SUMPRODUCT((LEFT('Medical Sales'!D3:D196,4)="2024")*('Medical Sales'!T3:T196="Old")*('Medical Sales'!U3:U196&lt;&gt;"Yes"))</f>
        <v>1</v>
      </c>
      <c r="C89" s="118" cm="1">
        <f t="array" ref="C89">IFERROR(MEDIAN(IF((LEFT('Medical Sales'!D3:D196,4)="2024")*('Medical Sales'!T3:T196="Old")*('Medical Sales'!U3:U196&lt;&gt;"Yes"),'Medical Sales'!E3:E196)),"-")</f>
        <v>3200000</v>
      </c>
      <c r="D89" s="119" cm="1">
        <f t="array" ref="D89">IFERROR(MEDIAN(IF((LEFT('Medical Sales'!D3:D196,4)="2024")*('Medical Sales'!T3:T196="Old")*('Medical Sales'!U3:U196&lt;&gt;"Yes"),'Medical Sales'!F3:F196)),"-")</f>
        <v>119.69776314805117</v>
      </c>
      <c r="E89" s="117" cm="1">
        <f t="array" ref="E89">IF(B89=0,"-",SUMPRODUCT((LEFT('Medical Sales'!D3:D196,4)="2024")*('Medical Sales'!T3:T196="Old")*('Medical Sales'!U3:U196&lt;&gt;"Yes")*('Medical Sales'!G3:G196))/B89)</f>
        <v>26734</v>
      </c>
      <c r="F89" s="118" cm="1">
        <f t="array" ref="F89">IF(B89=0,"-",SUMPRODUCT((LEFT('Medical Sales'!D3:D196,4)="2024")*('Medical Sales'!T3:T196="Old")*('Medical Sales'!U3:U196&lt;&gt;"Yes")*('Medical Sales'!E3:E196))/B89)</f>
        <v>3200000</v>
      </c>
      <c r="G89" s="59"/>
      <c r="H89" s="59"/>
      <c r="I89" s="59"/>
      <c r="J89" s="59"/>
      <c r="K89" s="59"/>
      <c r="L89" s="59"/>
      <c r="M89" s="59"/>
      <c r="N89" s="59"/>
      <c r="O89" s="59"/>
    </row>
    <row r="90" spans="1:15">
      <c r="A90" s="336" t="s">
        <v>6486</v>
      </c>
      <c r="B90" s="59"/>
      <c r="C90" s="59"/>
      <c r="D90" s="59"/>
      <c r="E90" s="59"/>
      <c r="F90" s="59"/>
      <c r="G90" s="59"/>
      <c r="H90" s="59"/>
      <c r="I90" s="59"/>
      <c r="J90" s="59"/>
      <c r="K90" s="59"/>
      <c r="L90" s="59"/>
      <c r="M90" s="59"/>
      <c r="N90" s="59"/>
      <c r="O90" s="59"/>
    </row>
    <row r="91" spans="1:15">
      <c r="A91" s="59"/>
      <c r="B91" s="59"/>
      <c r="C91" s="59"/>
      <c r="D91" s="59"/>
      <c r="E91" s="59"/>
      <c r="F91" s="59"/>
      <c r="G91" s="59"/>
      <c r="H91" s="59"/>
      <c r="I91" s="59"/>
      <c r="J91" s="59"/>
      <c r="K91" s="59"/>
      <c r="L91" s="59"/>
      <c r="M91" s="59"/>
      <c r="N91" s="59"/>
      <c r="O91" s="59"/>
    </row>
    <row r="92" spans="1:15" ht="19">
      <c r="A92" s="55" t="s">
        <v>6487</v>
      </c>
      <c r="B92" s="55"/>
      <c r="C92" s="55"/>
      <c r="D92" s="55"/>
      <c r="E92" s="55"/>
      <c r="F92" s="55"/>
      <c r="G92" s="55"/>
      <c r="H92" s="55"/>
      <c r="I92" s="55"/>
      <c r="J92" s="55"/>
      <c r="K92" s="55"/>
      <c r="L92" s="55"/>
      <c r="M92" s="55"/>
      <c r="N92" s="59"/>
      <c r="O92" s="59"/>
    </row>
    <row r="93" spans="1:15">
      <c r="A93" s="305" t="s">
        <v>6271</v>
      </c>
      <c r="B93" s="305" t="s">
        <v>2</v>
      </c>
      <c r="C93" s="305" t="s">
        <v>6272</v>
      </c>
      <c r="D93" s="305" t="s">
        <v>4</v>
      </c>
      <c r="E93" s="305" t="s">
        <v>5</v>
      </c>
      <c r="F93" s="305" t="s">
        <v>6273</v>
      </c>
      <c r="G93" s="305" t="s">
        <v>6214</v>
      </c>
      <c r="H93" s="305" t="s">
        <v>15</v>
      </c>
      <c r="I93" s="305" t="s">
        <v>6274</v>
      </c>
      <c r="J93" s="305" t="s">
        <v>6199</v>
      </c>
      <c r="K93" s="305" t="s">
        <v>6317</v>
      </c>
      <c r="L93" s="305" t="s">
        <v>6319</v>
      </c>
      <c r="M93" s="305" t="s">
        <v>6528</v>
      </c>
      <c r="N93" s="59"/>
      <c r="O93" s="59"/>
    </row>
    <row r="94" spans="1:15">
      <c r="A94" s="314" t="s">
        <v>157</v>
      </c>
      <c r="B94" s="125" t="s">
        <v>20</v>
      </c>
      <c r="C94" s="125" t="s">
        <v>158</v>
      </c>
      <c r="D94" s="126">
        <v>940000</v>
      </c>
      <c r="E94" s="127">
        <v>109.98010998011</v>
      </c>
      <c r="F94" s="128">
        <v>8547</v>
      </c>
      <c r="G94" s="125" t="s">
        <v>26</v>
      </c>
      <c r="H94" s="125" t="s">
        <v>6211</v>
      </c>
      <c r="I94" s="129">
        <v>2005</v>
      </c>
      <c r="J94" s="125" t="s">
        <v>6276</v>
      </c>
      <c r="K94" s="125"/>
      <c r="L94" s="59"/>
      <c r="M94" s="59"/>
      <c r="N94" s="59"/>
      <c r="O94" s="59"/>
    </row>
    <row r="95" spans="1:15">
      <c r="A95" s="314" t="s">
        <v>1567</v>
      </c>
      <c r="B95" s="125" t="s">
        <v>33</v>
      </c>
      <c r="C95" s="125" t="s">
        <v>709</v>
      </c>
      <c r="D95" s="126">
        <v>3200000</v>
      </c>
      <c r="E95" s="127">
        <v>119.697763148051</v>
      </c>
      <c r="F95" s="128">
        <v>26734</v>
      </c>
      <c r="G95" s="125" t="s">
        <v>1519</v>
      </c>
      <c r="H95" s="125" t="s">
        <v>1571</v>
      </c>
      <c r="I95" s="129">
        <v>1958</v>
      </c>
      <c r="J95" s="125" t="s">
        <v>6275</v>
      </c>
      <c r="K95" s="125" t="s">
        <v>6318</v>
      </c>
      <c r="L95" s="59" t="s">
        <v>6521</v>
      </c>
      <c r="M95" s="59" t="s">
        <v>6560</v>
      </c>
      <c r="N95" s="59"/>
      <c r="O95" s="59"/>
    </row>
    <row r="96" spans="1:15">
      <c r="A96" s="343" t="s">
        <v>299</v>
      </c>
      <c r="B96" s="130" t="s">
        <v>33</v>
      </c>
      <c r="C96" s="130" t="s">
        <v>285</v>
      </c>
      <c r="D96" s="118">
        <v>585000</v>
      </c>
      <c r="E96" s="119">
        <v>127.45098039215701</v>
      </c>
      <c r="F96" s="117">
        <v>4590</v>
      </c>
      <c r="G96" s="130" t="s">
        <v>26</v>
      </c>
      <c r="H96" s="130" t="s">
        <v>303</v>
      </c>
      <c r="I96" s="131">
        <v>1966</v>
      </c>
      <c r="J96" s="130" t="s">
        <v>6275</v>
      </c>
      <c r="K96" s="130"/>
      <c r="L96" s="59"/>
      <c r="M96" s="59"/>
      <c r="N96" s="59"/>
      <c r="O96" s="59"/>
    </row>
    <row r="97" spans="1:15">
      <c r="A97" s="343" t="s">
        <v>275</v>
      </c>
      <c r="B97" s="125" t="s">
        <v>33</v>
      </c>
      <c r="C97" s="125" t="s">
        <v>276</v>
      </c>
      <c r="D97" s="126">
        <v>448100</v>
      </c>
      <c r="E97" s="127">
        <v>130.79392877991799</v>
      </c>
      <c r="F97" s="128">
        <v>3426</v>
      </c>
      <c r="G97" s="125" t="s">
        <v>26</v>
      </c>
      <c r="H97" s="125" t="s">
        <v>281</v>
      </c>
      <c r="I97" s="129">
        <v>1981</v>
      </c>
      <c r="J97" s="125" t="s">
        <v>6275</v>
      </c>
      <c r="K97" s="125"/>
      <c r="L97" s="59"/>
      <c r="M97" s="59"/>
      <c r="N97" s="59"/>
      <c r="O97" s="59"/>
    </row>
    <row r="98" spans="1:15">
      <c r="A98" s="313" t="s">
        <v>1447</v>
      </c>
      <c r="B98" s="130" t="s">
        <v>678</v>
      </c>
      <c r="C98" s="130" t="s">
        <v>285</v>
      </c>
      <c r="D98" s="118">
        <v>2414000</v>
      </c>
      <c r="E98" s="119">
        <v>134.111111111111</v>
      </c>
      <c r="F98" s="117">
        <v>18000</v>
      </c>
      <c r="G98" s="130" t="s">
        <v>26</v>
      </c>
      <c r="H98" s="130" t="s">
        <v>1450</v>
      </c>
      <c r="I98" s="131">
        <v>1983</v>
      </c>
      <c r="J98" s="130" t="s">
        <v>6275</v>
      </c>
      <c r="K98" s="130"/>
      <c r="L98" s="59"/>
      <c r="M98" s="59"/>
      <c r="N98" s="59"/>
      <c r="O98" s="59"/>
    </row>
    <row r="99" spans="1:15">
      <c r="A99" s="314" t="s">
        <v>1470</v>
      </c>
      <c r="B99" s="125" t="s">
        <v>20</v>
      </c>
      <c r="C99" s="125" t="s">
        <v>877</v>
      </c>
      <c r="D99" s="126">
        <v>800000</v>
      </c>
      <c r="E99" s="127">
        <v>150.48908954100801</v>
      </c>
      <c r="F99" s="128">
        <v>5316</v>
      </c>
      <c r="G99" s="125" t="s">
        <v>26</v>
      </c>
      <c r="H99" s="125" t="s">
        <v>1473</v>
      </c>
      <c r="I99" s="129">
        <v>1988</v>
      </c>
      <c r="J99" s="125" t="s">
        <v>6275</v>
      </c>
      <c r="K99" s="125"/>
      <c r="L99" s="59"/>
      <c r="M99" s="59"/>
      <c r="N99" s="59"/>
      <c r="O99" s="59"/>
    </row>
    <row r="100" spans="1:15">
      <c r="A100" s="343" t="s">
        <v>1210</v>
      </c>
      <c r="B100" s="130" t="s">
        <v>20</v>
      </c>
      <c r="C100" s="130" t="s">
        <v>877</v>
      </c>
      <c r="D100" s="118">
        <v>420000</v>
      </c>
      <c r="E100" s="119">
        <v>152.39477503628399</v>
      </c>
      <c r="F100" s="117">
        <v>2756</v>
      </c>
      <c r="G100" s="130" t="s">
        <v>26</v>
      </c>
      <c r="H100" s="130" t="s">
        <v>1212</v>
      </c>
      <c r="I100" s="131">
        <v>1984</v>
      </c>
      <c r="J100" s="130" t="s">
        <v>6275</v>
      </c>
      <c r="K100" s="130"/>
      <c r="L100" s="59"/>
      <c r="M100" s="59"/>
      <c r="N100" s="59"/>
      <c r="O100" s="59"/>
    </row>
    <row r="101" spans="1:15">
      <c r="A101" s="313" t="s">
        <v>798</v>
      </c>
      <c r="B101" s="130" t="s">
        <v>678</v>
      </c>
      <c r="C101" s="130" t="s">
        <v>729</v>
      </c>
      <c r="D101" s="118">
        <v>800000</v>
      </c>
      <c r="E101" s="119">
        <v>157.82205563227501</v>
      </c>
      <c r="F101" s="117">
        <v>5069</v>
      </c>
      <c r="G101" s="130" t="s">
        <v>26</v>
      </c>
      <c r="H101" s="130" t="s">
        <v>803</v>
      </c>
      <c r="I101" s="131">
        <v>1969</v>
      </c>
      <c r="J101" s="130" t="s">
        <v>6275</v>
      </c>
      <c r="K101" s="130"/>
      <c r="L101" s="59"/>
      <c r="M101" s="59"/>
      <c r="N101" s="59"/>
      <c r="O101" s="59"/>
    </row>
    <row r="102" spans="1:15">
      <c r="A102" s="314" t="s">
        <v>876</v>
      </c>
      <c r="B102" s="125" t="s">
        <v>20</v>
      </c>
      <c r="C102" s="125" t="s">
        <v>877</v>
      </c>
      <c r="D102" s="126">
        <v>330000</v>
      </c>
      <c r="E102" s="127">
        <v>165</v>
      </c>
      <c r="F102" s="128">
        <v>2000</v>
      </c>
      <c r="G102" s="125" t="s">
        <v>26</v>
      </c>
      <c r="H102" s="125" t="s">
        <v>880</v>
      </c>
      <c r="I102" s="129">
        <v>1983</v>
      </c>
      <c r="J102" s="125" t="s">
        <v>6275</v>
      </c>
      <c r="K102" s="125"/>
      <c r="L102" s="59"/>
      <c r="M102" s="59"/>
      <c r="N102" s="59"/>
      <c r="O102" s="59"/>
    </row>
    <row r="103" spans="1:15">
      <c r="A103" s="313" t="s">
        <v>1298</v>
      </c>
      <c r="B103" s="130" t="s">
        <v>20</v>
      </c>
      <c r="C103" s="130" t="s">
        <v>982</v>
      </c>
      <c r="D103" s="118">
        <v>1040000</v>
      </c>
      <c r="E103" s="119">
        <v>238.91569032850899</v>
      </c>
      <c r="F103" s="117">
        <v>4353</v>
      </c>
      <c r="G103" s="130" t="s">
        <v>26</v>
      </c>
      <c r="H103" s="130" t="s">
        <v>1295</v>
      </c>
      <c r="I103" s="131">
        <v>1989</v>
      </c>
      <c r="J103" s="130" t="s">
        <v>6275</v>
      </c>
      <c r="K103" s="130"/>
      <c r="L103" s="59"/>
      <c r="M103" s="59"/>
      <c r="N103" s="59"/>
      <c r="O103" s="59"/>
    </row>
    <row r="104" spans="1:15">
      <c r="A104" s="343" t="s">
        <v>1049</v>
      </c>
      <c r="B104" s="125" t="s">
        <v>20</v>
      </c>
      <c r="C104" s="125" t="s">
        <v>792</v>
      </c>
      <c r="D104" s="126">
        <v>725000</v>
      </c>
      <c r="E104" s="127">
        <v>241.666666666667</v>
      </c>
      <c r="F104" s="128">
        <v>3000</v>
      </c>
      <c r="G104" s="125" t="s">
        <v>26</v>
      </c>
      <c r="H104" s="125" t="s">
        <v>1052</v>
      </c>
      <c r="I104" s="129">
        <v>1999</v>
      </c>
      <c r="J104" s="125" t="s">
        <v>6276</v>
      </c>
      <c r="K104" s="125"/>
      <c r="L104" s="59"/>
      <c r="M104" s="59"/>
      <c r="N104" s="59"/>
      <c r="O104" s="59"/>
    </row>
    <row r="105" spans="1:15">
      <c r="A105" s="313" t="s">
        <v>1365</v>
      </c>
      <c r="B105" s="130" t="s">
        <v>20</v>
      </c>
      <c r="C105" s="130" t="s">
        <v>356</v>
      </c>
      <c r="D105" s="118">
        <v>3425000</v>
      </c>
      <c r="E105" s="119">
        <v>267.82921488895801</v>
      </c>
      <c r="F105" s="117">
        <v>12788</v>
      </c>
      <c r="G105" s="130" t="s">
        <v>1519</v>
      </c>
      <c r="H105" s="130" t="s">
        <v>1368</v>
      </c>
      <c r="I105" s="131">
        <v>1989</v>
      </c>
      <c r="J105" s="130" t="s">
        <v>6275</v>
      </c>
      <c r="K105" s="130"/>
      <c r="L105" s="59"/>
      <c r="M105" s="59"/>
      <c r="N105" s="59"/>
      <c r="O105" s="59"/>
    </row>
    <row r="106" spans="1:15">
      <c r="A106" s="314" t="s">
        <v>728</v>
      </c>
      <c r="B106" s="125" t="s">
        <v>678</v>
      </c>
      <c r="C106" s="125" t="s">
        <v>729</v>
      </c>
      <c r="D106" s="126">
        <v>840000</v>
      </c>
      <c r="E106" s="127">
        <v>271.14267269205902</v>
      </c>
      <c r="F106" s="128">
        <v>3098</v>
      </c>
      <c r="G106" s="125" t="s">
        <v>26</v>
      </c>
      <c r="H106" s="125" t="s">
        <v>734</v>
      </c>
      <c r="I106" s="129">
        <v>1924</v>
      </c>
      <c r="J106" s="125" t="s">
        <v>6275</v>
      </c>
      <c r="K106" s="125"/>
      <c r="L106" s="59"/>
      <c r="M106" s="59"/>
      <c r="N106" s="59"/>
      <c r="O106" s="59"/>
    </row>
    <row r="107" spans="1:15">
      <c r="A107" s="313" t="s">
        <v>1031</v>
      </c>
      <c r="B107" s="130" t="s">
        <v>20</v>
      </c>
      <c r="C107" s="130" t="s">
        <v>276</v>
      </c>
      <c r="D107" s="118">
        <v>780000</v>
      </c>
      <c r="E107" s="119">
        <v>296.01518026565498</v>
      </c>
      <c r="F107" s="117">
        <v>2635</v>
      </c>
      <c r="G107" s="130" t="s">
        <v>26</v>
      </c>
      <c r="H107" s="130" t="s">
        <v>1034</v>
      </c>
      <c r="I107" s="131">
        <v>1989</v>
      </c>
      <c r="J107" s="130" t="s">
        <v>6275</v>
      </c>
      <c r="K107" s="130"/>
      <c r="L107" s="59"/>
      <c r="M107" s="59"/>
      <c r="N107" s="59"/>
      <c r="O107" s="59"/>
    </row>
    <row r="108" spans="1:15">
      <c r="A108" s="314" t="s">
        <v>721</v>
      </c>
      <c r="B108" s="125" t="s">
        <v>678</v>
      </c>
      <c r="C108" s="125" t="s">
        <v>722</v>
      </c>
      <c r="D108" s="126">
        <v>2002800</v>
      </c>
      <c r="E108" s="127">
        <v>302.17260108630097</v>
      </c>
      <c r="F108" s="128">
        <v>6628</v>
      </c>
      <c r="G108" s="125" t="s">
        <v>26</v>
      </c>
      <c r="H108" s="125" t="s">
        <v>26</v>
      </c>
      <c r="I108" s="129">
        <v>2010</v>
      </c>
      <c r="J108" s="125" t="s">
        <v>6276</v>
      </c>
      <c r="K108" s="125"/>
      <c r="L108" s="59"/>
      <c r="M108" s="59"/>
      <c r="N108" s="59"/>
      <c r="O108" s="59"/>
    </row>
    <row r="109" spans="1:15">
      <c r="A109" s="314" t="s">
        <v>830</v>
      </c>
      <c r="B109" s="125" t="s">
        <v>678</v>
      </c>
      <c r="C109" s="125" t="s">
        <v>158</v>
      </c>
      <c r="D109" s="126">
        <v>1550000</v>
      </c>
      <c r="E109" s="127">
        <v>325.97266035751801</v>
      </c>
      <c r="F109" s="128">
        <v>4755</v>
      </c>
      <c r="G109" s="125" t="s">
        <v>26</v>
      </c>
      <c r="H109" s="125" t="s">
        <v>833</v>
      </c>
      <c r="I109" s="129">
        <v>1993</v>
      </c>
      <c r="J109" s="125" t="s">
        <v>6275</v>
      </c>
      <c r="K109" s="125"/>
      <c r="L109" s="59"/>
      <c r="M109" s="59"/>
      <c r="N109" s="59"/>
      <c r="O109" s="59"/>
    </row>
    <row r="110" spans="1:15">
      <c r="A110" s="314" t="s">
        <v>355</v>
      </c>
      <c r="B110" s="125" t="s">
        <v>33</v>
      </c>
      <c r="C110" s="125" t="s">
        <v>356</v>
      </c>
      <c r="D110" s="126">
        <v>3400000</v>
      </c>
      <c r="E110" s="127">
        <v>356.24476110645401</v>
      </c>
      <c r="F110" s="128">
        <v>9544</v>
      </c>
      <c r="G110" s="125" t="s">
        <v>1519</v>
      </c>
      <c r="H110" s="125" t="s">
        <v>361</v>
      </c>
      <c r="I110" s="129">
        <v>2007</v>
      </c>
      <c r="J110" s="125" t="s">
        <v>6276</v>
      </c>
      <c r="K110" s="125"/>
      <c r="L110" s="59"/>
      <c r="M110" s="59"/>
      <c r="N110" s="59"/>
      <c r="O110" s="59"/>
    </row>
    <row r="111" spans="1:15">
      <c r="A111" s="313" t="s">
        <v>1337</v>
      </c>
      <c r="B111" s="130" t="s">
        <v>20</v>
      </c>
      <c r="C111" s="130" t="s">
        <v>356</v>
      </c>
      <c r="D111" s="118">
        <v>850000</v>
      </c>
      <c r="E111" s="119">
        <v>358.19637589549097</v>
      </c>
      <c r="F111" s="117">
        <v>2373</v>
      </c>
      <c r="G111" s="130" t="s">
        <v>26</v>
      </c>
      <c r="H111" s="130" t="s">
        <v>1340</v>
      </c>
      <c r="I111" s="131">
        <v>1986</v>
      </c>
      <c r="J111" s="130" t="s">
        <v>6275</v>
      </c>
      <c r="K111" s="130"/>
      <c r="L111" s="59"/>
      <c r="M111" s="59"/>
      <c r="N111" s="59"/>
      <c r="O111" s="59"/>
    </row>
    <row r="112" spans="1:15">
      <c r="A112" s="313" t="s">
        <v>1190</v>
      </c>
      <c r="B112" s="130" t="s">
        <v>184</v>
      </c>
      <c r="C112" s="130" t="s">
        <v>792</v>
      </c>
      <c r="D112" s="118">
        <v>3300000</v>
      </c>
      <c r="E112" s="119">
        <v>422.53521126760597</v>
      </c>
      <c r="F112" s="117">
        <v>7810</v>
      </c>
      <c r="G112" s="130" t="s">
        <v>26</v>
      </c>
      <c r="H112" s="130"/>
      <c r="I112" s="131">
        <v>2007</v>
      </c>
      <c r="J112" s="130" t="s">
        <v>6276</v>
      </c>
      <c r="K112" s="130"/>
      <c r="L112" s="59"/>
      <c r="M112" s="59"/>
      <c r="N112" s="59"/>
      <c r="O112" s="59"/>
    </row>
    <row r="113" spans="1:15">
      <c r="A113" s="313" t="s">
        <v>883</v>
      </c>
      <c r="B113" s="130" t="s">
        <v>20</v>
      </c>
      <c r="C113" s="130" t="s">
        <v>158</v>
      </c>
      <c r="D113" s="118">
        <v>1991400</v>
      </c>
      <c r="E113" s="119">
        <v>466.58856607310202</v>
      </c>
      <c r="F113" s="117">
        <v>4268</v>
      </c>
      <c r="G113" s="130" t="s">
        <v>26</v>
      </c>
      <c r="H113" s="130" t="s">
        <v>886</v>
      </c>
      <c r="I113" s="131">
        <v>2004</v>
      </c>
      <c r="J113" s="130" t="s">
        <v>6276</v>
      </c>
      <c r="K113" s="130"/>
      <c r="L113" s="59"/>
      <c r="M113" s="59"/>
      <c r="N113" s="59"/>
      <c r="O113" s="59"/>
    </row>
    <row r="114" spans="1:15">
      <c r="A114" s="313" t="s">
        <v>937</v>
      </c>
      <c r="B114" s="130" t="s">
        <v>20</v>
      </c>
      <c r="C114" s="130" t="s">
        <v>877</v>
      </c>
      <c r="D114" s="118">
        <v>4225000</v>
      </c>
      <c r="E114" s="119">
        <v>479.56867196367801</v>
      </c>
      <c r="F114" s="117">
        <v>8810</v>
      </c>
      <c r="G114" s="130" t="s">
        <v>26</v>
      </c>
      <c r="H114" s="130" t="s">
        <v>940</v>
      </c>
      <c r="I114" s="131">
        <v>2005</v>
      </c>
      <c r="J114" s="130" t="s">
        <v>6276</v>
      </c>
      <c r="K114" s="130" t="s">
        <v>6318</v>
      </c>
      <c r="L114" s="59" t="s">
        <v>6509</v>
      </c>
      <c r="M114" s="26" t="s">
        <v>6561</v>
      </c>
      <c r="N114" s="59"/>
      <c r="O114" s="59"/>
    </row>
    <row r="115" spans="1:15">
      <c r="A115" s="314" t="s">
        <v>1387</v>
      </c>
      <c r="B115" s="125" t="s">
        <v>20</v>
      </c>
      <c r="C115" s="125" t="s">
        <v>356</v>
      </c>
      <c r="D115" s="126">
        <v>9998200</v>
      </c>
      <c r="E115" s="127">
        <v>587.19680507429405</v>
      </c>
      <c r="F115" s="128">
        <v>17027</v>
      </c>
      <c r="G115" s="125" t="s">
        <v>6212</v>
      </c>
      <c r="H115" s="125" t="s">
        <v>6210</v>
      </c>
      <c r="I115" s="129">
        <v>2017</v>
      </c>
      <c r="J115" s="125" t="s">
        <v>6277</v>
      </c>
      <c r="K115" s="125"/>
      <c r="L115" s="59"/>
      <c r="M115" s="59"/>
      <c r="N115" s="59"/>
      <c r="O115" s="59"/>
    </row>
    <row r="116" spans="1:15">
      <c r="A116" s="314" t="s">
        <v>284</v>
      </c>
      <c r="B116" s="125" t="s">
        <v>33</v>
      </c>
      <c r="C116" s="125" t="s">
        <v>285</v>
      </c>
      <c r="D116" s="126">
        <v>3500000</v>
      </c>
      <c r="E116" s="127">
        <v>591.01654846335703</v>
      </c>
      <c r="F116" s="128">
        <v>5922</v>
      </c>
      <c r="G116" s="125" t="s">
        <v>6212</v>
      </c>
      <c r="H116" s="125" t="s">
        <v>6520</v>
      </c>
      <c r="I116" s="129">
        <v>2023</v>
      </c>
      <c r="J116" s="125" t="s">
        <v>6277</v>
      </c>
      <c r="K116" s="125" t="s">
        <v>6318</v>
      </c>
      <c r="L116" s="59" t="s">
        <v>6532</v>
      </c>
      <c r="M116" s="26" t="s">
        <v>6562</v>
      </c>
      <c r="N116" s="59"/>
      <c r="O116" s="59"/>
    </row>
    <row r="117" spans="1:15">
      <c r="A117" s="59"/>
      <c r="B117" s="59"/>
      <c r="C117" s="59"/>
      <c r="D117" s="59"/>
      <c r="E117" s="59"/>
      <c r="F117" s="59"/>
      <c r="G117" s="59"/>
      <c r="H117" s="59"/>
      <c r="I117" s="59"/>
      <c r="J117" s="59"/>
      <c r="K117" s="59"/>
      <c r="L117" s="59"/>
      <c r="M117" s="59"/>
      <c r="N117" s="59"/>
      <c r="O117" s="59"/>
    </row>
    <row r="118" spans="1:15">
      <c r="A118" s="71" t="s">
        <v>6282</v>
      </c>
      <c r="B118" s="59"/>
      <c r="C118" s="59"/>
      <c r="D118" s="59"/>
      <c r="E118" s="59"/>
      <c r="F118" s="59"/>
      <c r="G118" s="59"/>
      <c r="H118" s="59"/>
      <c r="I118" s="59"/>
      <c r="J118" s="59"/>
      <c r="K118" s="59"/>
      <c r="L118" s="59"/>
      <c r="M118" s="59"/>
      <c r="N118" s="59"/>
      <c r="O118" s="59"/>
    </row>
    <row r="119" spans="1:15">
      <c r="A119" s="103" t="s">
        <v>6283</v>
      </c>
      <c r="B119" s="59"/>
      <c r="C119" s="59"/>
      <c r="D119" s="59"/>
      <c r="E119" s="59"/>
      <c r="F119" s="59"/>
      <c r="G119" s="59"/>
      <c r="H119" s="59"/>
      <c r="I119" s="59"/>
      <c r="J119" s="59"/>
      <c r="K119" s="59"/>
      <c r="L119" s="59"/>
      <c r="M119" s="59"/>
      <c r="N119" s="59"/>
      <c r="O119" s="59"/>
    </row>
    <row r="120" spans="1:15">
      <c r="A120" s="301" t="s">
        <v>6438</v>
      </c>
      <c r="B120" s="59"/>
      <c r="C120" s="59"/>
      <c r="D120" s="59"/>
      <c r="E120" s="59"/>
      <c r="F120" s="59"/>
      <c r="G120" s="59"/>
      <c r="H120" s="59"/>
      <c r="I120" s="59"/>
      <c r="J120" s="59"/>
      <c r="K120" s="59"/>
      <c r="L120" s="59"/>
      <c r="M120" s="59"/>
      <c r="N120" s="59"/>
      <c r="O120" s="59"/>
    </row>
    <row r="121" spans="1:15">
      <c r="A121" s="105" t="s">
        <v>6439</v>
      </c>
      <c r="B121" s="59"/>
      <c r="C121" s="59"/>
      <c r="D121" s="59"/>
      <c r="E121" s="59"/>
      <c r="F121" s="59"/>
      <c r="G121" s="59"/>
      <c r="H121" s="59"/>
      <c r="I121" s="59"/>
      <c r="J121" s="59"/>
      <c r="K121" s="59"/>
      <c r="L121" s="59"/>
      <c r="M121" s="59"/>
      <c r="N121" s="59"/>
      <c r="O121" s="59"/>
    </row>
    <row r="122" spans="1:15">
      <c r="A122" s="59"/>
      <c r="B122" s="59"/>
      <c r="C122" s="59"/>
      <c r="D122" s="59"/>
      <c r="E122" s="59"/>
      <c r="F122" s="59"/>
      <c r="G122" s="59"/>
      <c r="H122" s="59"/>
      <c r="I122" s="59"/>
      <c r="J122" s="59"/>
      <c r="K122" s="59"/>
      <c r="L122" s="59"/>
      <c r="M122" s="59"/>
      <c r="N122" s="59"/>
      <c r="O122" s="59"/>
    </row>
    <row r="123" spans="1:15">
      <c r="A123" s="59"/>
      <c r="B123" s="59"/>
      <c r="C123" s="59"/>
      <c r="D123" s="59"/>
      <c r="E123" s="59"/>
      <c r="F123" s="59"/>
      <c r="G123" s="59"/>
      <c r="H123" s="59"/>
      <c r="I123" s="59"/>
      <c r="J123" s="59"/>
      <c r="K123" s="59"/>
      <c r="L123" s="59"/>
      <c r="M123" s="59"/>
      <c r="N123" s="59"/>
      <c r="O123" s="59"/>
    </row>
    <row r="124" spans="1:15">
      <c r="A124" s="59"/>
      <c r="B124" s="59"/>
      <c r="C124" s="59"/>
      <c r="D124" s="59"/>
      <c r="E124" s="59"/>
      <c r="F124" s="59"/>
      <c r="G124" s="59"/>
      <c r="H124" s="59"/>
      <c r="I124" s="59"/>
      <c r="J124" s="59"/>
      <c r="K124" s="59"/>
      <c r="L124" s="59"/>
      <c r="M124" s="59"/>
      <c r="N124" s="59"/>
      <c r="O124" s="59"/>
    </row>
    <row r="125" spans="1:15">
      <c r="A125" s="59"/>
      <c r="B125" s="59"/>
      <c r="C125" s="59"/>
      <c r="D125" s="59"/>
      <c r="E125" s="59"/>
      <c r="F125" s="59"/>
      <c r="G125" s="59"/>
      <c r="H125" s="59"/>
      <c r="I125" s="59"/>
      <c r="J125" s="59"/>
      <c r="K125" s="59"/>
      <c r="L125" s="59"/>
      <c r="M125" s="59"/>
      <c r="N125" s="59"/>
      <c r="O125" s="59"/>
    </row>
    <row r="126" spans="1:15">
      <c r="A126" s="59"/>
      <c r="B126" s="59"/>
      <c r="C126" s="59"/>
      <c r="D126" s="59"/>
      <c r="E126" s="59"/>
      <c r="F126" s="59"/>
      <c r="G126" s="59"/>
      <c r="H126" s="59"/>
      <c r="I126" s="59"/>
      <c r="J126" s="59"/>
      <c r="K126" s="59"/>
      <c r="L126" s="59"/>
      <c r="M126" s="59"/>
      <c r="N126" s="59"/>
      <c r="O126" s="59"/>
    </row>
    <row r="127" spans="1:15">
      <c r="A127" s="59"/>
      <c r="B127" s="59"/>
      <c r="C127" s="59"/>
      <c r="D127" s="59"/>
      <c r="E127" s="59"/>
      <c r="F127" s="59"/>
      <c r="G127" s="59"/>
      <c r="H127" s="59"/>
      <c r="I127" s="59"/>
      <c r="J127" s="59"/>
      <c r="K127" s="59"/>
      <c r="L127" s="59"/>
      <c r="M127" s="59"/>
      <c r="N127" s="59"/>
      <c r="O127" s="59"/>
    </row>
    <row r="128" spans="1:15">
      <c r="A128" s="59"/>
      <c r="B128" s="59"/>
      <c r="C128" s="59"/>
      <c r="D128" s="59"/>
      <c r="E128" s="59"/>
      <c r="F128" s="59"/>
      <c r="G128" s="59"/>
      <c r="H128" s="59"/>
      <c r="I128" s="59"/>
      <c r="J128" s="59"/>
      <c r="K128" s="59"/>
      <c r="L128" s="59"/>
      <c r="M128" s="59"/>
      <c r="N128" s="59"/>
      <c r="O128" s="59"/>
    </row>
    <row r="129" spans="1:15">
      <c r="A129" s="59"/>
      <c r="B129" s="59"/>
      <c r="C129" s="59"/>
      <c r="D129" s="59"/>
      <c r="E129" s="59"/>
      <c r="F129" s="59"/>
      <c r="G129" s="59"/>
      <c r="H129" s="59"/>
      <c r="I129" s="59"/>
      <c r="J129" s="59"/>
      <c r="K129" s="59"/>
      <c r="L129" s="59"/>
      <c r="M129" s="59"/>
      <c r="N129" s="59"/>
      <c r="O129" s="59"/>
    </row>
    <row r="130" spans="1:15">
      <c r="A130" s="59"/>
      <c r="B130" s="59"/>
      <c r="C130" s="59"/>
      <c r="D130" s="59"/>
      <c r="E130" s="59"/>
      <c r="F130" s="59"/>
      <c r="G130" s="59"/>
      <c r="H130" s="59"/>
      <c r="I130" s="59"/>
      <c r="J130" s="59"/>
      <c r="K130" s="59"/>
      <c r="L130" s="59"/>
      <c r="M130" s="59"/>
      <c r="N130" s="59"/>
      <c r="O130" s="59"/>
    </row>
    <row r="131" spans="1:15">
      <c r="A131" s="59"/>
      <c r="B131" s="59"/>
      <c r="C131" s="59"/>
      <c r="D131" s="59"/>
      <c r="E131" s="59"/>
      <c r="F131" s="59"/>
      <c r="G131" s="59"/>
      <c r="H131" s="59"/>
      <c r="I131" s="59"/>
      <c r="J131" s="59"/>
      <c r="K131" s="59"/>
      <c r="L131" s="59"/>
      <c r="M131" s="59"/>
      <c r="N131" s="59"/>
      <c r="O131" s="59"/>
    </row>
    <row r="132" spans="1:15">
      <c r="A132" s="59"/>
      <c r="B132" s="59"/>
      <c r="C132" s="59"/>
      <c r="D132" s="59"/>
      <c r="E132" s="59"/>
      <c r="F132" s="59"/>
      <c r="G132" s="59"/>
      <c r="H132" s="59"/>
      <c r="I132" s="59"/>
      <c r="J132" s="59"/>
      <c r="K132" s="59"/>
      <c r="L132" s="59"/>
      <c r="M132" s="59"/>
      <c r="N132" s="59"/>
      <c r="O132" s="59"/>
    </row>
    <row r="133" spans="1:15">
      <c r="A133" s="59"/>
      <c r="B133" s="59"/>
      <c r="C133" s="59"/>
      <c r="D133" s="59"/>
      <c r="E133" s="59"/>
      <c r="F133" s="59"/>
      <c r="G133" s="59"/>
      <c r="H133" s="59"/>
      <c r="I133" s="59"/>
      <c r="J133" s="59"/>
      <c r="K133" s="59"/>
      <c r="L133" s="59"/>
      <c r="M133" s="59"/>
      <c r="N133" s="59"/>
      <c r="O133" s="59"/>
    </row>
    <row r="134" spans="1:15">
      <c r="A134" s="59"/>
      <c r="B134" s="59"/>
      <c r="C134" s="59"/>
      <c r="D134" s="59"/>
      <c r="E134" s="59"/>
      <c r="F134" s="59"/>
      <c r="G134" s="59"/>
      <c r="H134" s="59"/>
      <c r="I134" s="59"/>
      <c r="J134" s="59"/>
      <c r="K134" s="59"/>
      <c r="L134" s="59"/>
      <c r="M134" s="59"/>
      <c r="N134" s="59"/>
      <c r="O134" s="59"/>
    </row>
    <row r="135" spans="1:15">
      <c r="A135" s="59"/>
      <c r="B135" s="59"/>
      <c r="C135" s="59"/>
      <c r="D135" s="59"/>
      <c r="E135" s="59"/>
      <c r="F135" s="59"/>
      <c r="G135" s="59"/>
      <c r="H135" s="59"/>
      <c r="I135" s="59"/>
      <c r="J135" s="59"/>
      <c r="K135" s="59"/>
      <c r="L135" s="59"/>
      <c r="M135" s="59"/>
      <c r="N135" s="59"/>
      <c r="O135" s="59"/>
    </row>
    <row r="136" spans="1:15">
      <c r="A136" s="59"/>
      <c r="B136" s="59"/>
      <c r="C136" s="59"/>
      <c r="D136" s="59"/>
      <c r="E136" s="59"/>
      <c r="F136" s="59"/>
      <c r="G136" s="59"/>
      <c r="H136" s="59"/>
      <c r="I136" s="59"/>
      <c r="J136" s="59"/>
      <c r="K136" s="59"/>
      <c r="L136" s="59"/>
      <c r="M136" s="59"/>
      <c r="N136" s="59"/>
      <c r="O136" s="59"/>
    </row>
    <row r="137" spans="1:15">
      <c r="A137" s="59"/>
      <c r="B137" s="59"/>
      <c r="C137" s="59"/>
      <c r="D137" s="59"/>
      <c r="E137" s="59"/>
      <c r="F137" s="59"/>
      <c r="G137" s="59"/>
      <c r="H137" s="59"/>
      <c r="I137" s="59"/>
      <c r="J137" s="59"/>
      <c r="K137" s="59"/>
      <c r="L137" s="59"/>
      <c r="M137" s="59"/>
      <c r="N137" s="59"/>
      <c r="O137" s="59"/>
    </row>
    <row r="138" spans="1:15">
      <c r="A138" s="59"/>
      <c r="B138" s="59"/>
      <c r="C138" s="59"/>
      <c r="D138" s="59"/>
      <c r="E138" s="59"/>
      <c r="F138" s="59"/>
      <c r="G138" s="59"/>
      <c r="H138" s="59"/>
      <c r="I138" s="59"/>
      <c r="J138" s="59"/>
      <c r="K138" s="59"/>
      <c r="L138" s="59"/>
      <c r="M138" s="59"/>
      <c r="N138" s="59"/>
      <c r="O138" s="59"/>
    </row>
    <row r="139" spans="1:15">
      <c r="A139" s="59"/>
      <c r="B139" s="59"/>
      <c r="C139" s="59"/>
      <c r="D139" s="59"/>
      <c r="E139" s="59"/>
      <c r="F139" s="59"/>
      <c r="G139" s="59"/>
      <c r="H139" s="59"/>
      <c r="I139" s="59"/>
      <c r="J139" s="59"/>
      <c r="K139" s="59"/>
      <c r="L139" s="59"/>
      <c r="M139" s="59"/>
      <c r="N139" s="59"/>
      <c r="O139" s="59"/>
    </row>
    <row r="140" spans="1:15">
      <c r="A140" s="59"/>
      <c r="B140" s="59"/>
      <c r="C140" s="59"/>
      <c r="D140" s="59"/>
      <c r="E140" s="59"/>
      <c r="F140" s="59"/>
      <c r="G140" s="59"/>
      <c r="H140" s="59"/>
      <c r="I140" s="59"/>
      <c r="J140" s="59"/>
      <c r="K140" s="59"/>
      <c r="L140" s="59"/>
      <c r="M140" s="59"/>
      <c r="N140" s="59"/>
      <c r="O140" s="59"/>
    </row>
    <row r="141" spans="1:15">
      <c r="A141" s="59"/>
      <c r="B141" s="59"/>
      <c r="C141" s="59"/>
      <c r="D141" s="59"/>
      <c r="E141" s="59"/>
      <c r="F141" s="59"/>
      <c r="G141" s="59"/>
      <c r="H141" s="59"/>
      <c r="I141" s="59"/>
      <c r="J141" s="59"/>
      <c r="K141" s="59"/>
      <c r="L141" s="59"/>
      <c r="M141" s="59"/>
      <c r="N141" s="59"/>
      <c r="O141" s="59"/>
    </row>
    <row r="142" spans="1:15">
      <c r="A142" s="59"/>
      <c r="B142" s="59"/>
      <c r="C142" s="59"/>
      <c r="D142" s="59"/>
      <c r="E142" s="59"/>
      <c r="F142" s="59"/>
      <c r="G142" s="59"/>
      <c r="H142" s="59"/>
      <c r="I142" s="59"/>
      <c r="J142" s="59"/>
      <c r="K142" s="59"/>
      <c r="L142" s="59"/>
      <c r="M142" s="59"/>
      <c r="N142" s="59"/>
      <c r="O142" s="59"/>
    </row>
    <row r="143" spans="1:15">
      <c r="A143" s="59"/>
      <c r="B143" s="59"/>
      <c r="C143" s="59"/>
      <c r="D143" s="59"/>
      <c r="E143" s="59"/>
      <c r="F143" s="59"/>
      <c r="G143" s="59"/>
      <c r="H143" s="59"/>
      <c r="I143" s="59"/>
      <c r="J143" s="59"/>
      <c r="K143" s="59"/>
      <c r="L143" s="59"/>
      <c r="M143" s="59"/>
      <c r="N143" s="59"/>
      <c r="O143" s="59"/>
    </row>
    <row r="144" spans="1:15">
      <c r="A144" s="59"/>
      <c r="B144" s="59"/>
      <c r="C144" s="59"/>
      <c r="D144" s="59"/>
      <c r="E144" s="59"/>
      <c r="F144" s="59"/>
      <c r="G144" s="59"/>
      <c r="H144" s="59"/>
      <c r="I144" s="59"/>
      <c r="J144" s="59"/>
      <c r="K144" s="59"/>
      <c r="L144" s="59"/>
      <c r="M144" s="59"/>
      <c r="N144" s="59"/>
      <c r="O144" s="59"/>
    </row>
    <row r="145" spans="1:15">
      <c r="A145" s="59"/>
      <c r="B145" s="59"/>
      <c r="C145" s="59"/>
      <c r="D145" s="59"/>
      <c r="E145" s="59"/>
      <c r="F145" s="59"/>
      <c r="G145" s="59"/>
      <c r="H145" s="59"/>
      <c r="I145" s="59"/>
      <c r="J145" s="59"/>
      <c r="K145" s="59"/>
      <c r="L145" s="59"/>
      <c r="M145" s="59"/>
      <c r="N145" s="59"/>
      <c r="O145" s="59"/>
    </row>
    <row r="146" spans="1:15">
      <c r="A146" s="59"/>
      <c r="B146" s="59"/>
      <c r="C146" s="59"/>
      <c r="D146" s="59"/>
      <c r="E146" s="59"/>
      <c r="F146" s="59"/>
      <c r="G146" s="59"/>
      <c r="H146" s="59"/>
      <c r="I146" s="59"/>
      <c r="J146" s="59"/>
      <c r="K146" s="59"/>
      <c r="L146" s="59"/>
      <c r="M146" s="59"/>
      <c r="N146" s="59"/>
      <c r="O146" s="59"/>
    </row>
    <row r="147" spans="1:15">
      <c r="A147" s="59"/>
      <c r="B147" s="59"/>
      <c r="C147" s="59"/>
      <c r="D147" s="59"/>
      <c r="E147" s="59"/>
      <c r="F147" s="59"/>
      <c r="G147" s="59"/>
      <c r="H147" s="59"/>
      <c r="I147" s="59"/>
      <c r="J147" s="59"/>
      <c r="K147" s="59"/>
      <c r="L147" s="59"/>
      <c r="M147" s="59"/>
      <c r="N147" s="59"/>
      <c r="O147" s="59"/>
    </row>
    <row r="148" spans="1:15">
      <c r="A148" s="59"/>
      <c r="B148" s="59"/>
      <c r="C148" s="59"/>
      <c r="D148" s="59"/>
      <c r="E148" s="59"/>
      <c r="F148" s="59"/>
      <c r="G148" s="59"/>
      <c r="H148" s="59"/>
      <c r="I148" s="59"/>
      <c r="J148" s="59"/>
      <c r="K148" s="59"/>
      <c r="L148" s="59"/>
      <c r="M148" s="59"/>
      <c r="N148" s="59"/>
      <c r="O148" s="59"/>
    </row>
    <row r="149" spans="1:15">
      <c r="A149" s="59"/>
      <c r="B149" s="59"/>
      <c r="C149" s="59"/>
      <c r="D149" s="59"/>
      <c r="E149" s="59"/>
      <c r="F149" s="59"/>
      <c r="G149" s="59"/>
      <c r="H149" s="59"/>
      <c r="I149" s="59"/>
      <c r="J149" s="59"/>
      <c r="K149" s="59"/>
      <c r="L149" s="59"/>
      <c r="M149" s="59"/>
      <c r="N149" s="59"/>
      <c r="O149" s="59"/>
    </row>
    <row r="150" spans="1:15">
      <c r="A150" s="59"/>
      <c r="B150" s="59"/>
      <c r="C150" s="59"/>
      <c r="D150" s="59"/>
      <c r="E150" s="59"/>
      <c r="F150" s="59"/>
      <c r="G150" s="59"/>
      <c r="H150" s="59"/>
      <c r="I150" s="59"/>
      <c r="J150" s="59"/>
      <c r="K150" s="59"/>
      <c r="L150" s="59"/>
      <c r="M150" s="59"/>
      <c r="N150" s="59"/>
      <c r="O150" s="59"/>
    </row>
    <row r="151" spans="1:15">
      <c r="A151" s="59"/>
      <c r="B151" s="59"/>
      <c r="C151" s="59"/>
      <c r="D151" s="59"/>
      <c r="E151" s="59"/>
      <c r="F151" s="59"/>
      <c r="G151" s="59"/>
      <c r="H151" s="59"/>
      <c r="I151" s="59"/>
      <c r="J151" s="59"/>
      <c r="K151" s="59"/>
      <c r="L151" s="59"/>
      <c r="M151" s="59"/>
      <c r="N151" s="59"/>
      <c r="O151" s="59"/>
    </row>
    <row r="152" spans="1:15">
      <c r="A152" s="59"/>
      <c r="B152" s="59"/>
      <c r="C152" s="59"/>
      <c r="D152" s="59"/>
      <c r="E152" s="59"/>
      <c r="F152" s="59"/>
      <c r="G152" s="59"/>
      <c r="H152" s="59"/>
      <c r="I152" s="59"/>
      <c r="J152" s="59"/>
      <c r="K152" s="59"/>
      <c r="L152" s="59"/>
      <c r="M152" s="59"/>
      <c r="N152" s="59"/>
      <c r="O152" s="59"/>
    </row>
    <row r="153" spans="1:15">
      <c r="A153" s="59"/>
      <c r="B153" s="59"/>
      <c r="C153" s="59"/>
      <c r="D153" s="59"/>
      <c r="E153" s="59"/>
      <c r="F153" s="59"/>
      <c r="G153" s="59"/>
      <c r="H153" s="59"/>
      <c r="I153" s="59"/>
      <c r="J153" s="59"/>
      <c r="K153" s="59"/>
      <c r="L153" s="59"/>
      <c r="M153" s="59"/>
      <c r="N153" s="59"/>
      <c r="O153" s="59"/>
    </row>
    <row r="154" spans="1:15">
      <c r="A154" s="59"/>
      <c r="B154" s="59"/>
      <c r="C154" s="59"/>
      <c r="D154" s="59"/>
      <c r="E154" s="59"/>
      <c r="F154" s="59"/>
      <c r="G154" s="59"/>
      <c r="H154" s="59"/>
      <c r="I154" s="59"/>
      <c r="J154" s="59"/>
      <c r="K154" s="59"/>
      <c r="L154" s="59"/>
      <c r="M154" s="59"/>
      <c r="N154" s="59"/>
      <c r="O154" s="59"/>
    </row>
    <row r="155" spans="1:15">
      <c r="A155" s="59"/>
      <c r="B155" s="59"/>
      <c r="C155" s="59"/>
      <c r="D155" s="59"/>
      <c r="E155" s="59"/>
      <c r="F155" s="59"/>
      <c r="G155" s="59"/>
      <c r="H155" s="59"/>
      <c r="I155" s="59"/>
      <c r="J155" s="59"/>
      <c r="K155" s="59"/>
      <c r="L155" s="59"/>
      <c r="M155" s="59"/>
      <c r="N155" s="59"/>
      <c r="O155" s="59"/>
    </row>
    <row r="156" spans="1:15">
      <c r="A156" s="59"/>
      <c r="B156" s="59"/>
      <c r="C156" s="59"/>
      <c r="D156" s="59"/>
      <c r="E156" s="59"/>
      <c r="F156" s="59"/>
      <c r="G156" s="59"/>
      <c r="H156" s="59"/>
      <c r="I156" s="59"/>
      <c r="J156" s="59"/>
      <c r="K156" s="59"/>
      <c r="L156" s="59"/>
      <c r="M156" s="59"/>
      <c r="N156" s="59"/>
      <c r="O156" s="59"/>
    </row>
    <row r="157" spans="1:15">
      <c r="A157" s="59"/>
      <c r="B157" s="59"/>
      <c r="C157" s="59"/>
      <c r="D157" s="59"/>
      <c r="E157" s="59"/>
      <c r="F157" s="59"/>
      <c r="G157" s="59"/>
      <c r="H157" s="59"/>
      <c r="I157" s="59"/>
      <c r="J157" s="59"/>
      <c r="K157" s="59"/>
      <c r="L157" s="59"/>
      <c r="M157" s="59"/>
      <c r="N157" s="59"/>
      <c r="O157" s="59"/>
    </row>
    <row r="158" spans="1:15">
      <c r="A158" s="59"/>
      <c r="B158" s="59"/>
      <c r="C158" s="59"/>
      <c r="D158" s="59"/>
      <c r="E158" s="59"/>
      <c r="F158" s="59"/>
      <c r="G158" s="59"/>
      <c r="H158" s="59"/>
      <c r="I158" s="59"/>
      <c r="J158" s="59"/>
      <c r="K158" s="59"/>
      <c r="L158" s="59"/>
      <c r="M158" s="59"/>
      <c r="N158" s="59"/>
      <c r="O158" s="59"/>
    </row>
    <row r="159" spans="1:15">
      <c r="A159" s="59"/>
      <c r="B159" s="59"/>
      <c r="C159" s="59"/>
      <c r="D159" s="59"/>
      <c r="E159" s="59"/>
      <c r="F159" s="59"/>
      <c r="G159" s="59"/>
      <c r="H159" s="59"/>
      <c r="I159" s="59"/>
      <c r="J159" s="59"/>
      <c r="K159" s="59"/>
      <c r="L159" s="59"/>
      <c r="M159" s="59"/>
      <c r="N159" s="59"/>
      <c r="O159" s="59"/>
    </row>
    <row r="160" spans="1:15">
      <c r="A160" s="59"/>
      <c r="B160" s="59"/>
      <c r="C160" s="59"/>
      <c r="D160" s="59"/>
      <c r="E160" s="59"/>
      <c r="F160" s="59"/>
      <c r="G160" s="59"/>
      <c r="H160" s="59"/>
      <c r="I160" s="59"/>
      <c r="J160" s="59"/>
      <c r="K160" s="59"/>
      <c r="L160" s="59"/>
      <c r="M160" s="59"/>
      <c r="N160" s="59"/>
      <c r="O160" s="59"/>
    </row>
    <row r="161" spans="1:15">
      <c r="A161" s="59"/>
      <c r="B161" s="59"/>
      <c r="C161" s="59"/>
      <c r="D161" s="59"/>
      <c r="E161" s="59"/>
      <c r="F161" s="59"/>
      <c r="G161" s="59"/>
      <c r="H161" s="59"/>
      <c r="I161" s="59"/>
      <c r="J161" s="59"/>
      <c r="K161" s="59"/>
      <c r="L161" s="59"/>
      <c r="M161" s="59"/>
      <c r="N161" s="59"/>
      <c r="O161" s="59"/>
    </row>
    <row r="162" spans="1:15">
      <c r="A162" s="59"/>
      <c r="B162" s="59"/>
      <c r="C162" s="59"/>
      <c r="D162" s="59"/>
      <c r="E162" s="59"/>
      <c r="F162" s="59"/>
      <c r="G162" s="59"/>
      <c r="H162" s="59"/>
      <c r="I162" s="59"/>
      <c r="J162" s="59"/>
      <c r="K162" s="59"/>
      <c r="L162" s="59"/>
      <c r="M162" s="59"/>
      <c r="N162" s="59"/>
      <c r="O162" s="59"/>
    </row>
    <row r="163" spans="1:15">
      <c r="A163" s="59"/>
      <c r="B163" s="59"/>
      <c r="C163" s="59"/>
      <c r="D163" s="59"/>
      <c r="E163" s="59"/>
      <c r="F163" s="59"/>
      <c r="G163" s="59"/>
      <c r="H163" s="59"/>
      <c r="I163" s="59"/>
      <c r="J163" s="59"/>
      <c r="K163" s="59"/>
      <c r="L163" s="59"/>
      <c r="M163" s="59"/>
      <c r="N163" s="59"/>
      <c r="O163" s="59"/>
    </row>
    <row r="164" spans="1:15">
      <c r="A164" s="59"/>
      <c r="B164" s="59"/>
      <c r="C164" s="59"/>
      <c r="D164" s="59"/>
      <c r="E164" s="59"/>
      <c r="F164" s="59"/>
      <c r="G164" s="59"/>
      <c r="H164" s="59"/>
      <c r="I164" s="59"/>
      <c r="J164" s="59"/>
      <c r="K164" s="59"/>
      <c r="L164" s="59"/>
      <c r="M164" s="59"/>
      <c r="N164" s="59"/>
      <c r="O164" s="59"/>
    </row>
    <row r="165" spans="1:15">
      <c r="A165" s="59"/>
      <c r="B165" s="59"/>
      <c r="C165" s="59"/>
      <c r="D165" s="59"/>
      <c r="E165" s="59"/>
      <c r="F165" s="59"/>
      <c r="G165" s="59"/>
      <c r="H165" s="59"/>
      <c r="I165" s="59"/>
      <c r="J165" s="59"/>
      <c r="K165" s="59"/>
      <c r="L165" s="59"/>
      <c r="M165" s="59"/>
      <c r="N165" s="59"/>
      <c r="O165" s="59"/>
    </row>
    <row r="166" spans="1:15">
      <c r="A166" s="59"/>
      <c r="B166" s="59"/>
      <c r="C166" s="59"/>
      <c r="D166" s="59"/>
      <c r="E166" s="59"/>
      <c r="F166" s="59"/>
      <c r="G166" s="59"/>
      <c r="H166" s="59"/>
      <c r="I166" s="59"/>
      <c r="J166" s="59"/>
      <c r="K166" s="59"/>
      <c r="L166" s="59"/>
      <c r="M166" s="59"/>
      <c r="N166" s="59"/>
      <c r="O166" s="59"/>
    </row>
    <row r="167" spans="1:15">
      <c r="A167" s="59"/>
      <c r="B167" s="59"/>
      <c r="C167" s="59"/>
      <c r="D167" s="59"/>
      <c r="E167" s="59"/>
      <c r="F167" s="59"/>
      <c r="G167" s="59"/>
      <c r="H167" s="59"/>
      <c r="I167" s="59"/>
      <c r="J167" s="59"/>
      <c r="K167" s="59"/>
      <c r="L167" s="59"/>
      <c r="M167" s="59"/>
      <c r="N167" s="59"/>
      <c r="O167" s="59"/>
    </row>
    <row r="168" spans="1:15">
      <c r="A168" s="59"/>
      <c r="B168" s="59"/>
      <c r="C168" s="59"/>
      <c r="D168" s="59"/>
      <c r="E168" s="59"/>
      <c r="F168" s="59"/>
      <c r="G168" s="59"/>
      <c r="H168" s="59"/>
      <c r="I168" s="59"/>
      <c r="J168" s="59"/>
      <c r="K168" s="59"/>
      <c r="L168" s="59"/>
      <c r="M168" s="59"/>
      <c r="N168" s="59"/>
      <c r="O168" s="59"/>
    </row>
    <row r="169" spans="1:15">
      <c r="A169" s="59"/>
      <c r="B169" s="59"/>
      <c r="C169" s="59"/>
      <c r="D169" s="59"/>
      <c r="E169" s="59"/>
      <c r="F169" s="59"/>
      <c r="G169" s="59"/>
      <c r="H169" s="59"/>
      <c r="I169" s="59"/>
      <c r="J169" s="59"/>
      <c r="K169" s="59"/>
      <c r="L169" s="59"/>
      <c r="M169" s="59"/>
      <c r="N169" s="59"/>
      <c r="O169" s="59"/>
    </row>
    <row r="170" spans="1:15">
      <c r="A170" s="59"/>
      <c r="B170" s="59"/>
      <c r="C170" s="59"/>
      <c r="D170" s="59"/>
      <c r="E170" s="59"/>
      <c r="F170" s="59"/>
      <c r="G170" s="59"/>
      <c r="H170" s="59"/>
      <c r="I170" s="59"/>
      <c r="J170" s="59"/>
      <c r="K170" s="59"/>
      <c r="L170" s="59"/>
      <c r="M170" s="59"/>
      <c r="N170" s="59"/>
      <c r="O170" s="59"/>
    </row>
    <row r="171" spans="1:15">
      <c r="A171" s="59"/>
      <c r="B171" s="59"/>
      <c r="C171" s="59"/>
      <c r="D171" s="59"/>
      <c r="E171" s="59"/>
      <c r="F171" s="59"/>
      <c r="G171" s="59"/>
      <c r="H171" s="59"/>
      <c r="I171" s="59"/>
      <c r="J171" s="59"/>
      <c r="K171" s="59"/>
      <c r="L171" s="59"/>
      <c r="M171" s="59"/>
      <c r="N171" s="59"/>
      <c r="O171" s="59"/>
    </row>
    <row r="172" spans="1:15">
      <c r="A172" s="59"/>
      <c r="B172" s="59"/>
      <c r="C172" s="59"/>
      <c r="D172" s="59"/>
      <c r="E172" s="59"/>
      <c r="F172" s="59"/>
      <c r="G172" s="59"/>
      <c r="H172" s="59"/>
      <c r="I172" s="59"/>
      <c r="J172" s="59"/>
      <c r="K172" s="59"/>
      <c r="L172" s="59"/>
      <c r="M172" s="59"/>
      <c r="N172" s="59"/>
      <c r="O172" s="59"/>
    </row>
    <row r="173" spans="1:15">
      <c r="A173" s="59"/>
      <c r="B173" s="59"/>
      <c r="C173" s="59"/>
      <c r="D173" s="59"/>
      <c r="E173" s="59"/>
      <c r="F173" s="59"/>
      <c r="G173" s="59"/>
      <c r="H173" s="59"/>
      <c r="I173" s="59"/>
      <c r="J173" s="59"/>
      <c r="K173" s="59"/>
      <c r="L173" s="59"/>
      <c r="M173" s="59"/>
      <c r="N173" s="59"/>
      <c r="O173" s="59"/>
    </row>
    <row r="174" spans="1:15">
      <c r="A174" s="59"/>
      <c r="B174" s="59"/>
      <c r="C174" s="59"/>
      <c r="D174" s="59"/>
      <c r="E174" s="59"/>
      <c r="F174" s="59"/>
      <c r="G174" s="59"/>
      <c r="H174" s="59"/>
      <c r="I174" s="59"/>
      <c r="J174" s="59"/>
      <c r="K174" s="59"/>
      <c r="L174" s="59"/>
      <c r="M174" s="59"/>
      <c r="N174" s="59"/>
      <c r="O174" s="59"/>
    </row>
    <row r="175" spans="1:15">
      <c r="A175" s="59"/>
      <c r="B175" s="59"/>
      <c r="C175" s="59"/>
      <c r="D175" s="59"/>
      <c r="E175" s="59"/>
      <c r="F175" s="59"/>
      <c r="G175" s="59"/>
      <c r="H175" s="59"/>
      <c r="I175" s="59"/>
      <c r="J175" s="59"/>
      <c r="K175" s="59"/>
      <c r="L175" s="59"/>
      <c r="M175" s="59"/>
      <c r="N175" s="59"/>
      <c r="O175" s="59"/>
    </row>
    <row r="176" spans="1:15">
      <c r="A176" s="59"/>
      <c r="B176" s="59"/>
      <c r="C176" s="59"/>
      <c r="D176" s="59"/>
      <c r="E176" s="59"/>
      <c r="F176" s="59"/>
      <c r="G176" s="59"/>
      <c r="H176" s="59"/>
      <c r="I176" s="59"/>
      <c r="J176" s="59"/>
      <c r="K176" s="59"/>
      <c r="L176" s="59"/>
      <c r="M176" s="59"/>
      <c r="N176" s="59"/>
      <c r="O176" s="59"/>
    </row>
    <row r="177" spans="1:15">
      <c r="A177" s="59"/>
      <c r="B177" s="59"/>
      <c r="C177" s="59"/>
      <c r="D177" s="59"/>
      <c r="E177" s="59"/>
      <c r="F177" s="59"/>
      <c r="G177" s="59"/>
      <c r="H177" s="59"/>
      <c r="I177" s="59"/>
      <c r="J177" s="59"/>
      <c r="K177" s="59"/>
      <c r="L177" s="59"/>
      <c r="M177" s="59"/>
      <c r="N177" s="59"/>
      <c r="O177" s="59"/>
    </row>
    <row r="178" spans="1:15">
      <c r="A178" s="59"/>
      <c r="B178" s="59"/>
      <c r="C178" s="59"/>
      <c r="D178" s="59"/>
      <c r="E178" s="59"/>
      <c r="F178" s="59"/>
      <c r="G178" s="59"/>
      <c r="H178" s="59"/>
      <c r="I178" s="59"/>
      <c r="J178" s="59"/>
      <c r="K178" s="59"/>
      <c r="L178" s="59"/>
      <c r="M178" s="59"/>
      <c r="N178" s="59"/>
      <c r="O178" s="59"/>
    </row>
    <row r="179" spans="1:15">
      <c r="A179" s="59"/>
      <c r="B179" s="59"/>
      <c r="C179" s="59"/>
      <c r="D179" s="59"/>
      <c r="E179" s="59"/>
      <c r="F179" s="59"/>
      <c r="G179" s="59"/>
      <c r="H179" s="59"/>
      <c r="I179" s="59"/>
      <c r="J179" s="59"/>
      <c r="K179" s="59"/>
      <c r="L179" s="59"/>
      <c r="M179" s="59"/>
      <c r="N179" s="59"/>
      <c r="O179" s="59"/>
    </row>
    <row r="180" spans="1:15">
      <c r="A180" s="59"/>
      <c r="B180" s="59"/>
      <c r="C180" s="59"/>
      <c r="D180" s="59"/>
      <c r="E180" s="59"/>
      <c r="F180" s="59"/>
      <c r="G180" s="59"/>
      <c r="H180" s="59"/>
      <c r="I180" s="59"/>
      <c r="J180" s="59"/>
      <c r="K180" s="59"/>
      <c r="L180" s="59"/>
      <c r="M180" s="59"/>
      <c r="N180" s="59"/>
      <c r="O180" s="59"/>
    </row>
    <row r="181" spans="1:15">
      <c r="A181" s="59"/>
      <c r="B181" s="59"/>
      <c r="C181" s="59"/>
      <c r="D181" s="59"/>
      <c r="E181" s="59"/>
      <c r="F181" s="59"/>
      <c r="G181" s="59"/>
      <c r="H181" s="59"/>
      <c r="I181" s="59"/>
      <c r="J181" s="59"/>
      <c r="K181" s="59"/>
      <c r="L181" s="59"/>
      <c r="M181" s="59"/>
      <c r="N181" s="59"/>
      <c r="O181" s="59"/>
    </row>
    <row r="182" spans="1:15">
      <c r="A182" s="59"/>
      <c r="B182" s="59"/>
      <c r="C182" s="59"/>
      <c r="D182" s="59"/>
      <c r="E182" s="59"/>
      <c r="F182" s="59"/>
      <c r="G182" s="59"/>
      <c r="H182" s="59"/>
      <c r="I182" s="59"/>
      <c r="J182" s="59"/>
      <c r="K182" s="59"/>
      <c r="L182" s="59"/>
      <c r="M182" s="59"/>
      <c r="N182" s="59"/>
      <c r="O182" s="59"/>
    </row>
    <row r="183" spans="1:15">
      <c r="A183" s="59"/>
      <c r="B183" s="59"/>
      <c r="C183" s="59"/>
      <c r="D183" s="59"/>
      <c r="E183" s="59"/>
      <c r="F183" s="59"/>
      <c r="G183" s="59"/>
      <c r="H183" s="59"/>
      <c r="I183" s="59"/>
      <c r="J183" s="59"/>
      <c r="K183" s="59"/>
      <c r="L183" s="59"/>
      <c r="M183" s="59"/>
      <c r="N183" s="59"/>
      <c r="O183" s="59"/>
    </row>
    <row r="184" spans="1:15">
      <c r="A184" s="59"/>
      <c r="B184" s="59"/>
      <c r="C184" s="59"/>
      <c r="D184" s="59"/>
      <c r="E184" s="59"/>
      <c r="F184" s="59"/>
      <c r="G184" s="59"/>
      <c r="H184" s="59"/>
      <c r="I184" s="59"/>
      <c r="J184" s="59"/>
      <c r="K184" s="59"/>
      <c r="L184" s="59"/>
      <c r="M184" s="59"/>
      <c r="N184" s="59"/>
      <c r="O184" s="59"/>
    </row>
    <row r="185" spans="1:15">
      <c r="A185" s="59"/>
      <c r="B185" s="59"/>
      <c r="C185" s="59"/>
      <c r="D185" s="59"/>
      <c r="E185" s="59"/>
      <c r="F185" s="59"/>
      <c r="G185" s="59"/>
      <c r="H185" s="59"/>
      <c r="I185" s="59"/>
      <c r="J185" s="59"/>
      <c r="K185" s="59"/>
      <c r="L185" s="59"/>
      <c r="M185" s="59"/>
      <c r="N185" s="59"/>
      <c r="O185" s="59"/>
    </row>
    <row r="186" spans="1:15">
      <c r="A186" s="59"/>
      <c r="B186" s="59"/>
      <c r="C186" s="59"/>
      <c r="D186" s="59"/>
      <c r="E186" s="59"/>
      <c r="F186" s="59"/>
      <c r="G186" s="59"/>
      <c r="H186" s="59"/>
      <c r="I186" s="59"/>
      <c r="J186" s="59"/>
      <c r="K186" s="59"/>
      <c r="L186" s="59"/>
      <c r="M186" s="59"/>
      <c r="N186" s="59"/>
      <c r="O186" s="59"/>
    </row>
    <row r="187" spans="1:15">
      <c r="A187" s="59"/>
      <c r="B187" s="59"/>
      <c r="C187" s="59"/>
      <c r="D187" s="59"/>
      <c r="E187" s="59"/>
      <c r="F187" s="59"/>
      <c r="G187" s="59"/>
      <c r="H187" s="59"/>
      <c r="I187" s="59"/>
      <c r="J187" s="59"/>
      <c r="K187" s="59"/>
      <c r="L187" s="59"/>
      <c r="M187" s="59"/>
      <c r="N187" s="59"/>
      <c r="O187" s="59"/>
    </row>
    <row r="188" spans="1:15">
      <c r="A188" s="59"/>
      <c r="B188" s="59"/>
      <c r="C188" s="59"/>
      <c r="D188" s="59"/>
      <c r="E188" s="59"/>
      <c r="F188" s="59"/>
      <c r="G188" s="59"/>
      <c r="H188" s="59"/>
      <c r="I188" s="59"/>
      <c r="J188" s="59"/>
      <c r="K188" s="59"/>
      <c r="L188" s="59"/>
      <c r="M188" s="59"/>
      <c r="N188" s="59"/>
      <c r="O188" s="59"/>
    </row>
    <row r="189" spans="1:15">
      <c r="A189" s="59"/>
      <c r="B189" s="59"/>
      <c r="C189" s="59"/>
      <c r="D189" s="59"/>
      <c r="E189" s="59"/>
      <c r="F189" s="59"/>
      <c r="G189" s="59"/>
      <c r="H189" s="59"/>
      <c r="I189" s="59"/>
      <c r="J189" s="59"/>
      <c r="K189" s="59"/>
      <c r="L189" s="59"/>
      <c r="M189" s="59"/>
      <c r="N189" s="59"/>
      <c r="O189" s="59"/>
    </row>
    <row r="190" spans="1:15">
      <c r="A190" s="59"/>
      <c r="B190" s="59"/>
      <c r="C190" s="59"/>
      <c r="D190" s="59"/>
      <c r="E190" s="59"/>
      <c r="F190" s="59"/>
      <c r="G190" s="59"/>
      <c r="H190" s="59"/>
      <c r="I190" s="59"/>
      <c r="J190" s="59"/>
      <c r="K190" s="59"/>
      <c r="L190" s="59"/>
      <c r="M190" s="59"/>
      <c r="N190" s="59"/>
      <c r="O190" s="59"/>
    </row>
    <row r="191" spans="1:15">
      <c r="A191" s="59"/>
      <c r="B191" s="59"/>
      <c r="C191" s="59"/>
      <c r="D191" s="59"/>
      <c r="E191" s="59"/>
      <c r="F191" s="59"/>
      <c r="G191" s="59"/>
      <c r="H191" s="59"/>
      <c r="I191" s="59"/>
      <c r="J191" s="59"/>
      <c r="K191" s="59"/>
      <c r="L191" s="59"/>
      <c r="M191" s="59"/>
      <c r="N191" s="59"/>
      <c r="O191" s="59"/>
    </row>
    <row r="192" spans="1:15">
      <c r="A192" s="59"/>
      <c r="B192" s="59"/>
      <c r="C192" s="59"/>
      <c r="D192" s="59"/>
      <c r="E192" s="59"/>
      <c r="F192" s="59"/>
      <c r="G192" s="59"/>
      <c r="H192" s="59"/>
      <c r="I192" s="59"/>
      <c r="J192" s="59"/>
      <c r="K192" s="59"/>
      <c r="L192" s="59"/>
      <c r="M192" s="59"/>
      <c r="N192" s="59"/>
      <c r="O192" s="59"/>
    </row>
    <row r="193" spans="1:15">
      <c r="A193" s="59"/>
      <c r="B193" s="59"/>
      <c r="C193" s="59"/>
      <c r="D193" s="59"/>
      <c r="E193" s="59"/>
      <c r="F193" s="59"/>
      <c r="G193" s="59"/>
      <c r="H193" s="59"/>
      <c r="I193" s="59"/>
      <c r="J193" s="59"/>
      <c r="K193" s="59"/>
      <c r="L193" s="59"/>
      <c r="M193" s="59"/>
      <c r="N193" s="59"/>
      <c r="O193" s="59"/>
    </row>
    <row r="194" spans="1:15">
      <c r="A194" s="59"/>
      <c r="B194" s="59"/>
      <c r="C194" s="59"/>
      <c r="D194" s="59"/>
      <c r="E194" s="59"/>
      <c r="F194" s="59"/>
      <c r="G194" s="59"/>
      <c r="H194" s="59"/>
      <c r="I194" s="59"/>
      <c r="J194" s="59"/>
      <c r="K194" s="59"/>
      <c r="L194" s="59"/>
      <c r="M194" s="59"/>
      <c r="N194" s="59"/>
      <c r="O194" s="59"/>
    </row>
    <row r="195" spans="1:15">
      <c r="A195" s="59"/>
      <c r="B195" s="59"/>
      <c r="C195" s="59"/>
      <c r="D195" s="59"/>
      <c r="E195" s="59"/>
      <c r="F195" s="59"/>
      <c r="G195" s="59"/>
      <c r="H195" s="59"/>
      <c r="I195" s="59"/>
      <c r="J195" s="59"/>
      <c r="K195" s="59"/>
      <c r="L195" s="59"/>
      <c r="M195" s="59"/>
      <c r="N195" s="59"/>
      <c r="O195" s="59"/>
    </row>
    <row r="196" spans="1:15">
      <c r="A196" s="59"/>
      <c r="B196" s="59"/>
      <c r="C196" s="59"/>
      <c r="D196" s="59"/>
      <c r="E196" s="59"/>
      <c r="F196" s="59"/>
      <c r="G196" s="59"/>
      <c r="H196" s="59"/>
      <c r="I196" s="59"/>
      <c r="J196" s="59"/>
      <c r="K196" s="59"/>
      <c r="L196" s="59"/>
      <c r="M196" s="59"/>
      <c r="N196" s="59"/>
      <c r="O196" s="59"/>
    </row>
    <row r="197" spans="1:15">
      <c r="A197" s="59"/>
      <c r="B197" s="59"/>
      <c r="C197" s="59"/>
      <c r="D197" s="59"/>
      <c r="E197" s="59"/>
      <c r="F197" s="59"/>
      <c r="G197" s="59"/>
      <c r="H197" s="59"/>
      <c r="I197" s="59"/>
      <c r="J197" s="59"/>
      <c r="K197" s="59"/>
      <c r="L197" s="59"/>
      <c r="M197" s="59"/>
      <c r="N197" s="59"/>
      <c r="O197" s="59"/>
    </row>
    <row r="198" spans="1:15">
      <c r="A198" s="59"/>
      <c r="B198" s="59"/>
      <c r="C198" s="59"/>
      <c r="D198" s="59"/>
      <c r="E198" s="59"/>
      <c r="F198" s="59"/>
      <c r="G198" s="59"/>
      <c r="H198" s="59"/>
      <c r="I198" s="59"/>
      <c r="J198" s="59"/>
      <c r="K198" s="59"/>
      <c r="L198" s="59"/>
      <c r="M198" s="59"/>
      <c r="N198" s="59"/>
      <c r="O198" s="59"/>
    </row>
    <row r="199" spans="1:15">
      <c r="A199" s="59"/>
      <c r="B199" s="59"/>
      <c r="C199" s="59"/>
      <c r="D199" s="59"/>
      <c r="E199" s="59"/>
      <c r="F199" s="59"/>
      <c r="G199" s="59"/>
      <c r="H199" s="59"/>
      <c r="I199" s="59"/>
      <c r="J199" s="59"/>
      <c r="K199" s="59"/>
      <c r="L199" s="59"/>
      <c r="M199" s="59"/>
      <c r="N199" s="59"/>
      <c r="O199" s="59"/>
    </row>
    <row r="200" spans="1:15">
      <c r="A200" s="59"/>
      <c r="B200" s="59"/>
      <c r="C200" s="59"/>
      <c r="D200" s="59"/>
      <c r="E200" s="59"/>
      <c r="F200" s="59"/>
      <c r="G200" s="59"/>
      <c r="H200" s="59"/>
      <c r="I200" s="59"/>
      <c r="J200" s="59"/>
      <c r="K200" s="59"/>
      <c r="L200" s="59"/>
      <c r="M200" s="59"/>
      <c r="N200" s="59"/>
      <c r="O200" s="59"/>
    </row>
  </sheetData>
  <autoFilter ref="A93:M93" xr:uid="{E7E914A6-7399-4545-A99B-4E7F3BC3487B}">
    <sortState xmlns:xlrd2="http://schemas.microsoft.com/office/spreadsheetml/2017/richdata2" ref="A94:M116">
      <sortCondition ref="E93:E116"/>
    </sortState>
  </autoFilter>
  <conditionalFormatting sqref="A94:K116">
    <cfRule type="expression" dxfId="15" priority="8">
      <formula>$F94&lt;6000</formula>
    </cfRule>
    <cfRule type="expression" dxfId="14" priority="9">
      <formula>AND($F94&gt;=6000,$F94&lt;10000)</formula>
    </cfRule>
    <cfRule type="expression" dxfId="13" priority="10">
      <formula>$F94&gt;=10000</formula>
    </cfRule>
    <cfRule type="expression" dxfId="12" priority="11">
      <formula>$K94="Yes"</formula>
    </cfRule>
    <cfRule type="expression" dxfId="11" priority="12" stopIfTrue="1">
      <formula>$K94="Yes"</formula>
    </cfRule>
    <cfRule type="expression" dxfId="10" priority="13">
      <formula>AND($F94&lt;6000,$F94&gt;0,$K94&lt;&gt;"Yes")</formula>
    </cfRule>
    <cfRule type="expression" dxfId="9" priority="14">
      <formula>AND($F94&gt;=6000,$F94&lt;10000,$K94&lt;&gt;"Yes")</formula>
    </cfRule>
    <cfRule type="expression" dxfId="8" priority="15">
      <formula>AND($F94&gt;=10000,$K94&lt;&gt;"Yes")</formula>
    </cfRule>
  </conditionalFormatting>
  <conditionalFormatting sqref="B13:B16">
    <cfRule type="dataBar" priority="3">
      <dataBar>
        <cfvo type="min"/>
        <cfvo type="max"/>
        <color rgb="FF4D93D9"/>
      </dataBar>
      <extLst>
        <ext xmlns:x14="http://schemas.microsoft.com/office/spreadsheetml/2009/9/main" uri="{B025F937-C7B1-47D3-B67F-A62EFF666E3E}">
          <x14:id>{7F41DA76-2C0B-9E4D-A504-2DE9287B6078}</x14:id>
        </ext>
      </extLst>
    </cfRule>
  </conditionalFormatting>
  <conditionalFormatting sqref="B38:B41">
    <cfRule type="dataBar" priority="4">
      <dataBar>
        <cfvo type="min"/>
        <cfvo type="max"/>
        <color rgb="FF4CAF50"/>
      </dataBar>
      <extLst>
        <ext xmlns:x14="http://schemas.microsoft.com/office/spreadsheetml/2009/9/main" uri="{B025F937-C7B1-47D3-B67F-A62EFF666E3E}">
          <x14:id>{5C1DDC49-F237-B244-968D-B0D53979B62F}</x14:id>
        </ext>
      </extLst>
    </cfRule>
  </conditionalFormatting>
  <conditionalFormatting sqref="D38:D41">
    <cfRule type="colorScale" priority="5">
      <colorScale>
        <cfvo type="min"/>
        <cfvo type="percentile" val="50"/>
        <cfvo type="max"/>
        <color rgb="FF4CAF50"/>
        <color rgb="FFFFF9C4"/>
        <color rgb="FFE53935"/>
      </colorScale>
    </cfRule>
  </conditionalFormatting>
  <conditionalFormatting sqref="D94:D116">
    <cfRule type="dataBar" priority="7">
      <dataBar>
        <cfvo type="min"/>
        <cfvo type="max"/>
        <color rgb="FF215C98"/>
      </dataBar>
      <extLst>
        <ext xmlns:x14="http://schemas.microsoft.com/office/spreadsheetml/2009/9/main" uri="{B025F937-C7B1-47D3-B67F-A62EFF666E3E}">
          <x14:id>{F2C3E7A5-9D32-A04D-B53D-A397AC0F5FF8}</x14:id>
        </ext>
      </extLst>
    </cfRule>
    <cfRule type="dataBar" priority="17">
      <dataBar>
        <cfvo type="min"/>
        <cfvo type="max"/>
        <color rgb="FF215C98"/>
      </dataBar>
      <extLst>
        <ext xmlns:x14="http://schemas.microsoft.com/office/spreadsheetml/2009/9/main" uri="{B025F937-C7B1-47D3-B67F-A62EFF666E3E}">
          <x14:id>{F642DCF7-07FC-C047-81C0-48A7B040EE10}</x14:id>
        </ext>
      </extLst>
    </cfRule>
  </conditionalFormatting>
  <conditionalFormatting sqref="E13:E16">
    <cfRule type="colorScale" priority="2">
      <colorScale>
        <cfvo type="min"/>
        <cfvo type="percentile" val="50"/>
        <cfvo type="max"/>
        <color rgb="FF4CAF50"/>
        <color rgb="FFFFF9C4"/>
        <color rgb="FFE53935"/>
      </colorScale>
    </cfRule>
  </conditionalFormatting>
  <conditionalFormatting sqref="E94:E116">
    <cfRule type="colorScale" priority="6">
      <colorScale>
        <cfvo type="min"/>
        <cfvo type="percentile" val="50"/>
        <cfvo type="max"/>
        <color rgb="FFE8F5E9"/>
        <color rgb="FFFFF9C4"/>
        <color rgb="FFFFCDD2"/>
      </colorScale>
    </cfRule>
    <cfRule type="colorScale" priority="16">
      <colorScale>
        <cfvo type="min"/>
        <cfvo type="percentile" val="50"/>
        <cfvo type="max"/>
        <color rgb="FFE8F5E9"/>
        <color rgb="FFFFF9C4"/>
        <color rgb="FFFFCDD2"/>
      </colorScale>
    </cfRule>
  </conditionalFormatting>
  <conditionalFormatting sqref="G13:G16">
    <cfRule type="colorScale" priority="1">
      <colorScale>
        <cfvo type="min"/>
        <cfvo type="percentile" val="50"/>
        <cfvo type="max"/>
        <color rgb="FF4CAF50"/>
        <color rgb="FFFFF9C4"/>
        <color rgb="FFE53935"/>
      </colorScale>
    </cfRule>
  </conditionalFormatting>
  <hyperlinks>
    <hyperlink ref="M114" r:id="rId1" xr:uid="{912780C9-820A-4044-887B-0F79DF8C057D}"/>
    <hyperlink ref="M116" r:id="rId2" xr:uid="{ADB9A152-E48E-7441-A1B4-542658924A6F}"/>
  </hyperlinks>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7F41DA76-2C0B-9E4D-A504-2DE9287B6078}">
            <x14:dataBar minLength="0" maxLength="100" direction="leftToRight" negativeBarColorSameAsPositive="1" axisPosition="none">
              <x14:cfvo type="min"/>
              <x14:cfvo type="max"/>
            </x14:dataBar>
          </x14:cfRule>
          <xm:sqref>B13:B16</xm:sqref>
        </x14:conditionalFormatting>
        <x14:conditionalFormatting xmlns:xm="http://schemas.microsoft.com/office/excel/2006/main">
          <x14:cfRule type="dataBar" id="{5C1DDC49-F237-B244-968D-B0D53979B62F}">
            <x14:dataBar minLength="0" maxLength="100" direction="leftToRight" negativeBarColorSameAsPositive="1" axisPosition="none">
              <x14:cfvo type="min"/>
              <x14:cfvo type="max"/>
            </x14:dataBar>
          </x14:cfRule>
          <xm:sqref>B38:B41</xm:sqref>
        </x14:conditionalFormatting>
        <x14:conditionalFormatting xmlns:xm="http://schemas.microsoft.com/office/excel/2006/main">
          <x14:cfRule type="dataBar" id="{F2C3E7A5-9D32-A04D-B53D-A397AC0F5FF8}">
            <x14:dataBar minLength="0" maxLength="100" direction="leftToRight" negativeBarColorSameAsPositive="1" axisPosition="none">
              <x14:cfvo type="min"/>
              <x14:cfvo type="max"/>
            </x14:dataBar>
          </x14:cfRule>
          <x14:cfRule type="dataBar" id="{F642DCF7-07FC-C047-81C0-48A7B040EE10}">
            <x14:dataBar minLength="0" maxLength="100" direction="leftToRight" negativeBarColorSameAsPositive="1" axisPosition="none">
              <x14:cfvo type="min"/>
              <x14:cfvo type="max"/>
            </x14:dataBar>
          </x14:cfRule>
          <xm:sqref>D94:D116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68B1-9D03-E84B-AD22-1276A9700555}">
  <dimension ref="A1:O200"/>
  <sheetViews>
    <sheetView zoomScale="90" workbookViewId="0">
      <pane ySplit="2" topLeftCell="A85" activePane="bottomLeft" state="frozen"/>
      <selection pane="bottomLeft" activeCell="M120" sqref="M120"/>
    </sheetView>
  </sheetViews>
  <sheetFormatPr baseColWidth="10" defaultRowHeight="16" outlineLevelCol="1"/>
  <cols>
    <col min="1" max="1" width="46.6640625" customWidth="1"/>
    <col min="2" max="11" width="18.33203125" customWidth="1"/>
    <col min="13" max="15" width="10.83203125" outlineLevel="1"/>
  </cols>
  <sheetData>
    <row r="1" spans="1:15" ht="24">
      <c r="A1" s="53" t="s">
        <v>6491</v>
      </c>
      <c r="B1" s="53"/>
      <c r="C1" s="53"/>
      <c r="D1" s="53"/>
      <c r="E1" s="53"/>
      <c r="F1" s="53"/>
      <c r="G1" s="53"/>
      <c r="H1" s="53"/>
      <c r="I1" s="53"/>
      <c r="J1" s="53"/>
      <c r="K1" s="53"/>
      <c r="L1" s="59"/>
      <c r="M1" s="59"/>
      <c r="N1" s="59"/>
      <c r="O1" s="59"/>
    </row>
    <row r="2" spans="1:15">
      <c r="A2" s="54" t="s">
        <v>6492</v>
      </c>
      <c r="B2" s="59"/>
      <c r="C2" s="59"/>
      <c r="D2" s="59"/>
      <c r="E2" s="59"/>
      <c r="F2" s="59"/>
      <c r="G2" s="59"/>
      <c r="H2" s="59"/>
      <c r="I2" s="59"/>
      <c r="J2" s="59"/>
      <c r="K2" s="59"/>
      <c r="L2" s="59"/>
      <c r="M2" s="59"/>
      <c r="N2" s="59"/>
      <c r="O2" s="59"/>
    </row>
    <row r="3" spans="1:15">
      <c r="A3" s="59"/>
      <c r="B3" s="59"/>
      <c r="C3" s="59"/>
      <c r="D3" s="59"/>
      <c r="E3" s="59"/>
      <c r="F3" s="59"/>
      <c r="G3" s="59"/>
      <c r="H3" s="59"/>
      <c r="I3" s="59"/>
      <c r="J3" s="59"/>
      <c r="K3" s="59"/>
      <c r="L3" s="59"/>
      <c r="M3" s="59"/>
      <c r="N3" s="59"/>
      <c r="O3" s="59"/>
    </row>
    <row r="4" spans="1:15" ht="19">
      <c r="A4" s="55" t="s">
        <v>6493</v>
      </c>
      <c r="B4" s="55"/>
      <c r="C4" s="55"/>
      <c r="D4" s="55"/>
      <c r="E4" s="55"/>
      <c r="F4" s="55"/>
      <c r="G4" s="55"/>
      <c r="H4" s="55"/>
      <c r="I4" s="55"/>
      <c r="J4" s="55"/>
      <c r="K4" s="55"/>
      <c r="L4" s="59"/>
      <c r="M4" s="71" t="s">
        <v>6214</v>
      </c>
      <c r="N4" s="71" t="s">
        <v>6215</v>
      </c>
      <c r="O4" s="59"/>
    </row>
    <row r="5" spans="1:15">
      <c r="A5" s="305" t="s">
        <v>6214</v>
      </c>
      <c r="B5" s="305" t="s">
        <v>6215</v>
      </c>
      <c r="C5" s="305" t="s">
        <v>6216</v>
      </c>
      <c r="D5" s="305" t="s">
        <v>6217</v>
      </c>
      <c r="E5" s="305" t="s">
        <v>6218</v>
      </c>
      <c r="F5" s="305" t="s">
        <v>6219</v>
      </c>
      <c r="G5" s="305" t="s">
        <v>6220</v>
      </c>
      <c r="H5" s="305" t="s">
        <v>6221</v>
      </c>
      <c r="I5" s="305" t="s">
        <v>6230</v>
      </c>
      <c r="J5" s="305" t="s">
        <v>6231</v>
      </c>
      <c r="K5" s="59"/>
      <c r="L5" s="59"/>
      <c r="M5" s="99" t="s">
        <v>26</v>
      </c>
      <c r="N5" s="99">
        <f>B6</f>
        <v>5</v>
      </c>
      <c r="O5" s="59"/>
    </row>
    <row r="6" spans="1:15">
      <c r="A6" s="309" t="s">
        <v>26</v>
      </c>
      <c r="B6" s="117" cm="1">
        <f t="array" ref="B6">SUMPRODUCT(('Medical Sales'!N3:N196="Medical")*(LEFT('Medical Sales'!D3:D196,4)="2025")*('Medical Sales'!U3:U196&lt;&gt;"Yes"))</f>
        <v>5</v>
      </c>
      <c r="C6" s="118" cm="1">
        <f t="array" ref="C6">SUMPRODUCT(('Medical Sales'!N3:N196="Medical")*(LEFT('Medical Sales'!D3:D196,4)="2025")*('Medical Sales'!U3:U196&lt;&gt;"Yes")*('Medical Sales'!E3:E196))</f>
        <v>12802102</v>
      </c>
      <c r="D6" s="118">
        <f>IF(B6=0,"-",C6/B6)</f>
        <v>2560420.4</v>
      </c>
      <c r="E6" s="118" cm="1">
        <f t="array" ref="E6">IFERROR(MEDIAN(IF(('Medical Sales'!N3:N196="Medical")*(LEFT('Medical Sales'!D3:D196,4)="2025")*('Medical Sales'!U3:U196&lt;&gt;"Yes"),'Medical Sales'!E3:E196)),"-")</f>
        <v>3200000</v>
      </c>
      <c r="F6" s="119" cm="1">
        <f t="array" ref="F6">IF(B6=0,"-",SUMPRODUCT(('Medical Sales'!N3:N196="Medical")*(LEFT('Medical Sales'!D3:D196,4)="2025")*('Medical Sales'!U3:U196&lt;&gt;"Yes")*('Medical Sales'!F3:F196))/B6)</f>
        <v>628.27915866725857</v>
      </c>
      <c r="G6" s="119" cm="1">
        <f t="array" ref="G6">IFERROR(MEDIAN(IF(('Medical Sales'!N3:N196="Medical")*(LEFT('Medical Sales'!D3:D196,4)="2025")*('Medical Sales'!U3:U196&lt;&gt;"Yes"),'Medical Sales'!F3:F196)),"-")</f>
        <v>893.85474860335194</v>
      </c>
      <c r="H6" s="117" cm="1">
        <f t="array" ref="H6">IF(B6=0,"-",SUMPRODUCT(('Medical Sales'!N3:N196="Medical")*(LEFT('Medical Sales'!D3:D196,4)="2025")*('Medical Sales'!U3:U196&lt;&gt;"Yes")*('Medical Sales'!G3:G196))/B6)</f>
        <v>7434</v>
      </c>
      <c r="I6" s="118" cm="1">
        <f t="array" ref="I6">IFERROR(MIN(IF(('Medical Sales'!N3:N196="Medical")*(LEFT('Medical Sales'!D3:D196,4)="2025")*('Medical Sales'!U3:U196&lt;&gt;"Yes"),'Medical Sales'!E3:E196)),"-")</f>
        <v>830900</v>
      </c>
      <c r="J6" s="118" cm="1">
        <f t="array" ref="J6">IFERROR(MAX(IF(('Medical Sales'!N3:N196="Medical")*(LEFT('Medical Sales'!D3:D196,4)="2025")*('Medical Sales'!U3:U196&lt;&gt;"Yes"),'Medical Sales'!E3:E196)),"-")</f>
        <v>3473802</v>
      </c>
      <c r="K6" s="59"/>
      <c r="L6" s="59"/>
      <c r="M6" s="99" t="s">
        <v>6278</v>
      </c>
      <c r="N6" s="99">
        <f>B7</f>
        <v>1</v>
      </c>
      <c r="O6" s="59"/>
    </row>
    <row r="7" spans="1:15">
      <c r="A7" s="309" t="s">
        <v>1519</v>
      </c>
      <c r="B7" s="117" cm="1">
        <f t="array" ref="B7">SUMPRODUCT(('Medical Sales'!N3:N196="Multi-Tenant Medical")*(LEFT('Medical Sales'!D3:D196,4)="2025")*('Medical Sales'!U3:U196&lt;&gt;"Yes"))</f>
        <v>1</v>
      </c>
      <c r="C7" s="118" cm="1">
        <f t="array" ref="C7">SUMPRODUCT(('Medical Sales'!N3:N196="Multi-Tenant Medical")*(LEFT('Medical Sales'!D3:D196,4)="2025")*('Medical Sales'!U3:U196&lt;&gt;"Yes")*('Medical Sales'!E3:E196))</f>
        <v>6850000</v>
      </c>
      <c r="D7" s="118">
        <f>IF(B7=0,"-",C7/B7)</f>
        <v>6850000</v>
      </c>
      <c r="E7" s="118" cm="1">
        <f t="array" ref="E7">IFERROR(MEDIAN(IF(('Medical Sales'!N3:N196="Multi-Tenant Medical")*(LEFT('Medical Sales'!D3:D196,4)="2025")*('Medical Sales'!U3:U196&lt;&gt;"Yes"),'Medical Sales'!E3:E196)),"-")</f>
        <v>6850000</v>
      </c>
      <c r="F7" s="119" cm="1">
        <f t="array" ref="F7">IF(B7=0,"-",SUMPRODUCT(('Medical Sales'!N3:N196="Multi-Tenant Medical")*(LEFT('Medical Sales'!D3:D196,4)="2025")*('Medical Sales'!U3:U196&lt;&gt;"Yes")*('Medical Sales'!F3:F196))/B7)</f>
        <v>155.79158043166777</v>
      </c>
      <c r="G7" s="119" cm="1">
        <f t="array" ref="G7">IFERROR(MEDIAN(IF(('Medical Sales'!N3:N196="Multi-Tenant Medical")*(LEFT('Medical Sales'!D3:D196,4)="2025")*('Medical Sales'!U3:U196&lt;&gt;"Yes"),'Medical Sales'!F3:F196)),"-")</f>
        <v>155.79158043166777</v>
      </c>
      <c r="H7" s="117" cm="1">
        <f t="array" ref="H7">IF(B7=0,"-",SUMPRODUCT(('Medical Sales'!N3:N196="Multi-Tenant Medical")*(LEFT('Medical Sales'!D3:D196,4)="2025")*('Medical Sales'!U3:U196&lt;&gt;"Yes")*('Medical Sales'!G3:G196))/B7)</f>
        <v>43969</v>
      </c>
      <c r="I7" s="118" cm="1">
        <f t="array" ref="I7">IFERROR(MIN(IF(('Medical Sales'!N3:N196="Multi-Tenant Medical")*(LEFT('Medical Sales'!D3:D196,4)="2025")*('Medical Sales'!U3:U196&lt;&gt;"Yes"),'Medical Sales'!E3:E196)),"-")</f>
        <v>6850000</v>
      </c>
      <c r="J7" s="118" cm="1">
        <f t="array" ref="J7">IFERROR(MAX(IF(('Medical Sales'!N3:N196="Multi-Tenant Medical")*(LEFT('Medical Sales'!D3:D196,4)="2025")*('Medical Sales'!U3:U196&lt;&gt;"Yes"),'Medical Sales'!E3:E196)),"-")</f>
        <v>6850000</v>
      </c>
      <c r="K7" s="59"/>
      <c r="L7" s="59"/>
      <c r="M7" s="99" t="s">
        <v>6212</v>
      </c>
      <c r="N7" s="99">
        <f>B8</f>
        <v>1</v>
      </c>
      <c r="O7" s="59"/>
    </row>
    <row r="8" spans="1:15">
      <c r="A8" s="309" t="s">
        <v>6212</v>
      </c>
      <c r="B8" s="117" cm="1">
        <f t="array" ref="B8">SUMPRODUCT(('Medical Sales'!N3:N196="Hospitals")*(LEFT('Medical Sales'!D3:D196,4)="2025")*('Medical Sales'!U3:U196&lt;&gt;"Yes"))</f>
        <v>1</v>
      </c>
      <c r="C8" s="118" cm="1">
        <f t="array" ref="C8">SUMPRODUCT(('Medical Sales'!N3:N196="Hospitals")*(LEFT('Medical Sales'!D3:D196,4)="2025")*('Medical Sales'!U3:U196&lt;&gt;"Yes")*('Medical Sales'!E3:E196))</f>
        <v>33444697</v>
      </c>
      <c r="D8" s="118">
        <f>IF(B8=0,"-",C8/B8)</f>
        <v>33444697</v>
      </c>
      <c r="E8" s="118" cm="1">
        <f t="array" ref="E8">IFERROR(MEDIAN(IF(('Medical Sales'!N3:N196="Hospitals")*(LEFT('Medical Sales'!D3:D196,4)="2025")*('Medical Sales'!U3:U196&lt;&gt;"Yes"),'Medical Sales'!E3:E196)),"-")</f>
        <v>33444697</v>
      </c>
      <c r="F8" s="119" cm="1">
        <f t="array" ref="F8">IF(B8=0,"-",SUMPRODUCT(('Medical Sales'!N3:N196="Hospitals")*(LEFT('Medical Sales'!D3:D196,4)="2025")*('Medical Sales'!U3:U196&lt;&gt;"Yes")*('Medical Sales'!F3:F196))/B8)</f>
        <v>478.33488751269329</v>
      </c>
      <c r="G8" s="119" cm="1">
        <f t="array" ref="G8">IFERROR(MEDIAN(IF(('Medical Sales'!N3:N196="Hospitals")*(LEFT('Medical Sales'!D3:D196,4)="2025")*('Medical Sales'!U3:U196&lt;&gt;"Yes"),'Medical Sales'!F3:F196)),"-")</f>
        <v>478.33488751269329</v>
      </c>
      <c r="H8" s="117" cm="1">
        <f t="array" ref="H8">IF(B8=0,"-",SUMPRODUCT(('Medical Sales'!N3:N196="Hospitals")*(LEFT('Medical Sales'!D3:D196,4)="2025")*('Medical Sales'!U3:U196&lt;&gt;"Yes")*('Medical Sales'!G3:G196))/B8)</f>
        <v>69919</v>
      </c>
      <c r="I8" s="118" cm="1">
        <f t="array" ref="I8">IFERROR(MIN(IF(('Medical Sales'!N3:N196="Hospitals")*(LEFT('Medical Sales'!D3:D196,4)="2025")*('Medical Sales'!U3:U196&lt;&gt;"Yes"),'Medical Sales'!E3:E196)),"-")</f>
        <v>33444697</v>
      </c>
      <c r="J8" s="118" cm="1">
        <f t="array" ref="J8">IFERROR(MAX(IF(('Medical Sales'!N3:N196="Hospitals")*(LEFT('Medical Sales'!D3:D196,4)="2025")*('Medical Sales'!U3:U196&lt;&gt;"Yes"),'Medical Sales'!E3:E196)),"-")</f>
        <v>33444697</v>
      </c>
      <c r="K8" s="59"/>
      <c r="L8" s="59"/>
      <c r="M8" s="59"/>
      <c r="N8" s="59"/>
      <c r="O8" s="59"/>
    </row>
    <row r="9" spans="1:15">
      <c r="A9" s="309" t="s">
        <v>6222</v>
      </c>
      <c r="B9" s="306">
        <f>SUM(B6:B8)</f>
        <v>7</v>
      </c>
      <c r="C9" s="307">
        <f>SUM(C6:C8)</f>
        <v>53096799</v>
      </c>
      <c r="D9" s="307">
        <f>IF(B9=0,"-",C9/B9)</f>
        <v>7585257</v>
      </c>
      <c r="E9" s="307" cm="1">
        <f t="array" ref="E9">IFERROR(MEDIAN(IF((LEFT('Medical Sales'!D3:D196,4)="2025")*('Medical Sales'!U3:U196&lt;&gt;"Yes"),'Medical Sales'!E3:E196)),"-")</f>
        <v>3200000</v>
      </c>
      <c r="F9" s="308" cm="1">
        <f t="array" ref="F9">IF(B9=0,"-",SUMPRODUCT((LEFT('Medical Sales'!D3:D196,4)="2025")*('Medical Sales'!U3:U196&lt;&gt;"Yes")*('Medical Sales'!F3:F196))/SUMPRODUCT((LEFT('Medical Sales'!D3:D196,4)="2025")*('Medical Sales'!U3:U196&lt;&gt;"Yes")*('Medical Sales'!F3:F196&lt;&gt;0)*1))</f>
        <v>539.36032304009336</v>
      </c>
      <c r="G9" s="308" cm="1">
        <f t="array" ref="G9">IFERROR(MEDIAN(IF((LEFT('Medical Sales'!D3:D196,4)="2025")*('Medical Sales'!U3:U196&lt;&gt;"Yes"),'Medical Sales'!F3:F196)),"-")</f>
        <v>478.33488751269329</v>
      </c>
      <c r="H9" s="306" cm="1">
        <f t="array" ref="H9">IF(B9=0,"-",SUMPRODUCT((LEFT('Medical Sales'!D3:D196,4)="2025")*('Medical Sales'!U3:U196&lt;&gt;"Yes")*('Medical Sales'!G3:G196))/B9)</f>
        <v>21579.714285714286</v>
      </c>
      <c r="I9" s="307" cm="1">
        <f t="array" ref="I9">IFERROR(MIN(IF((LEFT('Medical Sales'!D3:D196,4)="2025")*('Medical Sales'!U3:U196&lt;&gt;"Yes"),'Medical Sales'!E3:E196)),"-")</f>
        <v>830900</v>
      </c>
      <c r="J9" s="307" cm="1">
        <f t="array" ref="J9">IFERROR(MAX(IF((LEFT('Medical Sales'!D3:D196,4)="2025")*('Medical Sales'!U3:U196&lt;&gt;"Yes"),'Medical Sales'!E3:E196)),"-")</f>
        <v>33444697</v>
      </c>
      <c r="K9" s="59"/>
      <c r="L9" s="59"/>
      <c r="M9" s="59"/>
      <c r="N9" s="59"/>
      <c r="O9" s="59"/>
    </row>
    <row r="10" spans="1:15">
      <c r="A10" s="59"/>
      <c r="B10" s="59"/>
      <c r="C10" s="59"/>
      <c r="D10" s="59"/>
      <c r="E10" s="59"/>
      <c r="F10" s="59"/>
      <c r="G10" s="59"/>
      <c r="H10" s="59"/>
      <c r="I10" s="59"/>
      <c r="J10" s="59"/>
      <c r="K10" s="59"/>
      <c r="L10" s="59"/>
      <c r="M10" s="71" t="s">
        <v>2</v>
      </c>
      <c r="N10" s="71" t="s">
        <v>6215</v>
      </c>
      <c r="O10" s="71" t="s">
        <v>6220</v>
      </c>
    </row>
    <row r="11" spans="1:15" ht="19">
      <c r="A11" s="55" t="s">
        <v>6494</v>
      </c>
      <c r="B11" s="55"/>
      <c r="C11" s="55"/>
      <c r="D11" s="55"/>
      <c r="E11" s="55"/>
      <c r="F11" s="55"/>
      <c r="G11" s="55"/>
      <c r="H11" s="55"/>
      <c r="I11" s="55"/>
      <c r="J11" s="55"/>
      <c r="K11" s="55"/>
      <c r="L11" s="59"/>
      <c r="M11" s="99" t="s">
        <v>33</v>
      </c>
      <c r="N11" s="99">
        <f>B13</f>
        <v>7</v>
      </c>
      <c r="O11" s="102">
        <f>G13</f>
        <v>478.33488751269329</v>
      </c>
    </row>
    <row r="12" spans="1:15">
      <c r="A12" s="305" t="s">
        <v>2</v>
      </c>
      <c r="B12" s="305" t="s">
        <v>6215</v>
      </c>
      <c r="C12" s="305" t="s">
        <v>6216</v>
      </c>
      <c r="D12" s="305" t="s">
        <v>6217</v>
      </c>
      <c r="E12" s="305" t="s">
        <v>6218</v>
      </c>
      <c r="F12" s="305" t="s">
        <v>6219</v>
      </c>
      <c r="G12" s="305" t="s">
        <v>6220</v>
      </c>
      <c r="H12" s="305" t="s">
        <v>6221</v>
      </c>
      <c r="I12" s="305" t="s">
        <v>6230</v>
      </c>
      <c r="J12" s="305" t="s">
        <v>6231</v>
      </c>
      <c r="K12" s="59"/>
      <c r="L12" s="59"/>
      <c r="M12" s="99" t="s">
        <v>20</v>
      </c>
      <c r="N12" s="99">
        <f>B14</f>
        <v>0</v>
      </c>
      <c r="O12" s="102" t="str">
        <f>G14</f>
        <v>-</v>
      </c>
    </row>
    <row r="13" spans="1:15">
      <c r="A13" s="309" t="s">
        <v>33</v>
      </c>
      <c r="B13" s="117" cm="1">
        <f t="array" ref="B13">SUMPRODUCT(('Medical Sales'!C3:C196="Orange")*(LEFT('Medical Sales'!D3:D196,4)="2025")*('Medical Sales'!U3:U196&lt;&gt;"Yes"))</f>
        <v>7</v>
      </c>
      <c r="C13" s="118" cm="1">
        <f t="array" ref="C13">SUMPRODUCT(('Medical Sales'!C3:C196="Orange")*(LEFT('Medical Sales'!D3:D196,4)="2025")*('Medical Sales'!U3:U196&lt;&gt;"Yes")*('Medical Sales'!E3:E196))</f>
        <v>53096799</v>
      </c>
      <c r="D13" s="118">
        <f>IF(B13=0,"-",C13/B13)</f>
        <v>7585257</v>
      </c>
      <c r="E13" s="118" cm="1">
        <f t="array" ref="E13">IFERROR(MEDIAN(IF(('Medical Sales'!C3:C196="Orange")*(LEFT('Medical Sales'!D3:D196,4)="2025")*('Medical Sales'!U3:U196&lt;&gt;"Yes"),'Medical Sales'!E3:E196)),"-")</f>
        <v>3200000</v>
      </c>
      <c r="F13" s="119" cm="1">
        <f t="array" ref="F13">IF(B13=0,"-",SUMPRODUCT(('Medical Sales'!C3:C196="Orange")*(LEFT('Medical Sales'!D3:D196,4)="2025")*('Medical Sales'!U3:U196&lt;&gt;"Yes")*('Medical Sales'!F3:F196))/B13)</f>
        <v>539.36032304009336</v>
      </c>
      <c r="G13" s="119" cm="1">
        <f t="array" ref="G13">IFERROR(MEDIAN(IF(('Medical Sales'!C3:C196="Orange")*(LEFT('Medical Sales'!D3:D196,4)="2025")*('Medical Sales'!U3:U196&lt;&gt;"Yes"),'Medical Sales'!F3:F196)),"-")</f>
        <v>478.33488751269329</v>
      </c>
      <c r="H13" s="117" cm="1">
        <f t="array" ref="H13">IF(B13=0,"-",SUMPRODUCT(('Medical Sales'!C3:C196="Orange")*(LEFT('Medical Sales'!D3:D196,4)="2025")*('Medical Sales'!U3:U196&lt;&gt;"Yes")*('Medical Sales'!G3:G196))/B13)</f>
        <v>21579.714285714286</v>
      </c>
      <c r="I13" s="118" cm="1">
        <f t="array" ref="I13">IF(B13=0,"-",MIN(IF(('Medical Sales'!C3:C196="Orange")*(LEFT('Medical Sales'!D3:D196,4)="2025")*('Medical Sales'!U3:U196&lt;&gt;"Yes"),'Medical Sales'!E3:E196)))</f>
        <v>830900</v>
      </c>
      <c r="J13" s="118" cm="1">
        <f t="array" ref="J13">IF(B13=0,"-",MAX(IF(('Medical Sales'!C3:C196="Orange")*(LEFT('Medical Sales'!D3:D196,4)="2025")*('Medical Sales'!U3:U196&lt;&gt;"Yes"),'Medical Sales'!E3:E196)))</f>
        <v>33444697</v>
      </c>
      <c r="K13" s="59"/>
      <c r="L13" s="59"/>
      <c r="M13" s="99" t="s">
        <v>678</v>
      </c>
      <c r="N13" s="99">
        <f>B15</f>
        <v>0</v>
      </c>
      <c r="O13" s="102" t="str">
        <f>G15</f>
        <v>-</v>
      </c>
    </row>
    <row r="14" spans="1:15">
      <c r="A14" s="309" t="s">
        <v>20</v>
      </c>
      <c r="B14" s="117" cm="1">
        <f t="array" ref="B14">SUMPRODUCT(('Medical Sales'!C3:C196="Seminole")*(LEFT('Medical Sales'!D3:D196,4)="2025")*('Medical Sales'!U3:U196&lt;&gt;"Yes"))</f>
        <v>0</v>
      </c>
      <c r="C14" s="118" cm="1">
        <f t="array" ref="C14">SUMPRODUCT(('Medical Sales'!C3:C196="Seminole")*(LEFT('Medical Sales'!D3:D196,4)="2025")*('Medical Sales'!U3:U196&lt;&gt;"Yes")*('Medical Sales'!E3:E196))</f>
        <v>0</v>
      </c>
      <c r="D14" s="118" t="str">
        <f>IF(B14=0,"-",C14/B14)</f>
        <v>-</v>
      </c>
      <c r="E14" s="118" t="str" cm="1">
        <f t="array" ref="E14">IFERROR(MEDIAN(IF(('Medical Sales'!C3:C196="Seminole")*(LEFT('Medical Sales'!D3:D196,4)="2025")*('Medical Sales'!U3:U196&lt;&gt;"Yes"),'Medical Sales'!E3:E196)),"-")</f>
        <v>-</v>
      </c>
      <c r="F14" s="119" t="str" cm="1">
        <f t="array" ref="F14">IF(B14=0,"-",SUMPRODUCT(('Medical Sales'!C3:C196="Seminole")*(LEFT('Medical Sales'!D3:D196,4)="2025")*('Medical Sales'!U3:U196&lt;&gt;"Yes")*('Medical Sales'!F3:F196))/B14)</f>
        <v>-</v>
      </c>
      <c r="G14" s="119" t="str" cm="1">
        <f t="array" ref="G14">IFERROR(MEDIAN(IF(('Medical Sales'!C3:C196="Seminole")*(LEFT('Medical Sales'!D3:D196,4)="2025")*('Medical Sales'!U3:U196&lt;&gt;"Yes"),'Medical Sales'!F3:F196)),"-")</f>
        <v>-</v>
      </c>
      <c r="H14" s="117" t="str" cm="1">
        <f t="array" ref="H14">IF(B14=0,"-",SUMPRODUCT(('Medical Sales'!C3:C196="Seminole")*(LEFT('Medical Sales'!D3:D196,4)="2025")*('Medical Sales'!U3:U196&lt;&gt;"Yes")*('Medical Sales'!G3:G196))/B14)</f>
        <v>-</v>
      </c>
      <c r="I14" s="118" t="str" cm="1">
        <f t="array" ref="I14">IF(B14=0,"-",MIN(IF(('Medical Sales'!C3:C196="Seminole")*(LEFT('Medical Sales'!D3:D196,4)="2025")*('Medical Sales'!U3:U196&lt;&gt;"Yes"),'Medical Sales'!E3:E196)))</f>
        <v>-</v>
      </c>
      <c r="J14" s="118" t="str" cm="1">
        <f t="array" ref="J14">IF(B14=0,"-",MAX(IF(('Medical Sales'!C3:C196="Seminole")*(LEFT('Medical Sales'!D3:D196,4)="2025")*('Medical Sales'!U3:U196&lt;&gt;"Yes"),'Medical Sales'!E3:E196)))</f>
        <v>-</v>
      </c>
      <c r="K14" s="59"/>
      <c r="L14" s="59"/>
      <c r="M14" s="99" t="s">
        <v>184</v>
      </c>
      <c r="N14" s="99">
        <f>B16</f>
        <v>0</v>
      </c>
      <c r="O14" s="102" t="str">
        <f>G16</f>
        <v>-</v>
      </c>
    </row>
    <row r="15" spans="1:15">
      <c r="A15" s="309" t="s">
        <v>678</v>
      </c>
      <c r="B15" s="117" cm="1">
        <f t="array" ref="B15">SUMPRODUCT(('Medical Sales'!C3:C196="Osceola")*(LEFT('Medical Sales'!D3:D196,4)="2025")*('Medical Sales'!U3:U196&lt;&gt;"Yes"))</f>
        <v>0</v>
      </c>
      <c r="C15" s="118" cm="1">
        <f t="array" ref="C15">SUMPRODUCT(('Medical Sales'!C3:C196="Osceola")*(LEFT('Medical Sales'!D3:D196,4)="2025")*('Medical Sales'!U3:U196&lt;&gt;"Yes")*('Medical Sales'!E3:E196))</f>
        <v>0</v>
      </c>
      <c r="D15" s="118" t="str">
        <f>IF(B15=0,"-",C15/B15)</f>
        <v>-</v>
      </c>
      <c r="E15" s="118" t="str" cm="1">
        <f t="array" ref="E15">IFERROR(MEDIAN(IF(('Medical Sales'!C3:C196="Osceola")*(LEFT('Medical Sales'!D3:D196,4)="2025")*('Medical Sales'!U3:U196&lt;&gt;"Yes"),'Medical Sales'!E3:E196)),"-")</f>
        <v>-</v>
      </c>
      <c r="F15" s="119" t="str" cm="1">
        <f t="array" ref="F15">IF(B15=0,"-",SUMPRODUCT(('Medical Sales'!C3:C196="Osceola")*(LEFT('Medical Sales'!D3:D196,4)="2025")*('Medical Sales'!U3:U196&lt;&gt;"Yes")*('Medical Sales'!F3:F196))/B15)</f>
        <v>-</v>
      </c>
      <c r="G15" s="119" t="str" cm="1">
        <f t="array" ref="G15">IFERROR(MEDIAN(IF(('Medical Sales'!C3:C196="Osceola")*(LEFT('Medical Sales'!D3:D196,4)="2025")*('Medical Sales'!U3:U196&lt;&gt;"Yes"),'Medical Sales'!F3:F196)),"-")</f>
        <v>-</v>
      </c>
      <c r="H15" s="117" t="str" cm="1">
        <f t="array" ref="H15">IF(B15=0,"-",SUMPRODUCT(('Medical Sales'!C3:C196="Osceola")*(LEFT('Medical Sales'!D3:D196,4)="2025")*('Medical Sales'!U3:U196&lt;&gt;"Yes")*('Medical Sales'!G3:G196))/B15)</f>
        <v>-</v>
      </c>
      <c r="I15" s="118" t="str" cm="1">
        <f t="array" ref="I15">IF(B15=0,"-",MIN(IF(('Medical Sales'!C3:C196="Osceola")*(LEFT('Medical Sales'!D3:D196,4)="2025")*('Medical Sales'!U3:U196&lt;&gt;"Yes"),'Medical Sales'!E3:E196)))</f>
        <v>-</v>
      </c>
      <c r="J15" s="118" t="str" cm="1">
        <f t="array" ref="J15">IF(B15=0,"-",MAX(IF(('Medical Sales'!C3:C196="Osceola")*(LEFT('Medical Sales'!D3:D196,4)="2025")*('Medical Sales'!U3:U196&lt;&gt;"Yes"),'Medical Sales'!E3:E196)))</f>
        <v>-</v>
      </c>
      <c r="K15" s="59"/>
      <c r="L15" s="59"/>
      <c r="M15" s="59"/>
      <c r="N15" s="59"/>
      <c r="O15" s="59"/>
    </row>
    <row r="16" spans="1:15">
      <c r="A16" s="309" t="s">
        <v>184</v>
      </c>
      <c r="B16" s="117" cm="1">
        <f t="array" ref="B16">SUMPRODUCT(('Medical Sales'!C3:C196="Lake")*(LEFT('Medical Sales'!D3:D196,4)="2025")*('Medical Sales'!U3:U196&lt;&gt;"Yes"))</f>
        <v>0</v>
      </c>
      <c r="C16" s="118" cm="1">
        <f t="array" ref="C16">SUMPRODUCT(('Medical Sales'!C3:C196="Lake")*(LEFT('Medical Sales'!D3:D196,4)="2025")*('Medical Sales'!U3:U196&lt;&gt;"Yes")*('Medical Sales'!E3:E196))</f>
        <v>0</v>
      </c>
      <c r="D16" s="118" t="str">
        <f>IF(B16=0,"-",C16/B16)</f>
        <v>-</v>
      </c>
      <c r="E16" s="118" t="str" cm="1">
        <f t="array" ref="E16">IFERROR(MEDIAN(IF(('Medical Sales'!C3:C196="Lake")*(LEFT('Medical Sales'!D3:D196,4)="2025")*('Medical Sales'!U3:U196&lt;&gt;"Yes"),'Medical Sales'!E3:E196)),"-")</f>
        <v>-</v>
      </c>
      <c r="F16" s="119" t="str" cm="1">
        <f t="array" ref="F16">IF(B16=0,"-",SUMPRODUCT(('Medical Sales'!C3:C196="Lake")*(LEFT('Medical Sales'!D3:D196,4)="2025")*('Medical Sales'!U3:U196&lt;&gt;"Yes")*('Medical Sales'!F3:F196))/B16)</f>
        <v>-</v>
      </c>
      <c r="G16" s="119" t="str" cm="1">
        <f t="array" ref="G16">IFERROR(MEDIAN(IF(('Medical Sales'!C3:C196="Lake")*(LEFT('Medical Sales'!D3:D196,4)="2025")*('Medical Sales'!U3:U196&lt;&gt;"Yes"),'Medical Sales'!F3:F196)),"-")</f>
        <v>-</v>
      </c>
      <c r="H16" s="117" t="str" cm="1">
        <f t="array" ref="H16">IF(B16=0,"-",SUMPRODUCT(('Medical Sales'!C3:C196="Lake")*(LEFT('Medical Sales'!D3:D196,4)="2025")*('Medical Sales'!U3:U196&lt;&gt;"Yes")*('Medical Sales'!G3:G196))/B16)</f>
        <v>-</v>
      </c>
      <c r="I16" s="118" t="str" cm="1">
        <f t="array" ref="I16">IF(B16=0,"-",MIN(IF(('Medical Sales'!C3:C196="Lake")*(LEFT('Medical Sales'!D3:D196,4)="2025")*('Medical Sales'!U3:U196&lt;&gt;"Yes"),'Medical Sales'!E3:E196)))</f>
        <v>-</v>
      </c>
      <c r="J16" s="118" t="str" cm="1">
        <f t="array" ref="J16">IF(B16=0,"-",MAX(IF(('Medical Sales'!C3:C196="Lake")*(LEFT('Medical Sales'!D3:D196,4)="2025")*('Medical Sales'!U3:U196&lt;&gt;"Yes"),'Medical Sales'!E3:E196)))</f>
        <v>-</v>
      </c>
      <c r="K16" s="59"/>
      <c r="L16" s="59"/>
      <c r="M16" s="59"/>
      <c r="N16" s="59"/>
      <c r="O16" s="59"/>
    </row>
    <row r="17" spans="1:15">
      <c r="A17" s="59"/>
      <c r="B17" s="59"/>
      <c r="C17" s="59"/>
      <c r="D17" s="59"/>
      <c r="E17" s="59"/>
      <c r="F17" s="59"/>
      <c r="G17" s="59"/>
      <c r="H17" s="59"/>
      <c r="I17" s="59"/>
      <c r="J17" s="59"/>
      <c r="K17" s="59"/>
      <c r="L17" s="59"/>
      <c r="M17" s="71" t="s">
        <v>6279</v>
      </c>
      <c r="N17" s="71" t="s">
        <v>6218</v>
      </c>
      <c r="O17" s="71" t="s">
        <v>6220</v>
      </c>
    </row>
    <row r="18" spans="1:15" ht="19">
      <c r="A18" s="55" t="s">
        <v>6303</v>
      </c>
      <c r="B18" s="55"/>
      <c r="C18" s="55"/>
      <c r="D18" s="55"/>
      <c r="E18" s="55"/>
      <c r="F18" s="55"/>
      <c r="G18" s="55"/>
      <c r="H18" s="55"/>
      <c r="I18" s="55"/>
      <c r="J18" s="55"/>
      <c r="K18" s="55"/>
      <c r="L18" s="59"/>
      <c r="M18" s="99" t="s">
        <v>6280</v>
      </c>
      <c r="N18" s="101">
        <f>B28</f>
        <v>3200000</v>
      </c>
      <c r="O18" s="102">
        <f>B30</f>
        <v>915.12170706006327</v>
      </c>
    </row>
    <row r="19" spans="1:15">
      <c r="A19" s="305" t="s">
        <v>2</v>
      </c>
      <c r="B19" s="305" t="s">
        <v>6215</v>
      </c>
      <c r="C19" s="305" t="s">
        <v>6216</v>
      </c>
      <c r="D19" s="305" t="s">
        <v>6217</v>
      </c>
      <c r="E19" s="305" t="s">
        <v>6218</v>
      </c>
      <c r="F19" s="305" t="s">
        <v>6219</v>
      </c>
      <c r="G19" s="305" t="s">
        <v>6220</v>
      </c>
      <c r="H19" s="59"/>
      <c r="I19" s="59"/>
      <c r="J19" s="59"/>
      <c r="K19" s="59"/>
      <c r="L19" s="59"/>
      <c r="M19" s="99" t="s">
        <v>6489</v>
      </c>
      <c r="N19" s="101">
        <f>B47</f>
        <v>830900</v>
      </c>
      <c r="O19" s="102">
        <f>B49</f>
        <v>136.21311475409837</v>
      </c>
    </row>
    <row r="20" spans="1:15">
      <c r="A20" s="309" t="s">
        <v>6304</v>
      </c>
      <c r="B20" s="117" cm="1">
        <f t="array" ref="B20">SUMPRODUCT(('Medical Sales'!C3:C196="Orange")*(LEFT('Medical Sales'!D3:D196,4)="2025")*('Medical Sales'!N3:N196&lt;&gt;"Hospitals")*('Medical Sales'!U3:U196&lt;&gt;"Yes"))</f>
        <v>6</v>
      </c>
      <c r="C20" s="118" cm="1">
        <f t="array" ref="C20">SUMPRODUCT(('Medical Sales'!C3:C196="Orange")*(LEFT('Medical Sales'!D3:D196,4)="2025")*('Medical Sales'!N3:N196&lt;&gt;"Hospitals")*('Medical Sales'!U3:U196&lt;&gt;"Yes")*('Medical Sales'!E3:E196))</f>
        <v>19652102</v>
      </c>
      <c r="D20" s="118">
        <f>IF(B20=0,"-",C20/B20)</f>
        <v>3275350.3333333335</v>
      </c>
      <c r="E20" s="118" cm="1">
        <f t="array" ref="E20">IFERROR(MEDIAN(IF(('Medical Sales'!C3:C196="Orange")*(LEFT('Medical Sales'!D3:D196,4)="2025")*('Medical Sales'!N3:N196&lt;&gt;"Hospitals")*('Medical Sales'!U3:U196&lt;&gt;"Yes"),'Medical Sales'!E3:E196)),"-")</f>
        <v>3200000</v>
      </c>
      <c r="F20" s="119" cm="1">
        <f t="array" ref="F20">IF(B20=0,"-",SUMPRODUCT(('Medical Sales'!C3:C196="Orange")*(LEFT('Medical Sales'!D3:D196,4)="2025")*('Medical Sales'!N3:N196&lt;&gt;"Hospitals")*('Medical Sales'!U3:U196&lt;&gt;"Yes")*('Medical Sales'!F3:F196))/B20)</f>
        <v>549.53122896132675</v>
      </c>
      <c r="G20" s="119" cm="1">
        <f t="array" ref="G20">IFERROR(MEDIAN(IF(('Medical Sales'!C3:C196="Orange")*(LEFT('Medical Sales'!D3:D196,4)="2025")*('Medical Sales'!N3:N196&lt;&gt;"Hospitals")*('Medical Sales'!U3:U196&lt;&gt;"Yes"),'Medical Sales'!F3:F196)),"-")</f>
        <v>524.82316451750989</v>
      </c>
      <c r="H20" s="59"/>
      <c r="I20" s="59"/>
      <c r="J20" s="59"/>
      <c r="K20" s="59"/>
      <c r="L20" s="59"/>
      <c r="M20" s="99" t="s">
        <v>6490</v>
      </c>
      <c r="N20" s="101">
        <f>B66</f>
        <v>6850000</v>
      </c>
      <c r="O20" s="102">
        <f>B68</f>
        <v>155.79158043166777</v>
      </c>
    </row>
    <row r="21" spans="1:15">
      <c r="A21" s="309" t="s">
        <v>6305</v>
      </c>
      <c r="B21" s="117" cm="1">
        <f t="array" ref="B21">SUMPRODUCT((LEFT('Medical Sales'!D3:D196,4)="2025")*('Medical Sales'!N3:N196&lt;&gt;"Hospitals")*('Medical Sales'!U3:U196&lt;&gt;"Yes"))</f>
        <v>6</v>
      </c>
      <c r="C21" s="118" cm="1">
        <f t="array" ref="C21">SUMPRODUCT((LEFT('Medical Sales'!D3:D196,4)="2025")*('Medical Sales'!N3:N196&lt;&gt;"Hospitals")*('Medical Sales'!U3:U196&lt;&gt;"Yes")*('Medical Sales'!E3:E196))</f>
        <v>19652102</v>
      </c>
      <c r="D21" s="118">
        <f>IF(B21=0,"-",C21/B21)</f>
        <v>3275350.3333333335</v>
      </c>
      <c r="E21" s="118" cm="1">
        <f t="array" ref="E21">IFERROR(MEDIAN(IF((LEFT('Medical Sales'!D3:D196,4)="2025")*('Medical Sales'!N3:N196&lt;&gt;"Hospitals")*('Medical Sales'!U3:U196&lt;&gt;"Yes"),'Medical Sales'!E3:E196)),"-")</f>
        <v>3200000</v>
      </c>
      <c r="F21" s="119" cm="1">
        <f t="array" ref="F21">IF(B21=0,"-",SUMPRODUCT((LEFT('Medical Sales'!D3:D196,4)="2025")*('Medical Sales'!N3:N196&lt;&gt;"Hospitals")*('Medical Sales'!U3:U196&lt;&gt;"Yes")*('Medical Sales'!F3:F196))/B21)</f>
        <v>549.53122896132675</v>
      </c>
      <c r="G21" s="119" cm="1">
        <f t="array" ref="G21">IFERROR(MEDIAN(IF((LEFT('Medical Sales'!D3:D196,4)="2025")*('Medical Sales'!N3:N196&lt;&gt;"Hospitals")*('Medical Sales'!U3:U196&lt;&gt;"Yes"),'Medical Sales'!F3:F196)),"-")</f>
        <v>524.82316451750989</v>
      </c>
      <c r="H21" s="59"/>
      <c r="I21" s="59"/>
      <c r="J21" s="59"/>
      <c r="K21" s="59"/>
      <c r="L21" s="59"/>
      <c r="M21" s="59"/>
      <c r="N21" s="59"/>
      <c r="O21" s="59"/>
    </row>
    <row r="22" spans="1:15">
      <c r="A22" s="270" t="s">
        <v>6348</v>
      </c>
      <c r="B22" s="59"/>
      <c r="C22" s="59"/>
      <c r="D22" s="59"/>
      <c r="E22" s="59"/>
      <c r="F22" s="59"/>
      <c r="G22" s="59"/>
      <c r="H22" s="59"/>
      <c r="I22" s="59"/>
      <c r="J22" s="59"/>
      <c r="K22" s="59"/>
      <c r="L22" s="59"/>
      <c r="M22" s="59"/>
      <c r="N22" s="59"/>
      <c r="O22" s="59"/>
    </row>
    <row r="23" spans="1:15">
      <c r="A23" s="59"/>
      <c r="B23" s="59"/>
      <c r="C23" s="59"/>
      <c r="D23" s="59"/>
      <c r="E23" s="59"/>
      <c r="F23" s="59"/>
      <c r="G23" s="59"/>
      <c r="H23" s="59"/>
      <c r="I23" s="59"/>
      <c r="J23" s="59"/>
      <c r="K23" s="59"/>
      <c r="L23" s="59"/>
      <c r="M23" s="71" t="s">
        <v>6233</v>
      </c>
      <c r="N23" s="71" t="s">
        <v>6215</v>
      </c>
      <c r="O23" s="59"/>
    </row>
    <row r="24" spans="1:15" ht="19">
      <c r="A24" s="84" t="s">
        <v>6256</v>
      </c>
      <c r="B24" s="84"/>
      <c r="C24" s="84"/>
      <c r="D24" s="84"/>
      <c r="E24" s="84"/>
      <c r="F24" s="84"/>
      <c r="G24" s="84"/>
      <c r="H24" s="84"/>
      <c r="I24" s="84"/>
      <c r="J24" s="84"/>
      <c r="K24" s="84"/>
      <c r="L24" s="59"/>
      <c r="M24" s="99" t="s">
        <v>6659</v>
      </c>
      <c r="N24" s="99" cm="1">
        <f t="array" ref="N24">SUMPRODUCT((LEFT('Medical Sales'!D3:D196,4)="2025")*('Medical Sales'!G3:G196&lt;3000)*('Medical Sales'!G3:G196&gt;0)*('Medical Sales'!U3:U196&lt;&gt;"Yes"))</f>
        <v>1</v>
      </c>
      <c r="O24" s="59"/>
    </row>
    <row r="25" spans="1:15">
      <c r="A25" s="86" t="s">
        <v>6257</v>
      </c>
      <c r="B25" s="86"/>
      <c r="C25" s="86"/>
      <c r="D25" s="106" t="s">
        <v>6473</v>
      </c>
      <c r="E25" s="106"/>
      <c r="F25" s="106"/>
      <c r="G25" s="106"/>
      <c r="H25" s="106"/>
      <c r="I25" s="106"/>
      <c r="J25" s="106"/>
      <c r="K25" s="59"/>
      <c r="L25" s="59"/>
      <c r="M25" s="99" t="s">
        <v>6658</v>
      </c>
      <c r="N25" s="99" cm="1">
        <f t="array" ref="N25">SUMPRODUCT((LEFT('Medical Sales'!D3:D196,4)="2025")*('Medical Sales'!G3:G196&gt;=3000)*('Medical Sales'!G3:G196&lt;6000)*('Medical Sales'!U3:U196&lt;&gt;"Yes"))</f>
        <v>2</v>
      </c>
      <c r="O25" s="59"/>
    </row>
    <row r="26" spans="1:15">
      <c r="A26" s="57" t="s">
        <v>6495</v>
      </c>
      <c r="B26" s="62" cm="1">
        <f t="array" ref="B26">SUMPRODUCT((LEFT('Medical Sales'!D3:D196,4)="2025")*('Medical Sales'!G3:G196&lt;6000)*('Medical Sales'!G3:G196&gt;0)*('Medical Sales'!U3:U196&lt;&gt;"Yes"))</f>
        <v>3</v>
      </c>
      <c r="C26" s="59"/>
      <c r="D26" s="297" t="s">
        <v>6474</v>
      </c>
      <c r="E26" s="108"/>
      <c r="F26" s="108"/>
      <c r="G26" s="108"/>
      <c r="H26" s="108"/>
      <c r="I26" s="108"/>
      <c r="J26" s="108"/>
      <c r="K26" s="59"/>
      <c r="L26" s="59"/>
      <c r="M26" s="99" t="s">
        <v>6657</v>
      </c>
      <c r="N26" s="99" cm="1">
        <f t="array" ref="N26">SUMPRODUCT((LEFT('Medical Sales'!D3:D196,4)="2025")*('Medical Sales'!G3:G196&gt;=6000)*('Medical Sales'!G3:G196&lt;10000)*('Medical Sales'!U3:U196&lt;&gt;"Yes"))</f>
        <v>1</v>
      </c>
      <c r="O26" s="59"/>
    </row>
    <row r="27" spans="1:15">
      <c r="A27" s="57" t="s">
        <v>6216</v>
      </c>
      <c r="B27" s="63" cm="1">
        <f t="array" ref="B27">SUMPRODUCT((LEFT('Medical Sales'!D3:D196,4)="2025")*('Medical Sales'!G3:G196&lt;6000)*('Medical Sales'!G3:G196&gt;0)*('Medical Sales'!U3:U196&lt;&gt;"Yes")*('Medical Sales'!E3:E196))</f>
        <v>8771202</v>
      </c>
      <c r="C27" s="59"/>
      <c r="D27" s="108"/>
      <c r="E27" s="108"/>
      <c r="F27" s="108"/>
      <c r="G27" s="108"/>
      <c r="H27" s="108"/>
      <c r="I27" s="108"/>
      <c r="J27" s="108"/>
      <c r="K27" s="59"/>
      <c r="L27" s="59"/>
      <c r="M27" s="99" t="s">
        <v>6655</v>
      </c>
      <c r="N27" s="99" cm="1">
        <f t="array" ref="N27">SUMPRODUCT((LEFT('Medical Sales'!D3:D196,4)="2025")*('Medical Sales'!G3:G196&gt;=10000)*('Medical Sales'!G3:G196&lt;20000)*('Medical Sales'!U3:U196&lt;&gt;"Yes"))</f>
        <v>0</v>
      </c>
      <c r="O27" s="59"/>
    </row>
    <row r="28" spans="1:15">
      <c r="A28" s="57" t="s">
        <v>6218</v>
      </c>
      <c r="B28" s="63" cm="1">
        <f t="array" ref="B28">IFERROR(MEDIAN(IF((LEFT('Medical Sales'!D3:D196,4)="2025")*('Medical Sales'!G3:G196&lt;6000)*('Medical Sales'!G3:G196&gt;0)*('Medical Sales'!U3:U196&lt;&gt;"Yes"),'Medical Sales'!E3:E196)),"-")</f>
        <v>3200000</v>
      </c>
      <c r="C28" s="59"/>
      <c r="D28" s="108"/>
      <c r="E28" s="108"/>
      <c r="F28" s="108"/>
      <c r="G28" s="108"/>
      <c r="H28" s="108"/>
      <c r="I28" s="108"/>
      <c r="J28" s="108"/>
      <c r="K28" s="59"/>
      <c r="L28" s="59"/>
      <c r="M28" s="99" t="s">
        <v>6656</v>
      </c>
      <c r="N28" s="99" cm="1">
        <f t="array" ref="N28">SUMPRODUCT((LEFT('Medical Sales'!D3:D196,4)="2025")*('Medical Sales'!G3:G196&gt;=20000)*('Medical Sales'!G3:G196&gt;0)*('Medical Sales'!U3:U196&lt;&gt;"Yes"))</f>
        <v>3</v>
      </c>
      <c r="O28" s="59"/>
    </row>
    <row r="29" spans="1:15">
      <c r="A29" s="57" t="s">
        <v>6259</v>
      </c>
      <c r="B29" s="63">
        <f>IF(B26=0,"-",B27/B26)</f>
        <v>2923734</v>
      </c>
      <c r="C29" s="59"/>
      <c r="D29" s="108"/>
      <c r="E29" s="108"/>
      <c r="F29" s="108"/>
      <c r="G29" s="108"/>
      <c r="H29" s="108"/>
      <c r="I29" s="108"/>
      <c r="J29" s="108"/>
      <c r="K29" s="59"/>
      <c r="L29" s="59"/>
      <c r="M29" s="59"/>
      <c r="N29" s="59"/>
      <c r="O29" s="59"/>
    </row>
    <row r="30" spans="1:15">
      <c r="A30" s="57" t="s">
        <v>6220</v>
      </c>
      <c r="B30" s="61" cm="1">
        <f t="array" ref="B30">IFERROR(MEDIAN(IF((LEFT('Medical Sales'!D3:D196,4)="2025")*('Medical Sales'!G3:G196&lt;6000)*('Medical Sales'!G3:G196&gt;0)*('Medical Sales'!U3:U196&lt;&gt;"Yes"),'Medical Sales'!F3:F196)),"-")</f>
        <v>915.12170706006327</v>
      </c>
      <c r="C30" s="59"/>
      <c r="D30" s="108"/>
      <c r="E30" s="108"/>
      <c r="F30" s="108"/>
      <c r="G30" s="108"/>
      <c r="H30" s="108"/>
      <c r="I30" s="108"/>
      <c r="J30" s="108"/>
      <c r="K30" s="59"/>
      <c r="L30" s="59"/>
      <c r="M30" s="59"/>
      <c r="N30" s="59"/>
      <c r="O30" s="59"/>
    </row>
    <row r="31" spans="1:15">
      <c r="A31" s="309" t="s">
        <v>6260</v>
      </c>
      <c r="B31" s="119" cm="1">
        <f t="array" ref="B31">IF(B26=0,"-",SUMPRODUCT((LEFT('Medical Sales'!D3:D196,4)="2025")*('Medical Sales'!G3:G196&lt;6000)*('Medical Sales'!G3:G196&gt;0)*('Medical Sales'!U3:U196&lt;&gt;"Yes")*('Medical Sales'!F3:F196))/B26)</f>
        <v>952.55881855447171</v>
      </c>
      <c r="C31" s="313"/>
      <c r="D31" s="337"/>
      <c r="E31" s="337"/>
      <c r="F31" s="337"/>
      <c r="G31" s="337"/>
      <c r="H31" s="108"/>
      <c r="I31" s="108"/>
      <c r="J31" s="108"/>
      <c r="K31" s="59"/>
      <c r="L31" s="59"/>
      <c r="M31" s="59"/>
      <c r="N31" s="59"/>
      <c r="O31" s="59"/>
    </row>
    <row r="32" spans="1:15">
      <c r="A32" s="309" t="s">
        <v>6261</v>
      </c>
      <c r="B32" s="117" cm="1">
        <f t="array" ref="B32">IF(B26=0,"-",SUMPRODUCT((LEFT('Medical Sales'!D3:D196,4)="2025")*('Medical Sales'!G3:G196&lt;6000)*('Medical Sales'!G3:G196&gt;0)*('Medical Sales'!U3:U196&lt;&gt;"Yes")*('Medical Sales'!G3:G196))/B26)</f>
        <v>3125.3333333333335</v>
      </c>
      <c r="C32" s="313"/>
      <c r="D32" s="337"/>
      <c r="E32" s="337"/>
      <c r="F32" s="337"/>
      <c r="G32" s="337"/>
      <c r="H32" s="108"/>
      <c r="I32" s="108"/>
      <c r="J32" s="108"/>
      <c r="K32" s="59"/>
      <c r="L32" s="59"/>
      <c r="M32" s="59"/>
      <c r="N32" s="59"/>
      <c r="O32" s="59"/>
    </row>
    <row r="33" spans="1:15">
      <c r="A33" s="309" t="s">
        <v>6262</v>
      </c>
      <c r="B33" s="118" cm="1">
        <f t="array" ref="B33">IFERROR(MIN(IF((LEFT('Medical Sales'!D3:D196,4)="2025")*('Medical Sales'!G3:G196&lt;6000)*('Medical Sales'!G3:G196&gt;0)*('Medical Sales'!U3:U196&lt;&gt;"Yes"),'Medical Sales'!E3:E196)),"-")</f>
        <v>2097400</v>
      </c>
      <c r="C33" s="313"/>
      <c r="D33" s="337"/>
      <c r="E33" s="337"/>
      <c r="F33" s="337"/>
      <c r="G33" s="337"/>
      <c r="H33" s="108"/>
      <c r="I33" s="108"/>
      <c r="J33" s="108"/>
      <c r="K33" s="59"/>
      <c r="L33" s="59"/>
      <c r="M33" s="59"/>
      <c r="N33" s="59"/>
      <c r="O33" s="59"/>
    </row>
    <row r="34" spans="1:15">
      <c r="A34" s="309" t="s">
        <v>6263</v>
      </c>
      <c r="B34" s="118" cm="1">
        <f t="array" ref="B34">IFERROR(MAX(IF((LEFT('Medical Sales'!D3:D196,4)="2025")*('Medical Sales'!G3:G196&lt;6000)*('Medical Sales'!G3:G196&gt;0)*('Medical Sales'!U3:U196&lt;&gt;"Yes"),'Medical Sales'!E3:E196)),"-")</f>
        <v>3473802</v>
      </c>
      <c r="C34" s="313"/>
      <c r="D34" s="337"/>
      <c r="E34" s="337"/>
      <c r="F34" s="337"/>
      <c r="G34" s="337"/>
      <c r="H34" s="108"/>
      <c r="I34" s="108"/>
      <c r="J34" s="108"/>
      <c r="K34" s="59"/>
      <c r="L34" s="59"/>
      <c r="M34" s="59"/>
      <c r="N34" s="59"/>
      <c r="O34" s="59"/>
    </row>
    <row r="35" spans="1:15">
      <c r="A35" s="313"/>
      <c r="B35" s="313"/>
      <c r="C35" s="313"/>
      <c r="D35" s="313"/>
      <c r="E35" s="313"/>
      <c r="F35" s="313"/>
      <c r="G35" s="313"/>
      <c r="H35" s="59"/>
      <c r="I35" s="59"/>
      <c r="J35" s="59"/>
      <c r="K35" s="59"/>
      <c r="L35" s="59"/>
      <c r="M35" s="59"/>
      <c r="N35" s="59"/>
      <c r="O35" s="59"/>
    </row>
    <row r="36" spans="1:15">
      <c r="A36" s="86" t="s">
        <v>6264</v>
      </c>
      <c r="B36" s="59"/>
      <c r="C36" s="59"/>
      <c r="D36" s="59"/>
      <c r="E36" s="59"/>
      <c r="F36" s="59"/>
      <c r="G36" s="59"/>
      <c r="H36" s="59"/>
      <c r="I36" s="59"/>
      <c r="J36" s="59"/>
      <c r="K36" s="59"/>
      <c r="L36" s="59"/>
      <c r="M36" s="59"/>
      <c r="N36" s="59"/>
      <c r="O36" s="59"/>
    </row>
    <row r="37" spans="1:15">
      <c r="A37" s="310" t="s">
        <v>2</v>
      </c>
      <c r="B37" s="310" t="s">
        <v>6215</v>
      </c>
      <c r="C37" s="310" t="s">
        <v>6218</v>
      </c>
      <c r="D37" s="310" t="s">
        <v>6220</v>
      </c>
      <c r="E37" s="310" t="s">
        <v>6221</v>
      </c>
      <c r="F37" s="310" t="s">
        <v>6230</v>
      </c>
      <c r="G37" s="310" t="s">
        <v>6231</v>
      </c>
      <c r="H37" s="59"/>
      <c r="I37" s="59"/>
      <c r="J37" s="59"/>
      <c r="K37" s="59"/>
      <c r="L37" s="59"/>
      <c r="M37" s="59"/>
      <c r="N37" s="59"/>
      <c r="O37" s="59"/>
    </row>
    <row r="38" spans="1:15">
      <c r="A38" s="309" t="s">
        <v>33</v>
      </c>
      <c r="B38" s="117" cm="1">
        <f t="array" ref="B38">SUMPRODUCT(('Medical Sales'!C3:C196="Orange")*(LEFT('Medical Sales'!D3:D196,4)="2025")*('Medical Sales'!G3:G196&lt;6000)*('Medical Sales'!G3:G196&gt;0)*('Medical Sales'!U3:U196&lt;&gt;"Yes"))</f>
        <v>3</v>
      </c>
      <c r="C38" s="118" cm="1">
        <f t="array" ref="C38">IFERROR(MEDIAN(IF(('Medical Sales'!C3:C196="Orange")*(LEFT('Medical Sales'!D3:D196,4)="2025")*('Medical Sales'!G3:G196&lt;6000)*('Medical Sales'!G3:G196&gt;0)*('Medical Sales'!U3:U196&lt;&gt;"Yes"),'Medical Sales'!E3:E196)),"-")</f>
        <v>3200000</v>
      </c>
      <c r="D38" s="119" cm="1">
        <f t="array" ref="D38">IFERROR(MEDIAN(IF(('Medical Sales'!C3:C196="Orange")*(LEFT('Medical Sales'!D3:D196,4)="2025")*('Medical Sales'!G3:G196&lt;6000)*('Medical Sales'!G3:G196&gt;0)*('Medical Sales'!U3:U196&lt;&gt;"Yes"),'Medical Sales'!F3:F196)),"-")</f>
        <v>915.12170706006327</v>
      </c>
      <c r="E38" s="117" cm="1">
        <f t="array" ref="E38">IF(B38=0,"-",SUMPRODUCT(('Medical Sales'!C3:C196="Orange")*(LEFT('Medical Sales'!D3:D196,4)="2025")*('Medical Sales'!G3:G196&lt;6000)*('Medical Sales'!G3:G196&gt;0)*('Medical Sales'!U3:U196&lt;&gt;"Yes")*('Medical Sales'!G3:G196))/B38)</f>
        <v>3125.3333333333335</v>
      </c>
      <c r="F38" s="118" cm="1">
        <f t="array" ref="F38">IFERROR(MIN(IF(('Medical Sales'!C3:C196="Orange")*(LEFT('Medical Sales'!D3:D196,4)="2025")*('Medical Sales'!G3:G196&lt;6000)*('Medical Sales'!G3:G196&gt;0)*('Medical Sales'!U3:U196&lt;&gt;"Yes"),'Medical Sales'!E3:E196)),"-")</f>
        <v>2097400</v>
      </c>
      <c r="G38" s="118" cm="1">
        <f t="array" ref="G38">IFERROR(MAX(IF(('Medical Sales'!C3:C196="Orange")*(LEFT('Medical Sales'!D3:D196,4)="2025")*('Medical Sales'!G3:G196&lt;6000)*('Medical Sales'!G3:G196&gt;0)*('Medical Sales'!U3:U196&lt;&gt;"Yes"),'Medical Sales'!E3:E196)),"-")</f>
        <v>3473802</v>
      </c>
      <c r="H38" s="59"/>
      <c r="I38" s="59"/>
      <c r="J38" s="59"/>
      <c r="K38" s="59"/>
      <c r="L38" s="59"/>
      <c r="M38" s="59"/>
      <c r="N38" s="59"/>
      <c r="O38" s="59"/>
    </row>
    <row r="39" spans="1:15">
      <c r="A39" s="309" t="s">
        <v>20</v>
      </c>
      <c r="B39" s="117" cm="1">
        <f t="array" ref="B39">SUMPRODUCT(('Medical Sales'!C3:C196="Seminole")*(LEFT('Medical Sales'!D3:D196,4)="2025")*('Medical Sales'!G3:G196&lt;6000)*('Medical Sales'!G3:G196&gt;0)*('Medical Sales'!U3:U196&lt;&gt;"Yes"))</f>
        <v>0</v>
      </c>
      <c r="C39" s="118" t="str" cm="1">
        <f t="array" ref="C39">IFERROR(MEDIAN(IF(('Medical Sales'!C3:C196="Seminole")*(LEFT('Medical Sales'!D3:D196,4)="2025")*('Medical Sales'!G3:G196&lt;6000)*('Medical Sales'!G3:G196&gt;0)*('Medical Sales'!U3:U196&lt;&gt;"Yes"),'Medical Sales'!E3:E196)),"-")</f>
        <v>-</v>
      </c>
      <c r="D39" s="119" t="str" cm="1">
        <f t="array" ref="D39">IFERROR(MEDIAN(IF(('Medical Sales'!C3:C196="Seminole")*(LEFT('Medical Sales'!D3:D196,4)="2025")*('Medical Sales'!G3:G196&lt;6000)*('Medical Sales'!G3:G196&gt;0)*('Medical Sales'!U3:U196&lt;&gt;"Yes"),'Medical Sales'!F3:F196)),"-")</f>
        <v>-</v>
      </c>
      <c r="E39" s="117" t="str" cm="1">
        <f t="array" ref="E39">IF(B39=0,"-",SUMPRODUCT(('Medical Sales'!C3:C196="Seminole")*(LEFT('Medical Sales'!D3:D196,4)="2025")*('Medical Sales'!G3:G196&lt;6000)*('Medical Sales'!G3:G196&gt;0)*('Medical Sales'!U3:U196&lt;&gt;"Yes")*('Medical Sales'!G3:G196))/B39)</f>
        <v>-</v>
      </c>
      <c r="F39" s="118" cm="1">
        <f t="array" ref="F39">IFERROR(MIN(IF(('Medical Sales'!C3:C196="Seminole")*(LEFT('Medical Sales'!D3:D196,4)="2025")*('Medical Sales'!G3:G196&lt;6000)*('Medical Sales'!G3:G196&gt;0)*('Medical Sales'!U3:U196&lt;&gt;"Yes"),'Medical Sales'!E3:E196)),"-")</f>
        <v>0</v>
      </c>
      <c r="G39" s="118" cm="1">
        <f t="array" ref="G39">IFERROR(MAX(IF(('Medical Sales'!C3:C196="Seminole")*(LEFT('Medical Sales'!D3:D196,4)="2025")*('Medical Sales'!G3:G196&lt;6000)*('Medical Sales'!G3:G196&gt;0)*('Medical Sales'!U3:U196&lt;&gt;"Yes"),'Medical Sales'!E3:E196)),"-")</f>
        <v>0</v>
      </c>
      <c r="H39" s="59"/>
      <c r="I39" s="59"/>
      <c r="J39" s="59"/>
      <c r="K39" s="59"/>
      <c r="L39" s="59"/>
      <c r="M39" s="59"/>
      <c r="N39" s="59"/>
      <c r="O39" s="59"/>
    </row>
    <row r="40" spans="1:15">
      <c r="A40" s="309" t="s">
        <v>678</v>
      </c>
      <c r="B40" s="117" cm="1">
        <f t="array" ref="B40">SUMPRODUCT(('Medical Sales'!C3:C196="Osceola")*(LEFT('Medical Sales'!D3:D196,4)="2025")*('Medical Sales'!G3:G196&lt;6000)*('Medical Sales'!G3:G196&gt;0)*('Medical Sales'!U3:U196&lt;&gt;"Yes"))</f>
        <v>0</v>
      </c>
      <c r="C40" s="118" t="str" cm="1">
        <f t="array" ref="C40">IFERROR(MEDIAN(IF(('Medical Sales'!C3:C196="Osceola")*(LEFT('Medical Sales'!D3:D196,4)="2025")*('Medical Sales'!G3:G196&lt;6000)*('Medical Sales'!G3:G196&gt;0)*('Medical Sales'!U3:U196&lt;&gt;"Yes"),'Medical Sales'!E3:E196)),"-")</f>
        <v>-</v>
      </c>
      <c r="D40" s="119" t="str" cm="1">
        <f t="array" ref="D40">IFERROR(MEDIAN(IF(('Medical Sales'!C3:C196="Osceola")*(LEFT('Medical Sales'!D3:D196,4)="2025")*('Medical Sales'!G3:G196&lt;6000)*('Medical Sales'!G3:G196&gt;0)*('Medical Sales'!U3:U196&lt;&gt;"Yes"),'Medical Sales'!F3:F196)),"-")</f>
        <v>-</v>
      </c>
      <c r="E40" s="117" t="str" cm="1">
        <f t="array" ref="E40">IF(B40=0,"-",SUMPRODUCT(('Medical Sales'!C3:C196="Osceola")*(LEFT('Medical Sales'!D3:D196,4)="2025")*('Medical Sales'!G3:G196&lt;6000)*('Medical Sales'!G3:G196&gt;0)*('Medical Sales'!U3:U196&lt;&gt;"Yes")*('Medical Sales'!G3:G196))/B40)</f>
        <v>-</v>
      </c>
      <c r="F40" s="118" cm="1">
        <f t="array" ref="F40">IFERROR(MIN(IF(('Medical Sales'!C3:C196="Osceola")*(LEFT('Medical Sales'!D3:D196,4)="2025")*('Medical Sales'!G3:G196&lt;6000)*('Medical Sales'!G3:G196&gt;0)*('Medical Sales'!U3:U196&lt;&gt;"Yes"),'Medical Sales'!E3:E196)),"-")</f>
        <v>0</v>
      </c>
      <c r="G40" s="118" cm="1">
        <f t="array" ref="G40">IFERROR(MAX(IF(('Medical Sales'!C3:C196="Osceola")*(LEFT('Medical Sales'!D3:D196,4)="2025")*('Medical Sales'!G3:G196&lt;6000)*('Medical Sales'!G3:G196&gt;0)*('Medical Sales'!U3:U196&lt;&gt;"Yes"),'Medical Sales'!E3:E196)),"-")</f>
        <v>0</v>
      </c>
      <c r="H40" s="59"/>
      <c r="I40" s="59"/>
      <c r="J40" s="59"/>
      <c r="K40" s="59"/>
      <c r="L40" s="59"/>
      <c r="M40" s="59"/>
      <c r="N40" s="59"/>
      <c r="O40" s="59"/>
    </row>
    <row r="41" spans="1:15">
      <c r="A41" s="309" t="s">
        <v>184</v>
      </c>
      <c r="B41" s="117" cm="1">
        <f t="array" ref="B41">SUMPRODUCT(('Medical Sales'!C3:C196="Lake")*(LEFT('Medical Sales'!D3:D196,4)="2025")*('Medical Sales'!G3:G196&lt;6000)*('Medical Sales'!G3:G196&gt;0)*('Medical Sales'!U3:U196&lt;&gt;"Yes"))</f>
        <v>0</v>
      </c>
      <c r="C41" s="118" t="str" cm="1">
        <f t="array" ref="C41">IFERROR(MEDIAN(IF(('Medical Sales'!C3:C196="Lake")*(LEFT('Medical Sales'!D3:D196,4)="2025")*('Medical Sales'!G3:G196&lt;6000)*('Medical Sales'!G3:G196&gt;0)*('Medical Sales'!U3:U196&lt;&gt;"Yes"),'Medical Sales'!E3:E196)),"-")</f>
        <v>-</v>
      </c>
      <c r="D41" s="119" t="str" cm="1">
        <f t="array" ref="D41">IFERROR(MEDIAN(IF(('Medical Sales'!C3:C196="Lake")*(LEFT('Medical Sales'!D3:D196,4)="2025")*('Medical Sales'!G3:G196&lt;6000)*('Medical Sales'!G3:G196&gt;0)*('Medical Sales'!U3:U196&lt;&gt;"Yes"),'Medical Sales'!F3:F196)),"-")</f>
        <v>-</v>
      </c>
      <c r="E41" s="117" t="str" cm="1">
        <f t="array" ref="E41">IF(B41=0,"-",SUMPRODUCT(('Medical Sales'!C3:C196="Lake")*(LEFT('Medical Sales'!D3:D196,4)="2025")*('Medical Sales'!G3:G196&lt;6000)*('Medical Sales'!G3:G196&gt;0)*('Medical Sales'!U3:U196&lt;&gt;"Yes")*('Medical Sales'!G3:G196))/B41)</f>
        <v>-</v>
      </c>
      <c r="F41" s="118" cm="1">
        <f t="array" ref="F41">IFERROR(MIN(IF(('Medical Sales'!C3:C196="Lake")*(LEFT('Medical Sales'!D3:D196,4)="2025")*('Medical Sales'!G3:G196&lt;6000)*('Medical Sales'!G3:G196&gt;0)*('Medical Sales'!U3:U196&lt;&gt;"Yes"),'Medical Sales'!E3:E196)),"-")</f>
        <v>0</v>
      </c>
      <c r="G41" s="118" cm="1">
        <f t="array" ref="G41">IFERROR(MAX(IF(('Medical Sales'!C3:C196="Lake")*(LEFT('Medical Sales'!D3:D196,4)="2025")*('Medical Sales'!G3:G196&lt;6000)*('Medical Sales'!G3:G196&gt;0)*('Medical Sales'!U3:U196&lt;&gt;"Yes"),'Medical Sales'!E3:E196)),"-")</f>
        <v>0</v>
      </c>
      <c r="H41" s="59"/>
      <c r="I41" s="59"/>
      <c r="J41" s="59"/>
      <c r="K41" s="59"/>
      <c r="L41" s="59"/>
      <c r="M41" s="59"/>
      <c r="N41" s="59"/>
      <c r="O41" s="59"/>
    </row>
    <row r="42" spans="1:15">
      <c r="A42" s="59"/>
      <c r="B42" s="59"/>
      <c r="C42" s="59"/>
      <c r="D42" s="59"/>
      <c r="E42" s="59"/>
      <c r="F42" s="59"/>
      <c r="G42" s="59"/>
      <c r="H42" s="59"/>
      <c r="I42" s="59"/>
      <c r="J42" s="59"/>
      <c r="K42" s="59"/>
      <c r="L42" s="59"/>
      <c r="M42" s="59"/>
      <c r="N42" s="59"/>
      <c r="O42" s="59"/>
    </row>
    <row r="43" spans="1:15" ht="19">
      <c r="A43" s="181" t="s">
        <v>6475</v>
      </c>
      <c r="B43" s="181"/>
      <c r="C43" s="181"/>
      <c r="D43" s="181"/>
      <c r="E43" s="181"/>
      <c r="F43" s="181"/>
      <c r="G43" s="181"/>
      <c r="H43" s="181"/>
      <c r="I43" s="181"/>
      <c r="J43" s="181"/>
      <c r="K43" s="181"/>
      <c r="L43" s="59"/>
      <c r="M43" s="59"/>
      <c r="N43" s="59"/>
      <c r="O43" s="59"/>
    </row>
    <row r="44" spans="1:15">
      <c r="A44" s="183" t="s">
        <v>6476</v>
      </c>
      <c r="B44" s="183"/>
      <c r="C44" s="183"/>
      <c r="D44" s="184" t="s">
        <v>6477</v>
      </c>
      <c r="E44" s="184"/>
      <c r="F44" s="184"/>
      <c r="G44" s="184"/>
      <c r="H44" s="184"/>
      <c r="I44" s="184"/>
      <c r="J44" s="184"/>
      <c r="K44" s="59"/>
      <c r="L44" s="59"/>
      <c r="M44" s="59"/>
      <c r="N44" s="59"/>
      <c r="O44" s="59"/>
    </row>
    <row r="45" spans="1:15">
      <c r="A45" s="57" t="s">
        <v>6495</v>
      </c>
      <c r="B45" s="62" cm="1">
        <f t="array" ref="B45">SUMPRODUCT((LEFT('Medical Sales'!D3:D196,4)="2025")*('Medical Sales'!G3:G196&gt;=6000)*('Medical Sales'!G3:G196&lt;10000)*('Medical Sales'!U3:U196&lt;&gt;"Yes"))</f>
        <v>1</v>
      </c>
      <c r="C45" s="59"/>
      <c r="D45" s="299" t="s">
        <v>6474</v>
      </c>
      <c r="E45" s="298"/>
      <c r="F45" s="298"/>
      <c r="G45" s="298"/>
      <c r="H45" s="298"/>
      <c r="I45" s="298"/>
      <c r="J45" s="298"/>
      <c r="K45" s="59"/>
      <c r="L45" s="59"/>
      <c r="M45" s="59"/>
      <c r="N45" s="59"/>
      <c r="O45" s="59"/>
    </row>
    <row r="46" spans="1:15">
      <c r="A46" s="57" t="s">
        <v>6216</v>
      </c>
      <c r="B46" s="63" cm="1">
        <f t="array" ref="B46">SUMPRODUCT((LEFT('Medical Sales'!D3:D196,4)="2025")*('Medical Sales'!G3:G196&gt;=6000)*('Medical Sales'!G3:G196&lt;10000)*('Medical Sales'!U3:U196&lt;&gt;"Yes")*('Medical Sales'!E3:E196))</f>
        <v>830900</v>
      </c>
      <c r="C46" s="59"/>
      <c r="D46" s="298"/>
      <c r="E46" s="298"/>
      <c r="F46" s="298"/>
      <c r="G46" s="298"/>
      <c r="H46" s="298"/>
      <c r="I46" s="298"/>
      <c r="J46" s="298"/>
      <c r="K46" s="59"/>
      <c r="L46" s="59"/>
      <c r="M46" s="59"/>
      <c r="N46" s="59"/>
      <c r="O46" s="59"/>
    </row>
    <row r="47" spans="1:15">
      <c r="A47" s="57" t="s">
        <v>6218</v>
      </c>
      <c r="B47" s="63" cm="1">
        <f t="array" ref="B47">IFERROR(MEDIAN(IF((LEFT('Medical Sales'!D3:D196,4)="2025")*('Medical Sales'!G3:G196&gt;=6000)*('Medical Sales'!G3:G196&lt;10000)*('Medical Sales'!U3:U196&lt;&gt;"Yes"),'Medical Sales'!E3:E196)),"-")</f>
        <v>830900</v>
      </c>
      <c r="C47" s="59"/>
      <c r="D47" s="298"/>
      <c r="E47" s="298"/>
      <c r="F47" s="298"/>
      <c r="G47" s="298"/>
      <c r="H47" s="298"/>
      <c r="I47" s="298"/>
      <c r="J47" s="298"/>
      <c r="K47" s="59"/>
      <c r="L47" s="59"/>
      <c r="M47" s="59"/>
      <c r="N47" s="59"/>
      <c r="O47" s="59"/>
    </row>
    <row r="48" spans="1:15">
      <c r="A48" s="57" t="s">
        <v>6259</v>
      </c>
      <c r="B48" s="63">
        <f>IF(B45=0,"-",B46/B45)</f>
        <v>830900</v>
      </c>
      <c r="C48" s="59"/>
      <c r="D48" s="298"/>
      <c r="E48" s="298"/>
      <c r="F48" s="298"/>
      <c r="G48" s="298"/>
      <c r="H48" s="298"/>
      <c r="I48" s="298"/>
      <c r="J48" s="298"/>
      <c r="K48" s="59"/>
      <c r="L48" s="59"/>
      <c r="M48" s="59"/>
      <c r="N48" s="59"/>
      <c r="O48" s="59"/>
    </row>
    <row r="49" spans="1:15">
      <c r="A49" s="57" t="s">
        <v>6220</v>
      </c>
      <c r="B49" s="61" cm="1">
        <f t="array" ref="B49">IFERROR(MEDIAN(IF((LEFT('Medical Sales'!D3:D196,4)="2025")*('Medical Sales'!G3:G196&gt;=6000)*('Medical Sales'!G3:G196&lt;10000)*('Medical Sales'!U3:U196&lt;&gt;"Yes"),'Medical Sales'!F3:F196)),"-")</f>
        <v>136.21311475409837</v>
      </c>
      <c r="C49" s="59"/>
      <c r="D49" s="298"/>
      <c r="E49" s="298"/>
      <c r="F49" s="298"/>
      <c r="G49" s="298"/>
      <c r="H49" s="298"/>
      <c r="I49" s="298"/>
      <c r="J49" s="298"/>
      <c r="K49" s="59"/>
      <c r="L49" s="59"/>
      <c r="M49" s="59"/>
      <c r="N49" s="59"/>
      <c r="O49" s="59"/>
    </row>
    <row r="50" spans="1:15">
      <c r="A50" s="309" t="s">
        <v>6260</v>
      </c>
      <c r="B50" s="119" cm="1">
        <f t="array" ref="B50">IF(B45=0,"-",SUMPRODUCT((LEFT('Medical Sales'!D3:D196,4)="2025")*('Medical Sales'!G3:G196&gt;=6000)*('Medical Sales'!G3:G196&lt;10000)*('Medical Sales'!U3:U196&lt;&gt;"Yes")*('Medical Sales'!F3:F196))/B45)</f>
        <v>136.21311475409837</v>
      </c>
      <c r="C50" s="313"/>
      <c r="D50" s="338"/>
      <c r="E50" s="338"/>
      <c r="F50" s="338"/>
      <c r="G50" s="338"/>
      <c r="H50" s="298"/>
      <c r="I50" s="298"/>
      <c r="J50" s="298"/>
      <c r="K50" s="59"/>
      <c r="L50" s="59"/>
      <c r="M50" s="59"/>
      <c r="N50" s="59"/>
      <c r="O50" s="59"/>
    </row>
    <row r="51" spans="1:15">
      <c r="A51" s="309" t="s">
        <v>6261</v>
      </c>
      <c r="B51" s="117" cm="1">
        <f t="array" ref="B51">IF(B45=0,"-",SUMPRODUCT((LEFT('Medical Sales'!D3:D196,4)="2025")*('Medical Sales'!G3:G196&gt;=6000)*('Medical Sales'!G3:G196&lt;10000)*('Medical Sales'!U3:U196&lt;&gt;"Yes")*('Medical Sales'!G3:G196))/B45)</f>
        <v>6100</v>
      </c>
      <c r="C51" s="313"/>
      <c r="D51" s="338"/>
      <c r="E51" s="338"/>
      <c r="F51" s="338"/>
      <c r="G51" s="338"/>
      <c r="H51" s="298"/>
      <c r="I51" s="298"/>
      <c r="J51" s="298"/>
      <c r="K51" s="59"/>
      <c r="L51" s="59"/>
      <c r="M51" s="59"/>
      <c r="N51" s="59"/>
      <c r="O51" s="59"/>
    </row>
    <row r="52" spans="1:15">
      <c r="A52" s="309" t="s">
        <v>6262</v>
      </c>
      <c r="B52" s="118" cm="1">
        <f t="array" ref="B52">IFERROR(MIN(IF((LEFT('Medical Sales'!D3:D196,4)="2025")*('Medical Sales'!G3:G196&gt;=6000)*('Medical Sales'!G3:G196&lt;10000)*('Medical Sales'!U3:U196&lt;&gt;"Yes"),'Medical Sales'!E3:E196)),"-")</f>
        <v>830900</v>
      </c>
      <c r="C52" s="313"/>
      <c r="D52" s="338"/>
      <c r="E52" s="338"/>
      <c r="F52" s="338"/>
      <c r="G52" s="338"/>
      <c r="H52" s="298"/>
      <c r="I52" s="298"/>
      <c r="J52" s="298"/>
      <c r="K52" s="59"/>
      <c r="L52" s="59"/>
      <c r="M52" s="59"/>
      <c r="N52" s="59"/>
      <c r="O52" s="59"/>
    </row>
    <row r="53" spans="1:15">
      <c r="A53" s="309" t="s">
        <v>6263</v>
      </c>
      <c r="B53" s="118" cm="1">
        <f t="array" ref="B53">IFERROR(MAX(IF((LEFT('Medical Sales'!D3:D196,4)="2025")*('Medical Sales'!G3:G196&gt;=6000)*('Medical Sales'!G3:G196&lt;10000)*('Medical Sales'!U3:U196&lt;&gt;"Yes"),'Medical Sales'!E3:E196)),"-")</f>
        <v>830900</v>
      </c>
      <c r="C53" s="313"/>
      <c r="D53" s="338"/>
      <c r="E53" s="338"/>
      <c r="F53" s="338"/>
      <c r="G53" s="338"/>
      <c r="H53" s="298"/>
      <c r="I53" s="298"/>
      <c r="J53" s="298"/>
      <c r="K53" s="59"/>
      <c r="L53" s="59"/>
      <c r="M53" s="59"/>
      <c r="N53" s="59"/>
      <c r="O53" s="59"/>
    </row>
    <row r="54" spans="1:15">
      <c r="A54" s="313"/>
      <c r="B54" s="313"/>
      <c r="C54" s="313"/>
      <c r="D54" s="313"/>
      <c r="E54" s="313"/>
      <c r="F54" s="313"/>
      <c r="G54" s="313"/>
      <c r="H54" s="59"/>
      <c r="I54" s="59"/>
      <c r="J54" s="59"/>
      <c r="K54" s="59"/>
      <c r="L54" s="59"/>
      <c r="M54" s="59"/>
      <c r="N54" s="59"/>
      <c r="O54" s="59"/>
    </row>
    <row r="55" spans="1:15">
      <c r="A55" s="183" t="s">
        <v>6478</v>
      </c>
      <c r="B55" s="59"/>
      <c r="C55" s="59"/>
      <c r="D55" s="59"/>
      <c r="E55" s="59"/>
      <c r="F55" s="59"/>
      <c r="G55" s="59"/>
      <c r="H55" s="59"/>
      <c r="I55" s="59"/>
      <c r="J55" s="59"/>
      <c r="K55" s="59"/>
      <c r="L55" s="59"/>
      <c r="M55" s="59"/>
      <c r="N55" s="59"/>
      <c r="O55" s="59"/>
    </row>
    <row r="56" spans="1:15">
      <c r="A56" s="335" t="s">
        <v>2</v>
      </c>
      <c r="B56" s="335" t="s">
        <v>6215</v>
      </c>
      <c r="C56" s="335" t="s">
        <v>6218</v>
      </c>
      <c r="D56" s="335" t="s">
        <v>6220</v>
      </c>
      <c r="E56" s="335" t="s">
        <v>6221</v>
      </c>
      <c r="F56" s="335" t="s">
        <v>6230</v>
      </c>
      <c r="G56" s="335" t="s">
        <v>6231</v>
      </c>
      <c r="H56" s="59"/>
      <c r="I56" s="59"/>
      <c r="J56" s="59"/>
      <c r="K56" s="59"/>
      <c r="L56" s="59"/>
      <c r="M56" s="59"/>
      <c r="N56" s="59"/>
      <c r="O56" s="59"/>
    </row>
    <row r="57" spans="1:15">
      <c r="A57" s="309" t="s">
        <v>33</v>
      </c>
      <c r="B57" s="117" cm="1">
        <f t="array" ref="B57">SUMPRODUCT(('Medical Sales'!C3:C196="Orange")*(LEFT('Medical Sales'!D3:D196,4)="2025")*('Medical Sales'!G3:G196&gt;=6000)*('Medical Sales'!G3:G196&lt;10000)*('Medical Sales'!U3:U196&lt;&gt;"Yes"))</f>
        <v>1</v>
      </c>
      <c r="C57" s="118" cm="1">
        <f t="array" ref="C57">IFERROR(MEDIAN(IF(('Medical Sales'!C3:C196="Orange")*(LEFT('Medical Sales'!D3:D196,4)="2025")*('Medical Sales'!G3:G196&gt;=6000)*('Medical Sales'!G3:G196&lt;10000)*('Medical Sales'!U3:U196&lt;&gt;"Yes"),'Medical Sales'!E3:E196)),"-")</f>
        <v>830900</v>
      </c>
      <c r="D57" s="119" cm="1">
        <f t="array" ref="D57">IFERROR(MEDIAN(IF(('Medical Sales'!C3:C196="Orange")*(LEFT('Medical Sales'!D3:D196,4)="2025")*('Medical Sales'!G3:G196&gt;=6000)*('Medical Sales'!G3:G196&lt;10000)*('Medical Sales'!U3:U196&lt;&gt;"Yes"),'Medical Sales'!F3:F196)),"-")</f>
        <v>136.21311475409837</v>
      </c>
      <c r="E57" s="117" cm="1">
        <f t="array" ref="E57">IF(B57=0,"-",SUMPRODUCT(('Medical Sales'!C3:C196="Orange")*(LEFT('Medical Sales'!D3:D196,4)="2025")*('Medical Sales'!G3:G196&gt;=6000)*('Medical Sales'!G3:G196&lt;10000)*('Medical Sales'!U3:U196&lt;&gt;"Yes")*('Medical Sales'!G3:G196))/B57)</f>
        <v>6100</v>
      </c>
      <c r="F57" s="118" cm="1">
        <f t="array" ref="F57">IFERROR(MIN(IF(('Medical Sales'!C3:C196="Orange")*(LEFT('Medical Sales'!D3:D196,4)="2025")*('Medical Sales'!G3:G196&gt;=6000)*('Medical Sales'!G3:G196&lt;10000)*('Medical Sales'!U3:U196&lt;&gt;"Yes"),'Medical Sales'!E3:E196)),"-")</f>
        <v>830900</v>
      </c>
      <c r="G57" s="118" cm="1">
        <f t="array" ref="G57">IFERROR(MAX(IF(('Medical Sales'!C3:C196="Orange")*(LEFT('Medical Sales'!D3:D196,4)="2025")*('Medical Sales'!G3:G196&gt;=6000)*('Medical Sales'!G3:G196&lt;10000)*('Medical Sales'!U3:U196&lt;&gt;"Yes"),'Medical Sales'!E3:E196)),"-")</f>
        <v>830900</v>
      </c>
      <c r="H57" s="59"/>
      <c r="I57" s="59"/>
      <c r="J57" s="59"/>
      <c r="K57" s="59"/>
      <c r="L57" s="59"/>
      <c r="M57" s="59"/>
      <c r="N57" s="59"/>
      <c r="O57" s="59"/>
    </row>
    <row r="58" spans="1:15">
      <c r="A58" s="309" t="s">
        <v>20</v>
      </c>
      <c r="B58" s="117" cm="1">
        <f t="array" ref="B58">SUMPRODUCT(('Medical Sales'!C3:C196="Seminole")*(LEFT('Medical Sales'!D3:D196,4)="2025")*('Medical Sales'!G3:G196&gt;=6000)*('Medical Sales'!G3:G196&lt;10000)*('Medical Sales'!U3:U196&lt;&gt;"Yes"))</f>
        <v>0</v>
      </c>
      <c r="C58" s="118" t="str" cm="1">
        <f t="array" ref="C58">IFERROR(MEDIAN(IF(('Medical Sales'!C3:C196="Seminole")*(LEFT('Medical Sales'!D3:D196,4)="2025")*('Medical Sales'!G3:G196&gt;=6000)*('Medical Sales'!G3:G196&lt;10000)*('Medical Sales'!U3:U196&lt;&gt;"Yes"),'Medical Sales'!E3:E196)),"-")</f>
        <v>-</v>
      </c>
      <c r="D58" s="119" t="str" cm="1">
        <f t="array" ref="D58">IFERROR(MEDIAN(IF(('Medical Sales'!C3:C196="Seminole")*(LEFT('Medical Sales'!D3:D196,4)="2025")*('Medical Sales'!G3:G196&gt;=6000)*('Medical Sales'!G3:G196&lt;10000)*('Medical Sales'!U3:U196&lt;&gt;"Yes"),'Medical Sales'!F3:F196)),"-")</f>
        <v>-</v>
      </c>
      <c r="E58" s="117" t="str" cm="1">
        <f t="array" ref="E58">IF(B58=0,"-",SUMPRODUCT(('Medical Sales'!C3:C196="Seminole")*(LEFT('Medical Sales'!D3:D196,4)="2025")*('Medical Sales'!G3:G196&gt;=6000)*('Medical Sales'!G3:G196&lt;10000)*('Medical Sales'!U3:U196&lt;&gt;"Yes")*('Medical Sales'!G3:G196))/B58)</f>
        <v>-</v>
      </c>
      <c r="F58" s="118" cm="1">
        <f t="array" ref="F58">IFERROR(MIN(IF(('Medical Sales'!C3:C196="Seminole")*(LEFT('Medical Sales'!D3:D196,4)="2025")*('Medical Sales'!G3:G196&gt;=6000)*('Medical Sales'!G3:G196&lt;10000)*('Medical Sales'!U3:U196&lt;&gt;"Yes"),'Medical Sales'!E3:E196)),"-")</f>
        <v>0</v>
      </c>
      <c r="G58" s="118" cm="1">
        <f t="array" ref="G58">IFERROR(MAX(IF(('Medical Sales'!C3:C196="Seminole")*(LEFT('Medical Sales'!D3:D196,4)="2025")*('Medical Sales'!G3:G196&gt;=6000)*('Medical Sales'!G3:G196&lt;10000)*('Medical Sales'!U3:U196&lt;&gt;"Yes"),'Medical Sales'!E3:E196)),"-")</f>
        <v>0</v>
      </c>
      <c r="H58" s="59"/>
      <c r="I58" s="59"/>
      <c r="J58" s="59"/>
      <c r="K58" s="59"/>
      <c r="L58" s="59"/>
      <c r="M58" s="59"/>
      <c r="N58" s="59"/>
      <c r="O58" s="59"/>
    </row>
    <row r="59" spans="1:15">
      <c r="A59" s="309" t="s">
        <v>678</v>
      </c>
      <c r="B59" s="117" cm="1">
        <f t="array" ref="B59">SUMPRODUCT(('Medical Sales'!C3:C196="Osceola")*(LEFT('Medical Sales'!D3:D196,4)="2025")*('Medical Sales'!G3:G196&gt;=6000)*('Medical Sales'!G3:G196&lt;10000)*('Medical Sales'!U3:U196&lt;&gt;"Yes"))</f>
        <v>0</v>
      </c>
      <c r="C59" s="118" t="str" cm="1">
        <f t="array" ref="C59">IFERROR(MEDIAN(IF(('Medical Sales'!C3:C196="Osceola")*(LEFT('Medical Sales'!D3:D196,4)="2025")*('Medical Sales'!G3:G196&gt;=6000)*('Medical Sales'!G3:G196&lt;10000)*('Medical Sales'!U3:U196&lt;&gt;"Yes"),'Medical Sales'!E3:E196)),"-")</f>
        <v>-</v>
      </c>
      <c r="D59" s="119" t="str" cm="1">
        <f t="array" ref="D59">IFERROR(MEDIAN(IF(('Medical Sales'!C3:C196="Osceola")*(LEFT('Medical Sales'!D3:D196,4)="2025")*('Medical Sales'!G3:G196&gt;=6000)*('Medical Sales'!G3:G196&lt;10000)*('Medical Sales'!U3:U196&lt;&gt;"Yes"),'Medical Sales'!F3:F196)),"-")</f>
        <v>-</v>
      </c>
      <c r="E59" s="117" t="str" cm="1">
        <f t="array" ref="E59">IF(B59=0,"-",SUMPRODUCT(('Medical Sales'!C3:C196="Osceola")*(LEFT('Medical Sales'!D3:D196,4)="2025")*('Medical Sales'!G3:G196&gt;=6000)*('Medical Sales'!G3:G196&lt;10000)*('Medical Sales'!U3:U196&lt;&gt;"Yes")*('Medical Sales'!G3:G196))/B59)</f>
        <v>-</v>
      </c>
      <c r="F59" s="118" cm="1">
        <f t="array" ref="F59">IFERROR(MIN(IF(('Medical Sales'!C3:C196="Osceola")*(LEFT('Medical Sales'!D3:D196,4)="2025")*('Medical Sales'!G3:G196&gt;=6000)*('Medical Sales'!G3:G196&lt;10000)*('Medical Sales'!U3:U196&lt;&gt;"Yes"),'Medical Sales'!E3:E196)),"-")</f>
        <v>0</v>
      </c>
      <c r="G59" s="118" cm="1">
        <f t="array" ref="G59">IFERROR(MAX(IF(('Medical Sales'!C3:C196="Osceola")*(LEFT('Medical Sales'!D3:D196,4)="2025")*('Medical Sales'!G3:G196&gt;=6000)*('Medical Sales'!G3:G196&lt;10000)*('Medical Sales'!U3:U196&lt;&gt;"Yes"),'Medical Sales'!E3:E196)),"-")</f>
        <v>0</v>
      </c>
      <c r="H59" s="59"/>
      <c r="I59" s="59"/>
      <c r="J59" s="59"/>
      <c r="K59" s="59"/>
      <c r="L59" s="59"/>
      <c r="M59" s="59"/>
      <c r="N59" s="59"/>
      <c r="O59" s="59"/>
    </row>
    <row r="60" spans="1:15">
      <c r="A60" s="309" t="s">
        <v>184</v>
      </c>
      <c r="B60" s="117" cm="1">
        <f t="array" ref="B60">SUMPRODUCT(('Medical Sales'!C3:C196="Lake")*(LEFT('Medical Sales'!D3:D196,4)="2025")*('Medical Sales'!G3:G196&gt;=6000)*('Medical Sales'!G3:G196&lt;10000)*('Medical Sales'!U3:U196&lt;&gt;"Yes"))</f>
        <v>0</v>
      </c>
      <c r="C60" s="118" t="str" cm="1">
        <f t="array" ref="C60">IFERROR(MEDIAN(IF(('Medical Sales'!C3:C196="Lake")*(LEFT('Medical Sales'!D3:D196,4)="2025")*('Medical Sales'!G3:G196&gt;=6000)*('Medical Sales'!G3:G196&lt;10000)*('Medical Sales'!U3:U196&lt;&gt;"Yes"),'Medical Sales'!E3:E196)),"-")</f>
        <v>-</v>
      </c>
      <c r="D60" s="119" t="str" cm="1">
        <f t="array" ref="D60">IFERROR(MEDIAN(IF(('Medical Sales'!C3:C196="Lake")*(LEFT('Medical Sales'!D3:D196,4)="2025")*('Medical Sales'!G3:G196&gt;=6000)*('Medical Sales'!G3:G196&lt;10000)*('Medical Sales'!U3:U196&lt;&gt;"Yes"),'Medical Sales'!F3:F196)),"-")</f>
        <v>-</v>
      </c>
      <c r="E60" s="117" t="str" cm="1">
        <f t="array" ref="E60">IF(B60=0,"-",SUMPRODUCT(('Medical Sales'!C3:C196="Lake")*(LEFT('Medical Sales'!D3:D196,4)="2025")*('Medical Sales'!G3:G196&gt;=6000)*('Medical Sales'!G3:G196&lt;10000)*('Medical Sales'!U3:U196&lt;&gt;"Yes")*('Medical Sales'!G3:G196))/B60)</f>
        <v>-</v>
      </c>
      <c r="F60" s="118" cm="1">
        <f t="array" ref="F60">IFERROR(MIN(IF(('Medical Sales'!C3:C196="Lake")*(LEFT('Medical Sales'!D3:D196,4)="2025")*('Medical Sales'!G3:G196&gt;=6000)*('Medical Sales'!G3:G196&lt;10000)*('Medical Sales'!U3:U196&lt;&gt;"Yes"),'Medical Sales'!E3:E196)),"-")</f>
        <v>0</v>
      </c>
      <c r="G60" s="118" cm="1">
        <f t="array" ref="G60">IFERROR(MAX(IF(('Medical Sales'!C3:C196="Lake")*(LEFT('Medical Sales'!D3:D196,4)="2025")*('Medical Sales'!G3:G196&gt;=6000)*('Medical Sales'!G3:G196&lt;10000)*('Medical Sales'!U3:U196&lt;&gt;"Yes"),'Medical Sales'!E3:E196)),"-")</f>
        <v>0</v>
      </c>
      <c r="H60" s="59"/>
      <c r="I60" s="59"/>
      <c r="J60" s="59"/>
      <c r="K60" s="59"/>
      <c r="L60" s="59"/>
      <c r="M60" s="59"/>
      <c r="N60" s="59"/>
      <c r="O60" s="59"/>
    </row>
    <row r="61" spans="1:15">
      <c r="A61" s="59"/>
      <c r="B61" s="59"/>
      <c r="C61" s="59"/>
      <c r="D61" s="59"/>
      <c r="E61" s="59"/>
      <c r="F61" s="59"/>
      <c r="G61" s="59"/>
      <c r="H61" s="59"/>
      <c r="I61" s="59"/>
      <c r="J61" s="59"/>
      <c r="K61" s="59"/>
      <c r="L61" s="59"/>
      <c r="M61" s="59"/>
      <c r="N61" s="59"/>
      <c r="O61" s="59"/>
    </row>
    <row r="62" spans="1:15" ht="19">
      <c r="A62" s="87" t="s">
        <v>6265</v>
      </c>
      <c r="B62" s="87"/>
      <c r="C62" s="87"/>
      <c r="D62" s="87"/>
      <c r="E62" s="87"/>
      <c r="F62" s="87"/>
      <c r="G62" s="87"/>
      <c r="H62" s="87"/>
      <c r="I62" s="87"/>
      <c r="J62" s="87"/>
      <c r="K62" s="87"/>
      <c r="L62" s="59"/>
      <c r="M62" s="59"/>
      <c r="N62" s="59"/>
      <c r="O62" s="59"/>
    </row>
    <row r="63" spans="1:15">
      <c r="A63" s="89" t="s">
        <v>6479</v>
      </c>
      <c r="B63" s="89"/>
      <c r="C63" s="89"/>
      <c r="D63" s="109" t="s">
        <v>6480</v>
      </c>
      <c r="E63" s="109"/>
      <c r="F63" s="109"/>
      <c r="G63" s="109"/>
      <c r="H63" s="109"/>
      <c r="I63" s="109"/>
      <c r="J63" s="109"/>
      <c r="K63" s="59"/>
      <c r="L63" s="59"/>
      <c r="M63" s="59"/>
      <c r="N63" s="59"/>
      <c r="O63" s="59"/>
    </row>
    <row r="64" spans="1:15">
      <c r="A64" s="57" t="s">
        <v>6495</v>
      </c>
      <c r="B64" s="62" cm="1">
        <f t="array" ref="B64">SUMPRODUCT((LEFT('Medical Sales'!D3:D196,4)="2025")*('Medical Sales'!G3:G196&gt;=10000)*('Medical Sales'!G3:G196&gt;0)*('Medical Sales'!U3:U196&lt;&gt;"Yes"))</f>
        <v>3</v>
      </c>
      <c r="C64" s="59"/>
      <c r="D64" s="300" t="s">
        <v>6474</v>
      </c>
      <c r="E64" s="111"/>
      <c r="F64" s="111"/>
      <c r="G64" s="111"/>
      <c r="H64" s="111"/>
      <c r="I64" s="111"/>
      <c r="J64" s="111"/>
      <c r="K64" s="59"/>
      <c r="L64" s="59"/>
      <c r="M64" s="59"/>
      <c r="N64" s="59"/>
      <c r="O64" s="59"/>
    </row>
    <row r="65" spans="1:15">
      <c r="A65" s="57" t="s">
        <v>6216</v>
      </c>
      <c r="B65" s="63" cm="1">
        <f t="array" ref="B65">SUMPRODUCT((LEFT('Medical Sales'!D3:D196,4)="2025")*('Medical Sales'!G3:G196&gt;=10000)*('Medical Sales'!G3:G196&gt;0)*('Medical Sales'!U3:U196&lt;&gt;"Yes")*('Medical Sales'!E3:E196))</f>
        <v>43494697</v>
      </c>
      <c r="C65" s="59"/>
      <c r="D65" s="111"/>
      <c r="E65" s="111"/>
      <c r="F65" s="111"/>
      <c r="G65" s="111"/>
      <c r="H65" s="111"/>
      <c r="I65" s="111"/>
      <c r="J65" s="111"/>
      <c r="K65" s="59"/>
      <c r="L65" s="59"/>
      <c r="M65" s="59"/>
      <c r="N65" s="59"/>
      <c r="O65" s="59"/>
    </row>
    <row r="66" spans="1:15">
      <c r="A66" s="57" t="s">
        <v>6218</v>
      </c>
      <c r="B66" s="63" cm="1">
        <f t="array" ref="B66">IFERROR(MEDIAN(IF((LEFT('Medical Sales'!D3:D196,4)="2025")*('Medical Sales'!G3:G196&gt;=10000)*('Medical Sales'!G3:G196&gt;0)*('Medical Sales'!U3:U196&lt;&gt;"Yes"),'Medical Sales'!E3:E196)),"-")</f>
        <v>6850000</v>
      </c>
      <c r="C66" s="59"/>
      <c r="D66" s="111"/>
      <c r="E66" s="111"/>
      <c r="F66" s="111"/>
      <c r="G66" s="111"/>
      <c r="H66" s="111"/>
      <c r="I66" s="111"/>
      <c r="J66" s="111"/>
      <c r="K66" s="59"/>
      <c r="L66" s="59"/>
      <c r="M66" s="59"/>
      <c r="N66" s="59"/>
      <c r="O66" s="59"/>
    </row>
    <row r="67" spans="1:15">
      <c r="A67" s="57" t="s">
        <v>6259</v>
      </c>
      <c r="B67" s="63">
        <f>IF(B64=0,"-",B65/B64)</f>
        <v>14498232.333333334</v>
      </c>
      <c r="C67" s="59"/>
      <c r="D67" s="111"/>
      <c r="E67" s="111"/>
      <c r="F67" s="111"/>
      <c r="G67" s="111"/>
      <c r="H67" s="111"/>
      <c r="I67" s="111"/>
      <c r="J67" s="111"/>
      <c r="K67" s="59"/>
      <c r="L67" s="59"/>
      <c r="M67" s="59"/>
      <c r="N67" s="59"/>
      <c r="O67" s="59"/>
    </row>
    <row r="68" spans="1:15">
      <c r="A68" s="57" t="s">
        <v>6220</v>
      </c>
      <c r="B68" s="61" cm="1">
        <f t="array" ref="B68">IFERROR(MEDIAN(IF((LEFT('Medical Sales'!D3:D196,4)="2025")*('Medical Sales'!G3:G196&gt;=10000)*('Medical Sales'!G3:G196&gt;0)*('Medical Sales'!U3:U196&lt;&gt;"Yes"),'Medical Sales'!F3:F196)),"-")</f>
        <v>155.79158043166777</v>
      </c>
      <c r="C68" s="59"/>
      <c r="D68" s="111"/>
      <c r="E68" s="111"/>
      <c r="F68" s="111"/>
      <c r="G68" s="111"/>
      <c r="H68" s="111"/>
      <c r="I68" s="111"/>
      <c r="J68" s="111"/>
      <c r="K68" s="59"/>
      <c r="L68" s="59"/>
      <c r="M68" s="59"/>
      <c r="N68" s="59"/>
      <c r="O68" s="59"/>
    </row>
    <row r="69" spans="1:15">
      <c r="A69" s="309" t="s">
        <v>6260</v>
      </c>
      <c r="B69" s="119" cm="1">
        <f t="array" ref="B69">IF(B64=0,"-",SUMPRODUCT((LEFT('Medical Sales'!D3:D196,4)="2025")*('Medical Sales'!G3:G196&gt;=10000)*('Medical Sales'!G3:G196&gt;0)*('Medical Sales'!U3:U196&lt;&gt;"Yes")*('Medical Sales'!F3:F196))/B64)</f>
        <v>260.54423028771345</v>
      </c>
      <c r="C69" s="313"/>
      <c r="D69" s="339"/>
      <c r="E69" s="339"/>
      <c r="F69" s="339"/>
      <c r="G69" s="339"/>
      <c r="H69" s="111"/>
      <c r="I69" s="111"/>
      <c r="J69" s="111"/>
      <c r="K69" s="59"/>
      <c r="L69" s="59"/>
      <c r="M69" s="59"/>
      <c r="N69" s="59"/>
      <c r="O69" s="59"/>
    </row>
    <row r="70" spans="1:15">
      <c r="A70" s="309" t="s">
        <v>6261</v>
      </c>
      <c r="B70" s="117" cm="1">
        <f t="array" ref="B70">IF(B64=0,"-",SUMPRODUCT((LEFT('Medical Sales'!D3:D196,4)="2025")*('Medical Sales'!G3:G196&gt;=10000)*('Medical Sales'!G3:G196&gt;0)*('Medical Sales'!U3:U196&lt;&gt;"Yes")*('Medical Sales'!G3:G196))/B64)</f>
        <v>45194</v>
      </c>
      <c r="C70" s="313"/>
      <c r="D70" s="339"/>
      <c r="E70" s="339"/>
      <c r="F70" s="339"/>
      <c r="G70" s="339"/>
      <c r="H70" s="111"/>
      <c r="I70" s="111"/>
      <c r="J70" s="111"/>
      <c r="K70" s="59"/>
      <c r="L70" s="59"/>
      <c r="M70" s="59"/>
      <c r="N70" s="59"/>
      <c r="O70" s="59"/>
    </row>
    <row r="71" spans="1:15">
      <c r="A71" s="309" t="s">
        <v>6262</v>
      </c>
      <c r="B71" s="118" cm="1">
        <f t="array" ref="B71">IFERROR(MIN(IF((LEFT('Medical Sales'!D3:D196,4)="2025")*('Medical Sales'!G3:G196&gt;=10000)*('Medical Sales'!G3:G196&gt;0)*('Medical Sales'!U3:U196&lt;&gt;"Yes"),'Medical Sales'!E3:E196)),"-")</f>
        <v>3200000</v>
      </c>
      <c r="C71" s="313"/>
      <c r="D71" s="339"/>
      <c r="E71" s="339"/>
      <c r="F71" s="339"/>
      <c r="G71" s="339"/>
      <c r="H71" s="111"/>
      <c r="I71" s="111"/>
      <c r="J71" s="111"/>
      <c r="K71" s="59"/>
      <c r="L71" s="59"/>
      <c r="M71" s="59"/>
      <c r="N71" s="59"/>
      <c r="O71" s="59"/>
    </row>
    <row r="72" spans="1:15">
      <c r="A72" s="309" t="s">
        <v>6263</v>
      </c>
      <c r="B72" s="118" cm="1">
        <f t="array" ref="B72">IFERROR(MAX(IF((LEFT('Medical Sales'!D3:D196,4)="2025")*('Medical Sales'!G3:G196&gt;=10000)*('Medical Sales'!G3:G196&gt;0)*('Medical Sales'!U3:U196&lt;&gt;"Yes"),'Medical Sales'!E3:E196)),"-")</f>
        <v>33444697</v>
      </c>
      <c r="C72" s="313"/>
      <c r="D72" s="339"/>
      <c r="E72" s="339"/>
      <c r="F72" s="339"/>
      <c r="G72" s="339"/>
      <c r="H72" s="111"/>
      <c r="I72" s="111"/>
      <c r="J72" s="111"/>
      <c r="K72" s="59"/>
      <c r="L72" s="59"/>
      <c r="M72" s="59"/>
      <c r="N72" s="59"/>
      <c r="O72" s="59"/>
    </row>
    <row r="73" spans="1:15">
      <c r="A73" s="313"/>
      <c r="B73" s="313"/>
      <c r="C73" s="313"/>
      <c r="D73" s="313"/>
      <c r="E73" s="313"/>
      <c r="F73" s="313"/>
      <c r="G73" s="313"/>
      <c r="H73" s="59"/>
      <c r="I73" s="59"/>
      <c r="J73" s="59"/>
      <c r="K73" s="59"/>
      <c r="L73" s="59"/>
      <c r="M73" s="59"/>
      <c r="N73" s="59"/>
      <c r="O73" s="59"/>
    </row>
    <row r="74" spans="1:15">
      <c r="A74" s="89" t="s">
        <v>6481</v>
      </c>
      <c r="B74" s="59"/>
      <c r="C74" s="59"/>
      <c r="D74" s="59"/>
      <c r="E74" s="59"/>
      <c r="F74" s="59"/>
      <c r="G74" s="59"/>
      <c r="H74" s="59"/>
      <c r="I74" s="59"/>
      <c r="J74" s="59"/>
      <c r="K74" s="59"/>
      <c r="L74" s="59"/>
      <c r="M74" s="59"/>
      <c r="N74" s="59"/>
      <c r="O74" s="59"/>
    </row>
    <row r="75" spans="1:15">
      <c r="A75" s="90" t="s">
        <v>2</v>
      </c>
      <c r="B75" s="90" t="s">
        <v>6215</v>
      </c>
      <c r="C75" s="90" t="s">
        <v>6218</v>
      </c>
      <c r="D75" s="90" t="s">
        <v>6220</v>
      </c>
      <c r="E75" s="90" t="s">
        <v>6221</v>
      </c>
      <c r="F75" s="90" t="s">
        <v>6230</v>
      </c>
      <c r="G75" s="90" t="s">
        <v>6231</v>
      </c>
      <c r="H75" s="59"/>
      <c r="I75" s="59"/>
      <c r="J75" s="59"/>
      <c r="K75" s="59"/>
      <c r="L75" s="59"/>
      <c r="M75" s="59"/>
      <c r="N75" s="59"/>
      <c r="O75" s="59"/>
    </row>
    <row r="76" spans="1:15">
      <c r="A76" s="57" t="s">
        <v>33</v>
      </c>
      <c r="B76" s="62" cm="1">
        <f t="array" ref="B76">SUMPRODUCT(('Medical Sales'!C3:C196="Orange")*(LEFT('Medical Sales'!D3:D196,4)="2025")*('Medical Sales'!G3:G196&gt;=10000)*('Medical Sales'!G3:G196&gt;0)*('Medical Sales'!U3:U196&lt;&gt;"Yes"))</f>
        <v>3</v>
      </c>
      <c r="C76" s="63" cm="1">
        <f t="array" ref="C76">IFERROR(MEDIAN(IF(('Medical Sales'!C3:C196="Orange")*(LEFT('Medical Sales'!D3:D196,4)="2025")*('Medical Sales'!G3:G196&gt;=10000)*('Medical Sales'!G3:G196&gt;0)*('Medical Sales'!U3:U196&lt;&gt;"Yes"),'Medical Sales'!E3:E196)),"-")</f>
        <v>6850000</v>
      </c>
      <c r="D76" s="61" cm="1">
        <f t="array" ref="D76">IFERROR(MEDIAN(IF(('Medical Sales'!C3:C196="Orange")*(LEFT('Medical Sales'!D3:D196,4)="2025")*('Medical Sales'!G3:G196&gt;=10000)*('Medical Sales'!G3:G196&gt;0)*('Medical Sales'!U3:U196&lt;&gt;"Yes"),'Medical Sales'!F3:F196)),"-")</f>
        <v>155.79158043166777</v>
      </c>
      <c r="E76" s="62" cm="1">
        <f t="array" ref="E76">IF(B76=0,"-",SUMPRODUCT(('Medical Sales'!C3:C196="Orange")*(LEFT('Medical Sales'!D3:D196,4)="2025")*('Medical Sales'!G3:G196&gt;=10000)*('Medical Sales'!G3:G196&gt;0)*('Medical Sales'!U3:U196&lt;&gt;"Yes")*('Medical Sales'!G3:G196))/B76)</f>
        <v>45194</v>
      </c>
      <c r="F76" s="63" cm="1">
        <f t="array" ref="F76">IFERROR(MIN(IF(('Medical Sales'!C3:C196="Orange")*(LEFT('Medical Sales'!D3:D196,4)="2025")*('Medical Sales'!G3:G196&gt;=10000)*('Medical Sales'!G3:G196&gt;0)*('Medical Sales'!U3:U196&lt;&gt;"Yes"),'Medical Sales'!E3:E196)),"-")</f>
        <v>3200000</v>
      </c>
      <c r="G76" s="63" cm="1">
        <f t="array" ref="G76">IFERROR(MAX(IF(('Medical Sales'!C3:C196="Orange")*(LEFT('Medical Sales'!D3:D196,4)="2025")*('Medical Sales'!G3:G196&gt;=10000)*('Medical Sales'!G3:G196&gt;0)*('Medical Sales'!U3:U196&lt;&gt;"Yes"),'Medical Sales'!E3:E196)),"-")</f>
        <v>33444697</v>
      </c>
      <c r="H76" s="59"/>
      <c r="I76" s="59"/>
      <c r="J76" s="59"/>
      <c r="K76" s="59"/>
      <c r="L76" s="59"/>
      <c r="M76" s="59"/>
      <c r="N76" s="59"/>
      <c r="O76" s="59"/>
    </row>
    <row r="77" spans="1:15">
      <c r="A77" s="89" t="s">
        <v>6269</v>
      </c>
      <c r="B77" s="62" cm="1">
        <f t="array" ref="B77">SUMPRODUCT(('Medical Sales'!C3:C196="Seminole")*(LEFT('Medical Sales'!D3:D196,4)="2025")*('Medical Sales'!G3:G196&gt;=10000)*('Medical Sales'!G3:G196&gt;0)*('Medical Sales'!U3:U196&lt;&gt;"Yes"))</f>
        <v>0</v>
      </c>
      <c r="C77" s="63" t="str" cm="1">
        <f t="array" ref="C77">IFERROR(MEDIAN(IF(('Medical Sales'!C3:C196="Seminole")*(LEFT('Medical Sales'!D3:D196,4)="2025")*('Medical Sales'!G3:G196&gt;=10000)*('Medical Sales'!G3:G196&gt;0)*('Medical Sales'!U3:U196&lt;&gt;"Yes"),'Medical Sales'!E3:E196)),"-")</f>
        <v>-</v>
      </c>
      <c r="D77" s="61" t="str" cm="1">
        <f t="array" ref="D77">IFERROR(MEDIAN(IF(('Medical Sales'!C3:C196="Seminole")*(LEFT('Medical Sales'!D3:D196,4)="2025")*('Medical Sales'!G3:G196&gt;=10000)*('Medical Sales'!G3:G196&gt;0)*('Medical Sales'!U3:U196&lt;&gt;"Yes"),'Medical Sales'!F3:F196)),"-")</f>
        <v>-</v>
      </c>
      <c r="E77" s="62" t="str" cm="1">
        <f t="array" ref="E77">IF(B77=0,"-",SUMPRODUCT(('Medical Sales'!C3:C196="Seminole")*(LEFT('Medical Sales'!D3:D196,4)="2025")*('Medical Sales'!G3:G196&gt;=10000)*('Medical Sales'!G3:G196&gt;0)*('Medical Sales'!U3:U196&lt;&gt;"Yes")*('Medical Sales'!G3:G196))/B77)</f>
        <v>-</v>
      </c>
      <c r="F77" s="63" cm="1">
        <f t="array" ref="F77">IFERROR(MIN(IF(('Medical Sales'!C3:C196="Seminole")*(LEFT('Medical Sales'!D3:D196,4)="2025")*('Medical Sales'!G3:G196&gt;=10000)*('Medical Sales'!G3:G196&gt;0)*('Medical Sales'!U3:U196&lt;&gt;"Yes"),'Medical Sales'!E3:E196)),"-")</f>
        <v>0</v>
      </c>
      <c r="G77" s="63" cm="1">
        <f t="array" ref="G77">IFERROR(MAX(IF(('Medical Sales'!C3:C196="Seminole")*(LEFT('Medical Sales'!D3:D196,4)="2025")*('Medical Sales'!G3:G196&gt;=10000)*('Medical Sales'!G3:G196&gt;0)*('Medical Sales'!U3:U196&lt;&gt;"Yes"),'Medical Sales'!E3:E196)),"-")</f>
        <v>0</v>
      </c>
      <c r="H77" s="59"/>
      <c r="I77" s="59"/>
      <c r="J77" s="59"/>
      <c r="K77" s="59"/>
      <c r="L77" s="59"/>
      <c r="M77" s="59"/>
      <c r="N77" s="59"/>
      <c r="O77" s="59"/>
    </row>
    <row r="78" spans="1:15">
      <c r="A78" s="312" t="s">
        <v>6214</v>
      </c>
      <c r="B78" s="340" t="s">
        <v>6215</v>
      </c>
      <c r="C78" s="341" t="s">
        <v>6216</v>
      </c>
      <c r="D78" s="342" t="s">
        <v>6218</v>
      </c>
      <c r="E78" s="340" t="s">
        <v>6220</v>
      </c>
      <c r="F78" s="341" t="s">
        <v>6221</v>
      </c>
      <c r="G78" s="341" t="s">
        <v>6231</v>
      </c>
      <c r="H78" s="59"/>
      <c r="I78" s="59"/>
      <c r="J78" s="59"/>
      <c r="K78" s="59"/>
      <c r="L78" s="59"/>
      <c r="M78" s="59"/>
      <c r="N78" s="59"/>
      <c r="O78" s="59"/>
    </row>
    <row r="79" spans="1:15">
      <c r="A79" s="309" t="s">
        <v>26</v>
      </c>
      <c r="B79" s="117" cm="1">
        <f t="array" ref="B79">SUMPRODUCT(('Medical Sales'!N3:N196="Medical")*(LEFT('Medical Sales'!D3:D196,4)="2025")*('Medical Sales'!G3:G196&gt;=10000)*('Medical Sales'!U3:U196&lt;&gt;"Yes"))</f>
        <v>1</v>
      </c>
      <c r="C79" s="118" cm="1">
        <f t="array" ref="C79">SUMPRODUCT(('Medical Sales'!N3:N196="Medical")*(LEFT('Medical Sales'!D3:D196,4)="2025")*('Medical Sales'!G3:G196&gt;=10000)*('Medical Sales'!U3:U196&lt;&gt;"Yes")*('Medical Sales'!E3:E196))</f>
        <v>3200000</v>
      </c>
      <c r="D79" s="118" cm="1">
        <f t="array" ref="D79">IFERROR(MEDIAN(IF(('Medical Sales'!N3:N196="Medical")*(LEFT('Medical Sales'!D3:D196,4)="2025")*('Medical Sales'!G3:G196&gt;=10000)*('Medical Sales'!U3:U196&lt;&gt;"Yes"),'Medical Sales'!E3:E196)),"-")</f>
        <v>3200000</v>
      </c>
      <c r="E79" s="119" cm="1">
        <f t="array" ref="E79">IFERROR(MEDIAN(IF(('Medical Sales'!N3:N196="Medical")*(LEFT('Medical Sales'!D3:D196,4)="2025")*('Medical Sales'!G3:G196&gt;=10000)*('Medical Sales'!U3:U196&lt;&gt;"Yes"),'Medical Sales'!F3:F196)),"-")</f>
        <v>147.50622291877937</v>
      </c>
      <c r="F79" s="117" cm="1">
        <f t="array" ref="F79">IF(B79=0,"-",SUMPRODUCT(('Medical Sales'!N3:N196="Medical")*(LEFT('Medical Sales'!D3:D196,4)="2025")*('Medical Sales'!G3:G196&gt;=10000)*('Medical Sales'!U3:U196&lt;&gt;"Yes")*('Medical Sales'!G3:G196))/B79)</f>
        <v>21694</v>
      </c>
      <c r="G79" s="118" cm="1">
        <f t="array" ref="G79">IFERROR(MAX(IF(('Medical Sales'!N3:N196="Medical")*(LEFT('Medical Sales'!D3:D196,4)="2025")*('Medical Sales'!G3:G196&gt;=10000)*('Medical Sales'!U3:U196&lt;&gt;"Yes"),'Medical Sales'!E3:E196)),"-")</f>
        <v>3200000</v>
      </c>
      <c r="H79" s="59"/>
      <c r="I79" s="59"/>
      <c r="J79" s="59"/>
      <c r="K79" s="59"/>
      <c r="L79" s="59"/>
      <c r="M79" s="59"/>
      <c r="N79" s="59"/>
      <c r="O79" s="59"/>
    </row>
    <row r="80" spans="1:15">
      <c r="A80" s="309" t="s">
        <v>1519</v>
      </c>
      <c r="B80" s="117" cm="1">
        <f t="array" ref="B80">SUMPRODUCT(('Medical Sales'!N3:N196="Multi-Tenant Medical")*(LEFT('Medical Sales'!D3:D196,4)="2025")*('Medical Sales'!G3:G196&gt;=10000)*('Medical Sales'!U3:U196&lt;&gt;"Yes"))</f>
        <v>1</v>
      </c>
      <c r="C80" s="118" cm="1">
        <f t="array" ref="C80">SUMPRODUCT(('Medical Sales'!N3:N196="Multi-Tenant Medical")*(LEFT('Medical Sales'!D3:D196,4)="2025")*('Medical Sales'!G3:G196&gt;=10000)*('Medical Sales'!U3:U196&lt;&gt;"Yes")*('Medical Sales'!E3:E196))</f>
        <v>6850000</v>
      </c>
      <c r="D80" s="118" cm="1">
        <f t="array" ref="D80">IFERROR(MEDIAN(IF(('Medical Sales'!N3:N196="Multi-Tenant Medical")*(LEFT('Medical Sales'!D3:D196,4)="2025")*('Medical Sales'!G3:G196&gt;=10000)*('Medical Sales'!U3:U196&lt;&gt;"Yes"),'Medical Sales'!E3:E196)),"-")</f>
        <v>6850000</v>
      </c>
      <c r="E80" s="119" cm="1">
        <f t="array" ref="E80">IFERROR(MEDIAN(IF(('Medical Sales'!N3:N196="Multi-Tenant Medical")*(LEFT('Medical Sales'!D3:D196,4)="2025")*('Medical Sales'!G3:G196&gt;=10000)*('Medical Sales'!U3:U196&lt;&gt;"Yes"),'Medical Sales'!F3:F196)),"-")</f>
        <v>155.79158043166777</v>
      </c>
      <c r="F80" s="117" cm="1">
        <f t="array" ref="F80">IF(B80=0,"-",SUMPRODUCT(('Medical Sales'!N3:N196="Multi-Tenant Medical")*(LEFT('Medical Sales'!D3:D196,4)="2025")*('Medical Sales'!G3:G196&gt;=10000)*('Medical Sales'!U3:U196&lt;&gt;"Yes")*('Medical Sales'!G3:G196))/B80)</f>
        <v>43969</v>
      </c>
      <c r="G80" s="118" cm="1">
        <f t="array" ref="G80">IFERROR(MAX(IF(('Medical Sales'!N3:N196="Multi-Tenant Medical")*(LEFT('Medical Sales'!D3:D196,4)="2025")*('Medical Sales'!G3:G196&gt;=10000)*('Medical Sales'!U3:U196&lt;&gt;"Yes"),'Medical Sales'!E3:E196)),"-")</f>
        <v>6850000</v>
      </c>
      <c r="H80" s="59"/>
      <c r="I80" s="59"/>
      <c r="J80" s="59"/>
      <c r="K80" s="59"/>
      <c r="L80" s="59"/>
      <c r="M80" s="59"/>
      <c r="N80" s="59"/>
      <c r="O80" s="59"/>
    </row>
    <row r="81" spans="1:15">
      <c r="A81" s="309" t="s">
        <v>6212</v>
      </c>
      <c r="B81" s="117" cm="1">
        <f t="array" ref="B81">SUMPRODUCT(('Medical Sales'!N3:N196="Hospitals")*(LEFT('Medical Sales'!D3:D196,4)="2025")*('Medical Sales'!G3:G196&gt;=10000)*('Medical Sales'!U3:U196&lt;&gt;"Yes"))</f>
        <v>1</v>
      </c>
      <c r="C81" s="118" cm="1">
        <f t="array" ref="C81">SUMPRODUCT(('Medical Sales'!N3:N196="Hospitals")*(LEFT('Medical Sales'!D3:D196,4)="2025")*('Medical Sales'!G3:G196&gt;=10000)*('Medical Sales'!U3:U196&lt;&gt;"Yes")*('Medical Sales'!E3:E196))</f>
        <v>33444697</v>
      </c>
      <c r="D81" s="118" cm="1">
        <f t="array" ref="D81">IFERROR(MEDIAN(IF(('Medical Sales'!N3:N196="Hospitals")*(LEFT('Medical Sales'!D3:D196,4)="2025")*('Medical Sales'!G3:G196&gt;=10000)*('Medical Sales'!U3:U196&lt;&gt;"Yes"),'Medical Sales'!E3:E196)),"-")</f>
        <v>33444697</v>
      </c>
      <c r="E81" s="119" cm="1">
        <f t="array" ref="E81">IFERROR(MEDIAN(IF(('Medical Sales'!N3:N196="Hospitals")*(LEFT('Medical Sales'!D3:D196,4)="2025")*('Medical Sales'!G3:G196&gt;=10000)*('Medical Sales'!U3:U196&lt;&gt;"Yes"),'Medical Sales'!F3:F196)),"-")</f>
        <v>478.33488751269329</v>
      </c>
      <c r="F81" s="117" cm="1">
        <f t="array" ref="F81">IF(B81=0,"-",SUMPRODUCT(('Medical Sales'!N3:N196="Hospitals")*(LEFT('Medical Sales'!D3:D196,4)="2025")*('Medical Sales'!G3:G196&gt;=10000)*('Medical Sales'!U3:U196&lt;&gt;"Yes")*('Medical Sales'!G3:G196))/B81)</f>
        <v>69919</v>
      </c>
      <c r="G81" s="118" cm="1">
        <f t="array" ref="G81">IFERROR(MAX(IF(('Medical Sales'!N3:N196="Hospitals")*(LEFT('Medical Sales'!D3:D196,4)="2025")*('Medical Sales'!G3:G196&gt;=10000)*('Medical Sales'!U3:U196&lt;&gt;"Yes"),'Medical Sales'!E3:E196)),"-")</f>
        <v>33444697</v>
      </c>
      <c r="H81" s="59"/>
      <c r="I81" s="59"/>
      <c r="J81" s="59"/>
      <c r="K81" s="59"/>
      <c r="L81" s="59"/>
      <c r="M81" s="59"/>
      <c r="N81" s="59"/>
      <c r="O81" s="59"/>
    </row>
    <row r="82" spans="1:15">
      <c r="A82" s="59"/>
      <c r="B82" s="59"/>
      <c r="C82" s="59"/>
      <c r="D82" s="59"/>
      <c r="E82" s="59"/>
      <c r="F82" s="59"/>
      <c r="G82" s="59"/>
      <c r="H82" s="59"/>
      <c r="I82" s="59"/>
      <c r="J82" s="59"/>
      <c r="K82" s="59"/>
      <c r="L82" s="59"/>
      <c r="M82" s="59"/>
      <c r="N82" s="59"/>
      <c r="O82" s="59"/>
    </row>
    <row r="83" spans="1:15">
      <c r="A83" s="59"/>
      <c r="B83" s="59"/>
      <c r="C83" s="59"/>
      <c r="D83" s="59"/>
      <c r="E83" s="59"/>
      <c r="F83" s="59"/>
      <c r="G83" s="59"/>
      <c r="H83" s="59"/>
      <c r="I83" s="59"/>
      <c r="J83" s="59"/>
      <c r="K83" s="59"/>
      <c r="L83" s="59"/>
      <c r="M83" s="59"/>
      <c r="N83" s="59"/>
      <c r="O83" s="59"/>
    </row>
    <row r="84" spans="1:15" ht="19">
      <c r="A84" s="55" t="s">
        <v>6496</v>
      </c>
      <c r="B84" s="55"/>
      <c r="C84" s="55"/>
      <c r="D84" s="55"/>
      <c r="E84" s="55"/>
      <c r="F84" s="55"/>
      <c r="G84" s="55"/>
      <c r="H84" s="55"/>
      <c r="I84" s="55"/>
      <c r="J84" s="55"/>
      <c r="K84" s="55"/>
      <c r="L84" s="59"/>
      <c r="M84" s="59"/>
      <c r="N84" s="59"/>
      <c r="O84" s="59"/>
    </row>
    <row r="85" spans="1:15">
      <c r="A85" s="270" t="s">
        <v>6488</v>
      </c>
      <c r="B85" s="59"/>
      <c r="C85" s="59"/>
      <c r="D85" s="59"/>
      <c r="E85" s="59"/>
      <c r="F85" s="59"/>
      <c r="G85" s="59"/>
      <c r="H85" s="59"/>
      <c r="I85" s="59"/>
      <c r="J85" s="59"/>
      <c r="K85" s="59"/>
      <c r="L85" s="59"/>
      <c r="M85" s="59"/>
      <c r="N85" s="59"/>
      <c r="O85" s="59"/>
    </row>
    <row r="86" spans="1:15">
      <c r="A86" s="305" t="s">
        <v>6356</v>
      </c>
      <c r="B86" s="305" t="s">
        <v>6215</v>
      </c>
      <c r="C86" s="305" t="s">
        <v>6218</v>
      </c>
      <c r="D86" s="305" t="s">
        <v>6220</v>
      </c>
      <c r="E86" s="305" t="s">
        <v>6221</v>
      </c>
      <c r="F86" s="305" t="s">
        <v>6217</v>
      </c>
      <c r="G86" s="59"/>
      <c r="H86" s="59"/>
      <c r="I86" s="59"/>
      <c r="J86" s="59"/>
      <c r="K86" s="59"/>
      <c r="L86" s="59"/>
      <c r="M86" s="59"/>
      <c r="N86" s="59"/>
      <c r="O86" s="59"/>
    </row>
    <row r="87" spans="1:15">
      <c r="A87" s="309" t="s">
        <v>6483</v>
      </c>
      <c r="B87" s="117" cm="1">
        <f t="array" ref="B87">SUMPRODUCT((LEFT('Medical Sales'!D3:D196,4)="2025")*('Medical Sales'!T3:T196="New")*('Medical Sales'!U3:U196&lt;&gt;"Yes"))</f>
        <v>3</v>
      </c>
      <c r="C87" s="118" cm="1">
        <f t="array" ref="C87">IFERROR(MEDIAN(IF((LEFT('Medical Sales'!D3:D196,4)="2025")*('Medical Sales'!T3:T196="New")*('Medical Sales'!U3:U196&lt;&gt;"Yes"),'Medical Sales'!E3:E196)),"-")</f>
        <v>3473802</v>
      </c>
      <c r="D87" s="119" cm="1">
        <f t="array" ref="D87">IFERROR(MEDIAN(IF((LEFT('Medical Sales'!D3:D196,4)="2025")*('Medical Sales'!T3:T196="New")*('Medical Sales'!U3:U196&lt;&gt;"Yes"),'Medical Sales'!F3:F196)),"-")</f>
        <v>478.33488751269329</v>
      </c>
      <c r="E87" s="117" cm="1">
        <f t="array" ref="E87">IF(B87=0,"-",SUMPRODUCT((LEFT('Medical Sales'!D3:D196,4)="2025")*('Medical Sales'!T3:T196="New")*('Medical Sales'!U3:U196&lt;&gt;"Yes")*('Medical Sales'!G3:G196))/B87)</f>
        <v>26605</v>
      </c>
      <c r="F87" s="118" cm="1">
        <f t="array" ref="F87">IF(B87=0,"-",SUMPRODUCT((LEFT('Medical Sales'!D3:D196,4)="2025")*('Medical Sales'!T3:T196="New")*('Medical Sales'!U3:U196&lt;&gt;"Yes")*('Medical Sales'!E3:E196))/B87)</f>
        <v>12583133</v>
      </c>
      <c r="G87" s="59"/>
      <c r="H87" s="59"/>
      <c r="I87" s="59"/>
      <c r="J87" s="59"/>
      <c r="K87" s="59"/>
      <c r="L87" s="59"/>
      <c r="M87" s="59"/>
      <c r="N87" s="59"/>
      <c r="O87" s="59"/>
    </row>
    <row r="88" spans="1:15">
      <c r="A88" s="309" t="s">
        <v>6484</v>
      </c>
      <c r="B88" s="117" cm="1">
        <f t="array" ref="B88">SUMPRODUCT((LEFT('Medical Sales'!D3:D196,4)="2025")*('Medical Sales'!T3:T196="Normal")*('Medical Sales'!U3:U196&lt;&gt;"Yes"))</f>
        <v>1</v>
      </c>
      <c r="C88" s="118" cm="1">
        <f t="array" ref="C88">IFERROR(MEDIAN(IF((LEFT('Medical Sales'!D3:D196,4)="2025")*('Medical Sales'!T3:T196="Normal")*('Medical Sales'!U3:U196&lt;&gt;"Yes"),'Medical Sales'!E3:E196)),"-")</f>
        <v>6850000</v>
      </c>
      <c r="D88" s="119" cm="1">
        <f t="array" ref="D88">IFERROR(MEDIAN(IF((LEFT('Medical Sales'!D3:D196,4)="2025")*('Medical Sales'!T3:T196="Normal")*('Medical Sales'!U3:U196&lt;&gt;"Yes"),'Medical Sales'!F3:F196)),"-")</f>
        <v>155.79158043166777</v>
      </c>
      <c r="E88" s="117" cm="1">
        <f t="array" ref="E88">IF(B88=0,"-",SUMPRODUCT((LEFT('Medical Sales'!D3:D196,4)="2025")*('Medical Sales'!T3:T196="Normal")*('Medical Sales'!U3:U196&lt;&gt;"Yes")*('Medical Sales'!G3:G196))/B88)</f>
        <v>43969</v>
      </c>
      <c r="F88" s="118" cm="1">
        <f t="array" ref="F88">IF(B88=0,"-",SUMPRODUCT((LEFT('Medical Sales'!D3:D196,4)="2025")*('Medical Sales'!T3:T196="Normal")*('Medical Sales'!U3:U196&lt;&gt;"Yes")*('Medical Sales'!E3:E196))/B88)</f>
        <v>6850000</v>
      </c>
      <c r="G88" s="59"/>
      <c r="H88" s="59"/>
      <c r="I88" s="59"/>
      <c r="J88" s="59"/>
      <c r="K88" s="59"/>
      <c r="L88" s="59"/>
      <c r="M88" s="59"/>
      <c r="N88" s="59"/>
      <c r="O88" s="59"/>
    </row>
    <row r="89" spans="1:15">
      <c r="A89" s="309" t="s">
        <v>6485</v>
      </c>
      <c r="B89" s="117" cm="1">
        <f t="array" ref="B89">SUMPRODUCT((LEFT('Medical Sales'!D3:D196,4)="2025")*('Medical Sales'!T3:T196="Old")*('Medical Sales'!U3:U196&lt;&gt;"Yes"))</f>
        <v>3</v>
      </c>
      <c r="C89" s="118" cm="1">
        <f t="array" ref="C89">IFERROR(MEDIAN(IF((LEFT('Medical Sales'!D3:D196,4)="2025")*('Medical Sales'!T3:T196="Old")*('Medical Sales'!U3:U196&lt;&gt;"Yes"),'Medical Sales'!E3:E196)),"-")</f>
        <v>3200000</v>
      </c>
      <c r="D89" s="119" cm="1">
        <f t="array" ref="D89">IFERROR(MEDIAN(IF((LEFT('Medical Sales'!D3:D196,4)="2025")*('Medical Sales'!T3:T196="Old")*('Medical Sales'!U3:U196&lt;&gt;"Yes"),'Medical Sales'!F3:F196)),"-")</f>
        <v>893.85474860335194</v>
      </c>
      <c r="E89" s="117" cm="1">
        <f t="array" ref="E89">IF(B89=0,"-",SUMPRODUCT((LEFT('Medical Sales'!D3:D196,4)="2025")*('Medical Sales'!T3:T196="Old")*('Medical Sales'!U3:U196&lt;&gt;"Yes")*('Medical Sales'!G3:G196))/B89)</f>
        <v>9091.3333333333339</v>
      </c>
      <c r="F89" s="118" cm="1">
        <f t="array" ref="F89">IF(B89=0,"-",SUMPRODUCT((LEFT('Medical Sales'!D3:D196,4)="2025")*('Medical Sales'!T3:T196="Old")*('Medical Sales'!U3:U196&lt;&gt;"Yes")*('Medical Sales'!E3:E196))/B89)</f>
        <v>2832466.6666666665</v>
      </c>
      <c r="G89" s="59"/>
      <c r="H89" s="59"/>
      <c r="I89" s="59"/>
      <c r="J89" s="59"/>
      <c r="K89" s="59"/>
      <c r="L89" s="59"/>
      <c r="M89" s="59"/>
      <c r="N89" s="59"/>
      <c r="O89" s="59"/>
    </row>
    <row r="90" spans="1:15">
      <c r="A90" s="336" t="s">
        <v>6486</v>
      </c>
      <c r="B90" s="59"/>
      <c r="C90" s="59"/>
      <c r="D90" s="59"/>
      <c r="E90" s="59"/>
      <c r="F90" s="59"/>
      <c r="G90" s="59"/>
      <c r="H90" s="59"/>
      <c r="I90" s="59"/>
      <c r="J90" s="59"/>
      <c r="K90" s="59"/>
      <c r="L90" s="59"/>
      <c r="M90" s="59"/>
      <c r="N90" s="59"/>
      <c r="O90" s="59"/>
    </row>
    <row r="91" spans="1:15">
      <c r="A91" s="59"/>
      <c r="B91" s="59"/>
      <c r="C91" s="59"/>
      <c r="D91" s="59"/>
      <c r="E91" s="59"/>
      <c r="F91" s="59"/>
      <c r="G91" s="59"/>
      <c r="H91" s="59"/>
      <c r="I91" s="59"/>
      <c r="J91" s="59"/>
      <c r="K91" s="59"/>
      <c r="L91" s="59"/>
      <c r="M91" s="59"/>
      <c r="N91" s="59"/>
      <c r="O91" s="59"/>
    </row>
    <row r="92" spans="1:15" ht="19">
      <c r="A92" s="55" t="s">
        <v>6497</v>
      </c>
      <c r="B92" s="55"/>
      <c r="C92" s="55"/>
      <c r="D92" s="55"/>
      <c r="E92" s="55"/>
      <c r="F92" s="55"/>
      <c r="G92" s="55"/>
      <c r="H92" s="55"/>
      <c r="I92" s="55"/>
      <c r="J92" s="55"/>
      <c r="K92" s="55"/>
      <c r="L92" s="55"/>
      <c r="M92" s="55"/>
      <c r="N92" s="59"/>
      <c r="O92" s="59"/>
    </row>
    <row r="93" spans="1:15">
      <c r="A93" s="305" t="s">
        <v>6271</v>
      </c>
      <c r="B93" s="305" t="s">
        <v>2</v>
      </c>
      <c r="C93" s="305" t="s">
        <v>6272</v>
      </c>
      <c r="D93" s="305" t="s">
        <v>4</v>
      </c>
      <c r="E93" s="305" t="s">
        <v>5</v>
      </c>
      <c r="F93" s="305" t="s">
        <v>6273</v>
      </c>
      <c r="G93" s="305" t="s">
        <v>6214</v>
      </c>
      <c r="H93" s="305" t="s">
        <v>15</v>
      </c>
      <c r="I93" s="305" t="s">
        <v>6274</v>
      </c>
      <c r="J93" s="305" t="s">
        <v>6199</v>
      </c>
      <c r="K93" s="305" t="s">
        <v>6317</v>
      </c>
      <c r="L93" s="305" t="s">
        <v>6319</v>
      </c>
      <c r="M93" s="305" t="s">
        <v>6522</v>
      </c>
      <c r="N93" s="59"/>
      <c r="O93" s="59"/>
    </row>
    <row r="94" spans="1:15">
      <c r="A94" s="313" t="s">
        <v>2383</v>
      </c>
      <c r="B94" s="130" t="s">
        <v>33</v>
      </c>
      <c r="C94" s="130" t="s">
        <v>745</v>
      </c>
      <c r="D94" s="118">
        <v>830900</v>
      </c>
      <c r="E94" s="119">
        <v>136.213114754098</v>
      </c>
      <c r="F94" s="117">
        <v>6100</v>
      </c>
      <c r="G94" s="130" t="s">
        <v>26</v>
      </c>
      <c r="H94" s="130" t="s">
        <v>2386</v>
      </c>
      <c r="I94" s="131">
        <v>2024</v>
      </c>
      <c r="J94" s="130" t="s">
        <v>6277</v>
      </c>
      <c r="K94" s="130" t="s">
        <v>6318</v>
      </c>
      <c r="L94" s="59" t="s">
        <v>6525</v>
      </c>
      <c r="M94" s="26" t="s">
        <v>6563</v>
      </c>
      <c r="N94" s="59"/>
      <c r="O94" s="59"/>
    </row>
    <row r="95" spans="1:15">
      <c r="A95" s="314" t="s">
        <v>481</v>
      </c>
      <c r="B95" s="125" t="s">
        <v>33</v>
      </c>
      <c r="C95" s="125" t="s">
        <v>260</v>
      </c>
      <c r="D95" s="126">
        <v>3200000</v>
      </c>
      <c r="E95" s="127">
        <v>147.506222918779</v>
      </c>
      <c r="F95" s="128">
        <v>21694</v>
      </c>
      <c r="G95" s="125" t="s">
        <v>26</v>
      </c>
      <c r="H95" s="125" t="s">
        <v>486</v>
      </c>
      <c r="I95" s="129">
        <v>1978</v>
      </c>
      <c r="J95" s="125" t="s">
        <v>6275</v>
      </c>
      <c r="K95" s="125" t="s">
        <v>6318</v>
      </c>
      <c r="L95" s="59" t="s">
        <v>6523</v>
      </c>
      <c r="M95" s="26" t="s">
        <v>6524</v>
      </c>
      <c r="N95" s="59"/>
      <c r="O95" s="59"/>
    </row>
    <row r="96" spans="1:15">
      <c r="A96" s="314" t="s">
        <v>98</v>
      </c>
      <c r="B96" s="125" t="s">
        <v>33</v>
      </c>
      <c r="C96" s="125" t="s">
        <v>55</v>
      </c>
      <c r="D96" s="126">
        <v>6850000</v>
      </c>
      <c r="E96" s="127">
        <v>155.791580431668</v>
      </c>
      <c r="F96" s="128">
        <v>43969</v>
      </c>
      <c r="G96" s="125" t="s">
        <v>1519</v>
      </c>
      <c r="H96" s="125" t="s">
        <v>104</v>
      </c>
      <c r="I96" s="129">
        <v>2008</v>
      </c>
      <c r="J96" s="125" t="s">
        <v>6276</v>
      </c>
      <c r="K96" s="125" t="s">
        <v>6318</v>
      </c>
      <c r="L96" s="59" t="s">
        <v>6526</v>
      </c>
      <c r="M96" s="26" t="s">
        <v>6564</v>
      </c>
      <c r="N96" s="59"/>
      <c r="O96" s="59"/>
    </row>
    <row r="97" spans="1:15">
      <c r="A97" s="313" t="s">
        <v>1343</v>
      </c>
      <c r="B97" s="130" t="s">
        <v>20</v>
      </c>
      <c r="C97" s="130" t="s">
        <v>658</v>
      </c>
      <c r="D97" s="118">
        <v>514200</v>
      </c>
      <c r="E97" s="119">
        <v>205.68</v>
      </c>
      <c r="F97" s="117">
        <v>2500</v>
      </c>
      <c r="G97" s="130" t="s">
        <v>26</v>
      </c>
      <c r="H97" s="130" t="s">
        <v>1346</v>
      </c>
      <c r="I97" s="131">
        <v>1993</v>
      </c>
      <c r="J97" s="130" t="s">
        <v>6275</v>
      </c>
      <c r="K97" s="130"/>
      <c r="L97" s="59"/>
      <c r="M97" s="59"/>
      <c r="N97" s="59"/>
      <c r="O97" s="59"/>
    </row>
    <row r="98" spans="1:15" ht="64">
      <c r="A98" s="313" t="s">
        <v>1318</v>
      </c>
      <c r="B98" s="130" t="s">
        <v>20</v>
      </c>
      <c r="C98" s="130" t="s">
        <v>779</v>
      </c>
      <c r="D98" s="118">
        <v>2000000</v>
      </c>
      <c r="E98" s="119">
        <v>244.85798237022499</v>
      </c>
      <c r="F98" s="117">
        <v>8168</v>
      </c>
      <c r="G98" s="130" t="s">
        <v>26</v>
      </c>
      <c r="H98" s="255" t="s">
        <v>1322</v>
      </c>
      <c r="I98" s="131">
        <v>1999</v>
      </c>
      <c r="J98" s="130" t="s">
        <v>6275</v>
      </c>
      <c r="K98" s="130"/>
      <c r="L98" s="59"/>
      <c r="M98" s="59"/>
      <c r="N98" s="59"/>
      <c r="O98" s="59"/>
    </row>
    <row r="99" spans="1:15">
      <c r="A99" s="314" t="s">
        <v>1497</v>
      </c>
      <c r="B99" s="125" t="s">
        <v>20</v>
      </c>
      <c r="C99" s="125" t="s">
        <v>73</v>
      </c>
      <c r="D99" s="126">
        <v>500000</v>
      </c>
      <c r="E99" s="127">
        <v>271.29679869777499</v>
      </c>
      <c r="F99" s="128">
        <v>1843</v>
      </c>
      <c r="G99" s="125" t="s">
        <v>26</v>
      </c>
      <c r="H99" s="125" t="s">
        <v>1501</v>
      </c>
      <c r="I99" s="129">
        <v>1922</v>
      </c>
      <c r="J99" s="125" t="s">
        <v>6275</v>
      </c>
      <c r="K99" s="125"/>
      <c r="L99" s="59"/>
      <c r="M99" s="59"/>
      <c r="N99" s="59"/>
      <c r="O99" s="59"/>
    </row>
    <row r="100" spans="1:15">
      <c r="A100" s="314" t="s">
        <v>714</v>
      </c>
      <c r="B100" s="125" t="s">
        <v>678</v>
      </c>
      <c r="C100" s="125" t="s">
        <v>81</v>
      </c>
      <c r="D100" s="126">
        <v>1800000</v>
      </c>
      <c r="E100" s="127">
        <v>300</v>
      </c>
      <c r="F100" s="128">
        <v>6000</v>
      </c>
      <c r="G100" s="125" t="s">
        <v>26</v>
      </c>
      <c r="H100" s="125" t="s">
        <v>718</v>
      </c>
      <c r="I100" s="129">
        <v>1987</v>
      </c>
      <c r="J100" s="125" t="s">
        <v>6275</v>
      </c>
      <c r="K100" s="125"/>
      <c r="L100" s="59"/>
      <c r="M100" s="59"/>
      <c r="N100" s="59"/>
      <c r="O100" s="59"/>
    </row>
    <row r="101" spans="1:15">
      <c r="A101" s="314" t="s">
        <v>604</v>
      </c>
      <c r="B101" s="125" t="s">
        <v>33</v>
      </c>
      <c r="C101" s="125" t="s">
        <v>73</v>
      </c>
      <c r="D101" s="126">
        <v>1550000</v>
      </c>
      <c r="E101" s="127">
        <v>317.75317753177501</v>
      </c>
      <c r="F101" s="128">
        <v>4878</v>
      </c>
      <c r="G101" s="125" t="s">
        <v>26</v>
      </c>
      <c r="H101" s="125" t="s">
        <v>607</v>
      </c>
      <c r="I101" s="129">
        <v>1960</v>
      </c>
      <c r="J101" s="125" t="s">
        <v>6275</v>
      </c>
      <c r="K101" s="125"/>
      <c r="L101" s="59"/>
      <c r="M101" s="59"/>
      <c r="N101" s="59"/>
      <c r="O101" s="59"/>
    </row>
    <row r="102" spans="1:15">
      <c r="A102" s="314" t="s">
        <v>1377</v>
      </c>
      <c r="B102" s="125" t="s">
        <v>20</v>
      </c>
      <c r="C102" s="125" t="s">
        <v>779</v>
      </c>
      <c r="D102" s="126">
        <v>825000</v>
      </c>
      <c r="E102" s="127">
        <v>320.51282051281999</v>
      </c>
      <c r="F102" s="128">
        <v>2574</v>
      </c>
      <c r="G102" s="125" t="s">
        <v>26</v>
      </c>
      <c r="H102" s="125"/>
      <c r="I102" s="129">
        <v>2004</v>
      </c>
      <c r="J102" s="125" t="s">
        <v>6276</v>
      </c>
      <c r="K102" s="125"/>
      <c r="L102" s="59"/>
      <c r="M102" s="59"/>
      <c r="N102" s="59"/>
      <c r="O102" s="59"/>
    </row>
    <row r="103" spans="1:15">
      <c r="A103" s="313" t="s">
        <v>744</v>
      </c>
      <c r="B103" s="130" t="s">
        <v>678</v>
      </c>
      <c r="C103" s="130" t="s">
        <v>745</v>
      </c>
      <c r="D103" s="118">
        <v>2310000</v>
      </c>
      <c r="E103" s="119">
        <v>320.83333333333297</v>
      </c>
      <c r="F103" s="117">
        <v>7200</v>
      </c>
      <c r="G103" s="130" t="s">
        <v>26</v>
      </c>
      <c r="H103" s="130" t="s">
        <v>749</v>
      </c>
      <c r="I103" s="131">
        <v>1999</v>
      </c>
      <c r="J103" s="130" t="s">
        <v>6275</v>
      </c>
      <c r="K103" s="130"/>
      <c r="L103" s="59"/>
      <c r="M103" s="59"/>
      <c r="N103" s="59"/>
      <c r="O103" s="59"/>
    </row>
    <row r="104" spans="1:15">
      <c r="A104" s="313" t="s">
        <v>778</v>
      </c>
      <c r="B104" s="130" t="s">
        <v>678</v>
      </c>
      <c r="C104" s="130" t="s">
        <v>779</v>
      </c>
      <c r="D104" s="118">
        <v>1300000</v>
      </c>
      <c r="E104" s="119">
        <v>324.02791625124598</v>
      </c>
      <c r="F104" s="117">
        <v>4012</v>
      </c>
      <c r="G104" s="130" t="s">
        <v>26</v>
      </c>
      <c r="H104" s="130" t="s">
        <v>782</v>
      </c>
      <c r="I104" s="131">
        <v>1989</v>
      </c>
      <c r="J104" s="130" t="s">
        <v>6275</v>
      </c>
      <c r="K104" s="130"/>
      <c r="L104" s="59"/>
      <c r="M104" s="59"/>
      <c r="N104" s="59"/>
      <c r="O104" s="59"/>
    </row>
    <row r="105" spans="1:15">
      <c r="A105" s="314" t="s">
        <v>812</v>
      </c>
      <c r="B105" s="125" t="s">
        <v>678</v>
      </c>
      <c r="C105" s="125" t="s">
        <v>108</v>
      </c>
      <c r="D105" s="126">
        <v>700000</v>
      </c>
      <c r="E105" s="127">
        <v>326.34032634032599</v>
      </c>
      <c r="F105" s="128">
        <v>2145</v>
      </c>
      <c r="G105" s="125" t="s">
        <v>26</v>
      </c>
      <c r="H105" s="125" t="s">
        <v>815</v>
      </c>
      <c r="I105" s="129">
        <v>1959</v>
      </c>
      <c r="J105" s="125" t="s">
        <v>6275</v>
      </c>
      <c r="K105" s="125"/>
      <c r="L105" s="59"/>
      <c r="M105" s="59"/>
      <c r="N105" s="59"/>
      <c r="O105" s="59"/>
    </row>
    <row r="106" spans="1:15">
      <c r="A106" s="313" t="s">
        <v>824</v>
      </c>
      <c r="B106" s="130" t="s">
        <v>678</v>
      </c>
      <c r="C106" s="130" t="s">
        <v>55</v>
      </c>
      <c r="D106" s="118">
        <v>800000</v>
      </c>
      <c r="E106" s="119">
        <v>327.46623004502698</v>
      </c>
      <c r="F106" s="117">
        <v>2443</v>
      </c>
      <c r="G106" s="130" t="s">
        <v>26</v>
      </c>
      <c r="H106" s="130" t="s">
        <v>827</v>
      </c>
      <c r="I106" s="131">
        <v>1996</v>
      </c>
      <c r="J106" s="130" t="s">
        <v>6275</v>
      </c>
      <c r="K106" s="130"/>
      <c r="L106" s="59"/>
      <c r="M106" s="59"/>
      <c r="N106" s="59"/>
      <c r="O106" s="59"/>
    </row>
    <row r="107" spans="1:15">
      <c r="A107" s="313" t="s">
        <v>1180</v>
      </c>
      <c r="B107" s="130" t="s">
        <v>184</v>
      </c>
      <c r="C107" s="130" t="s">
        <v>658</v>
      </c>
      <c r="D107" s="118">
        <v>2050000</v>
      </c>
      <c r="E107" s="119">
        <v>341.66666666666703</v>
      </c>
      <c r="F107" s="117">
        <v>6000</v>
      </c>
      <c r="G107" s="130" t="s">
        <v>26</v>
      </c>
      <c r="H107" s="130" t="s">
        <v>1183</v>
      </c>
      <c r="I107" s="131">
        <v>2007</v>
      </c>
      <c r="J107" s="130" t="s">
        <v>6276</v>
      </c>
      <c r="K107" s="130"/>
      <c r="L107" s="59"/>
      <c r="M107" s="59"/>
      <c r="N107" s="59"/>
      <c r="O107" s="59"/>
    </row>
    <row r="108" spans="1:15">
      <c r="A108" s="313" t="s">
        <v>758</v>
      </c>
      <c r="B108" s="130" t="s">
        <v>678</v>
      </c>
      <c r="C108" s="130" t="s">
        <v>81</v>
      </c>
      <c r="D108" s="118">
        <v>1745000</v>
      </c>
      <c r="E108" s="119">
        <v>351.60185371750998</v>
      </c>
      <c r="F108" s="117">
        <v>4963</v>
      </c>
      <c r="G108" s="130" t="s">
        <v>26</v>
      </c>
      <c r="H108" s="130" t="s">
        <v>762</v>
      </c>
      <c r="I108" s="131">
        <v>1989</v>
      </c>
      <c r="J108" s="130" t="s">
        <v>6275</v>
      </c>
      <c r="K108" s="130"/>
      <c r="L108" s="59"/>
      <c r="M108" s="59"/>
      <c r="N108" s="59"/>
      <c r="O108" s="59"/>
    </row>
    <row r="109" spans="1:15">
      <c r="A109" s="314" t="s">
        <v>72</v>
      </c>
      <c r="B109" s="125" t="s">
        <v>33</v>
      </c>
      <c r="C109" s="125" t="s">
        <v>73</v>
      </c>
      <c r="D109" s="126">
        <v>2000000</v>
      </c>
      <c r="E109" s="127">
        <v>351.61744022503501</v>
      </c>
      <c r="F109" s="128">
        <v>5688</v>
      </c>
      <c r="G109" s="125" t="s">
        <v>26</v>
      </c>
      <c r="H109" s="125" t="s">
        <v>77</v>
      </c>
      <c r="I109" s="129">
        <v>1986</v>
      </c>
      <c r="J109" s="125" t="s">
        <v>6275</v>
      </c>
      <c r="K109" s="125"/>
      <c r="L109" s="59"/>
      <c r="M109" s="59"/>
      <c r="N109" s="59"/>
      <c r="O109" s="59"/>
    </row>
    <row r="110" spans="1:15">
      <c r="A110" s="314" t="s">
        <v>1331</v>
      </c>
      <c r="B110" s="125" t="s">
        <v>20</v>
      </c>
      <c r="C110" s="125" t="s">
        <v>73</v>
      </c>
      <c r="D110" s="126">
        <v>1225000</v>
      </c>
      <c r="E110" s="127">
        <v>360.29411764705901</v>
      </c>
      <c r="F110" s="128">
        <v>3400</v>
      </c>
      <c r="G110" s="125" t="s">
        <v>26</v>
      </c>
      <c r="H110" s="125" t="s">
        <v>1334</v>
      </c>
      <c r="I110" s="129">
        <v>2007</v>
      </c>
      <c r="J110" s="125" t="s">
        <v>6276</v>
      </c>
      <c r="K110" s="125"/>
      <c r="L110" s="59"/>
      <c r="M110" s="59"/>
      <c r="N110" s="59"/>
      <c r="O110" s="59"/>
    </row>
    <row r="111" spans="1:15">
      <c r="A111" s="313" t="s">
        <v>677</v>
      </c>
      <c r="B111" s="130" t="s">
        <v>678</v>
      </c>
      <c r="C111" s="130" t="s">
        <v>658</v>
      </c>
      <c r="D111" s="118">
        <v>5150000</v>
      </c>
      <c r="E111" s="119">
        <v>412.66025641025601</v>
      </c>
      <c r="F111" s="117">
        <v>12480</v>
      </c>
      <c r="G111" s="130" t="s">
        <v>6212</v>
      </c>
      <c r="H111" s="130" t="s">
        <v>6205</v>
      </c>
      <c r="I111" s="131">
        <v>2020</v>
      </c>
      <c r="J111" s="130" t="s">
        <v>6277</v>
      </c>
      <c r="K111" s="130"/>
      <c r="L111" s="59"/>
      <c r="M111" s="59"/>
      <c r="N111" s="59"/>
      <c r="O111" s="59"/>
    </row>
    <row r="112" spans="1:15">
      <c r="A112" s="313" t="s">
        <v>107</v>
      </c>
      <c r="B112" s="130" t="s">
        <v>33</v>
      </c>
      <c r="C112" s="130" t="s">
        <v>108</v>
      </c>
      <c r="D112" s="118">
        <v>7500000</v>
      </c>
      <c r="E112" s="119">
        <v>441.82621502209099</v>
      </c>
      <c r="F112" s="117">
        <v>16975</v>
      </c>
      <c r="G112" s="130" t="s">
        <v>1519</v>
      </c>
      <c r="H112" s="130" t="s">
        <v>112</v>
      </c>
      <c r="I112" s="131">
        <v>1983</v>
      </c>
      <c r="J112" s="130" t="s">
        <v>6275</v>
      </c>
      <c r="K112" s="130"/>
      <c r="L112" s="59"/>
      <c r="M112" s="59"/>
      <c r="N112" s="59"/>
      <c r="O112" s="59"/>
    </row>
    <row r="113" spans="1:15">
      <c r="A113" s="313" t="s">
        <v>657</v>
      </c>
      <c r="B113" s="130" t="s">
        <v>33</v>
      </c>
      <c r="C113" s="130" t="s">
        <v>658</v>
      </c>
      <c r="D113" s="118">
        <v>33444697</v>
      </c>
      <c r="E113" s="119">
        <v>478.334887512693</v>
      </c>
      <c r="F113" s="117">
        <v>69919</v>
      </c>
      <c r="G113" s="130" t="s">
        <v>6212</v>
      </c>
      <c r="H113" s="130" t="s">
        <v>6204</v>
      </c>
      <c r="I113" s="131">
        <v>2024</v>
      </c>
      <c r="J113" s="130" t="s">
        <v>6277</v>
      </c>
      <c r="K113" s="130" t="s">
        <v>6318</v>
      </c>
      <c r="L113" s="59" t="s">
        <v>6627</v>
      </c>
      <c r="M113" s="26" t="s">
        <v>6628</v>
      </c>
      <c r="N113" s="59"/>
      <c r="O113" s="59"/>
    </row>
    <row r="114" spans="1:15">
      <c r="A114" s="314" t="s">
        <v>413</v>
      </c>
      <c r="B114" s="125" t="s">
        <v>33</v>
      </c>
      <c r="C114" s="125" t="s">
        <v>108</v>
      </c>
      <c r="D114" s="126">
        <v>15000000</v>
      </c>
      <c r="E114" s="127">
        <v>634.16902718471204</v>
      </c>
      <c r="F114" s="128">
        <v>23653</v>
      </c>
      <c r="G114" s="125" t="s">
        <v>1519</v>
      </c>
      <c r="H114" s="125" t="s">
        <v>417</v>
      </c>
      <c r="I114" s="129">
        <v>2005</v>
      </c>
      <c r="J114" s="125" t="s">
        <v>6276</v>
      </c>
      <c r="K114" s="125"/>
      <c r="L114" s="59"/>
      <c r="M114" s="59"/>
      <c r="N114" s="59"/>
      <c r="O114" s="59"/>
    </row>
    <row r="115" spans="1:15">
      <c r="A115" s="313" t="s">
        <v>54</v>
      </c>
      <c r="B115" s="130" t="s">
        <v>33</v>
      </c>
      <c r="C115" s="130" t="s">
        <v>55</v>
      </c>
      <c r="D115" s="118">
        <v>3200000</v>
      </c>
      <c r="E115" s="119">
        <v>893.85474860335205</v>
      </c>
      <c r="F115" s="117">
        <v>3580</v>
      </c>
      <c r="G115" s="130" t="s">
        <v>26</v>
      </c>
      <c r="H115" s="130" t="s">
        <v>60</v>
      </c>
      <c r="I115" s="131">
        <v>1983</v>
      </c>
      <c r="J115" s="130" t="s">
        <v>6275</v>
      </c>
      <c r="K115" s="130" t="s">
        <v>6318</v>
      </c>
      <c r="L115" s="59" t="s">
        <v>6542</v>
      </c>
      <c r="M115" s="26" t="s">
        <v>6565</v>
      </c>
      <c r="N115" s="59"/>
      <c r="O115" s="59"/>
    </row>
    <row r="116" spans="1:15">
      <c r="A116" s="314" t="s">
        <v>259</v>
      </c>
      <c r="B116" s="125" t="s">
        <v>33</v>
      </c>
      <c r="C116" s="125" t="s">
        <v>260</v>
      </c>
      <c r="D116" s="126">
        <v>3473802</v>
      </c>
      <c r="E116" s="127">
        <v>915.12170706006304</v>
      </c>
      <c r="F116" s="128">
        <v>3796</v>
      </c>
      <c r="G116" s="125" t="s">
        <v>26</v>
      </c>
      <c r="H116" s="125" t="s">
        <v>264</v>
      </c>
      <c r="I116" s="129">
        <v>2017</v>
      </c>
      <c r="J116" s="125" t="s">
        <v>6277</v>
      </c>
      <c r="K116" s="125" t="s">
        <v>6318</v>
      </c>
      <c r="L116" s="59" t="s">
        <v>6542</v>
      </c>
      <c r="M116" s="26" t="s">
        <v>6566</v>
      </c>
      <c r="N116" s="59"/>
      <c r="O116" s="59"/>
    </row>
    <row r="117" spans="1:15">
      <c r="A117" s="314" t="s">
        <v>1668</v>
      </c>
      <c r="B117" s="125" t="s">
        <v>33</v>
      </c>
      <c r="C117" s="125" t="s">
        <v>658</v>
      </c>
      <c r="D117" s="126">
        <v>2097400</v>
      </c>
      <c r="E117" s="127">
        <v>1048.7</v>
      </c>
      <c r="F117" s="128">
        <v>2000</v>
      </c>
      <c r="G117" s="125" t="s">
        <v>26</v>
      </c>
      <c r="H117" s="125" t="s">
        <v>1671</v>
      </c>
      <c r="I117" s="129">
        <v>1973</v>
      </c>
      <c r="J117" s="125" t="s">
        <v>6275</v>
      </c>
      <c r="K117" s="125" t="s">
        <v>6318</v>
      </c>
      <c r="L117" s="59" t="s">
        <v>6542</v>
      </c>
      <c r="M117" s="26" t="s">
        <v>1673</v>
      </c>
      <c r="N117" s="59"/>
      <c r="O117" s="59"/>
    </row>
    <row r="118" spans="1:15">
      <c r="A118" s="59"/>
      <c r="B118" s="59"/>
      <c r="C118" s="59"/>
      <c r="D118" s="59"/>
      <c r="E118" s="59"/>
      <c r="F118" s="59"/>
      <c r="G118" s="59"/>
      <c r="H118" s="59"/>
      <c r="I118" s="59"/>
      <c r="J118" s="59"/>
      <c r="K118" s="59"/>
      <c r="L118" s="59"/>
      <c r="M118" s="59"/>
      <c r="N118" s="59"/>
      <c r="O118" s="59"/>
    </row>
    <row r="119" spans="1:15">
      <c r="A119" s="71" t="s">
        <v>6282</v>
      </c>
      <c r="B119" s="59"/>
      <c r="C119" s="59"/>
      <c r="D119" s="59"/>
      <c r="E119" s="59"/>
      <c r="F119" s="59"/>
      <c r="G119" s="59"/>
      <c r="H119" s="59"/>
      <c r="I119" s="59"/>
      <c r="J119" s="59"/>
      <c r="K119" s="59"/>
      <c r="L119" s="59"/>
      <c r="M119" s="59"/>
      <c r="N119" s="59"/>
      <c r="O119" s="59"/>
    </row>
    <row r="120" spans="1:15">
      <c r="A120" s="103" t="s">
        <v>6283</v>
      </c>
      <c r="B120" s="59"/>
      <c r="C120" s="59"/>
      <c r="D120" s="59"/>
      <c r="E120" s="59"/>
      <c r="F120" s="59"/>
      <c r="G120" s="59"/>
      <c r="H120" s="59"/>
      <c r="I120" s="59"/>
      <c r="J120" s="59"/>
      <c r="K120" s="59"/>
      <c r="L120" s="59"/>
      <c r="M120" s="59"/>
      <c r="N120" s="59"/>
      <c r="O120" s="59"/>
    </row>
    <row r="121" spans="1:15">
      <c r="A121" s="301" t="s">
        <v>6438</v>
      </c>
      <c r="B121" s="59"/>
      <c r="C121" s="59"/>
      <c r="D121" s="59"/>
      <c r="E121" s="59"/>
      <c r="F121" s="59"/>
      <c r="G121" s="59"/>
      <c r="H121" s="59"/>
      <c r="I121" s="59"/>
      <c r="J121" s="59"/>
      <c r="K121" s="59"/>
      <c r="L121" s="59"/>
      <c r="M121" s="59"/>
      <c r="N121" s="59"/>
      <c r="O121" s="59"/>
    </row>
    <row r="122" spans="1:15">
      <c r="A122" s="105" t="s">
        <v>6439</v>
      </c>
      <c r="B122" s="59"/>
      <c r="C122" s="59"/>
      <c r="D122" s="59"/>
      <c r="E122" s="59"/>
      <c r="F122" s="59"/>
      <c r="G122" s="59"/>
      <c r="H122" s="59"/>
      <c r="I122" s="59"/>
      <c r="J122" s="59"/>
      <c r="K122" s="59"/>
      <c r="L122" s="59"/>
      <c r="M122" s="59"/>
      <c r="N122" s="59"/>
      <c r="O122" s="59"/>
    </row>
    <row r="123" spans="1:15">
      <c r="A123" s="59"/>
      <c r="B123" s="59"/>
      <c r="C123" s="59"/>
      <c r="D123" s="59"/>
      <c r="E123" s="59"/>
      <c r="F123" s="59"/>
      <c r="G123" s="59"/>
      <c r="H123" s="59"/>
      <c r="I123" s="59"/>
      <c r="J123" s="59"/>
      <c r="K123" s="59"/>
      <c r="L123" s="59"/>
      <c r="M123" s="59"/>
      <c r="N123" s="59"/>
      <c r="O123" s="59"/>
    </row>
    <row r="124" spans="1:15">
      <c r="A124" s="59"/>
      <c r="B124" s="59"/>
      <c r="C124" s="59"/>
      <c r="D124" s="59"/>
      <c r="E124" s="59"/>
      <c r="F124" s="59"/>
      <c r="G124" s="59"/>
      <c r="H124" s="59"/>
      <c r="I124" s="59"/>
      <c r="J124" s="59"/>
      <c r="K124" s="59"/>
      <c r="L124" s="59"/>
      <c r="M124" s="59"/>
      <c r="N124" s="59"/>
      <c r="O124" s="59"/>
    </row>
    <row r="125" spans="1:15">
      <c r="A125" s="59"/>
      <c r="B125" s="59"/>
      <c r="C125" s="59"/>
      <c r="D125" s="59"/>
      <c r="E125" s="59"/>
      <c r="F125" s="59"/>
      <c r="G125" s="59"/>
      <c r="H125" s="59"/>
      <c r="I125" s="59"/>
      <c r="J125" s="59"/>
      <c r="K125" s="59"/>
      <c r="L125" s="59"/>
      <c r="M125" s="59"/>
      <c r="N125" s="59"/>
      <c r="O125" s="59"/>
    </row>
    <row r="126" spans="1:15">
      <c r="A126" s="59"/>
      <c r="B126" s="59"/>
      <c r="C126" s="59"/>
      <c r="D126" s="59"/>
      <c r="E126" s="59"/>
      <c r="F126" s="59"/>
      <c r="G126" s="59"/>
      <c r="H126" s="59"/>
      <c r="I126" s="59"/>
      <c r="J126" s="59"/>
      <c r="K126" s="59"/>
      <c r="L126" s="59"/>
      <c r="M126" s="59"/>
      <c r="N126" s="59"/>
      <c r="O126" s="59"/>
    </row>
    <row r="127" spans="1:15">
      <c r="A127" s="59"/>
      <c r="B127" s="59"/>
      <c r="C127" s="59"/>
      <c r="D127" s="59"/>
      <c r="E127" s="59"/>
      <c r="F127" s="59"/>
      <c r="G127" s="59"/>
      <c r="H127" s="59"/>
      <c r="I127" s="59"/>
      <c r="J127" s="59"/>
      <c r="K127" s="59"/>
      <c r="L127" s="59"/>
      <c r="M127" s="59"/>
      <c r="N127" s="59"/>
      <c r="O127" s="59"/>
    </row>
    <row r="128" spans="1:15">
      <c r="A128" s="59"/>
      <c r="B128" s="59"/>
      <c r="C128" s="59"/>
      <c r="D128" s="59"/>
      <c r="E128" s="59"/>
      <c r="F128" s="59"/>
      <c r="G128" s="59"/>
      <c r="H128" s="59"/>
      <c r="I128" s="59"/>
      <c r="J128" s="59"/>
      <c r="K128" s="59"/>
      <c r="L128" s="59"/>
      <c r="M128" s="59"/>
      <c r="N128" s="59"/>
      <c r="O128" s="59"/>
    </row>
    <row r="129" spans="1:15">
      <c r="A129" s="59"/>
      <c r="B129" s="59"/>
      <c r="C129" s="59"/>
      <c r="D129" s="59"/>
      <c r="E129" s="59"/>
      <c r="F129" s="59"/>
      <c r="G129" s="59"/>
      <c r="H129" s="59"/>
      <c r="I129" s="59"/>
      <c r="J129" s="59"/>
      <c r="K129" s="59"/>
      <c r="L129" s="59"/>
      <c r="M129" s="59"/>
      <c r="N129" s="59"/>
      <c r="O129" s="59"/>
    </row>
    <row r="130" spans="1:15">
      <c r="A130" s="59"/>
      <c r="B130" s="59"/>
      <c r="C130" s="59"/>
      <c r="D130" s="59"/>
      <c r="E130" s="59"/>
      <c r="F130" s="59"/>
      <c r="G130" s="59"/>
      <c r="H130" s="59"/>
      <c r="I130" s="59"/>
      <c r="J130" s="59"/>
      <c r="K130" s="59"/>
      <c r="L130" s="59"/>
      <c r="M130" s="59"/>
      <c r="N130" s="59"/>
      <c r="O130" s="59"/>
    </row>
    <row r="131" spans="1:15">
      <c r="A131" s="59"/>
      <c r="B131" s="59"/>
      <c r="C131" s="59"/>
      <c r="D131" s="59"/>
      <c r="E131" s="59"/>
      <c r="F131" s="59"/>
      <c r="G131" s="59"/>
      <c r="H131" s="59"/>
      <c r="I131" s="59"/>
      <c r="J131" s="59"/>
      <c r="K131" s="59"/>
      <c r="L131" s="59"/>
      <c r="M131" s="59"/>
      <c r="N131" s="59"/>
      <c r="O131" s="59"/>
    </row>
    <row r="132" spans="1:15">
      <c r="A132" s="59"/>
      <c r="B132" s="59"/>
      <c r="C132" s="59"/>
      <c r="D132" s="59"/>
      <c r="E132" s="59"/>
      <c r="F132" s="59"/>
      <c r="G132" s="59"/>
      <c r="H132" s="59"/>
      <c r="I132" s="59"/>
      <c r="J132" s="59"/>
      <c r="K132" s="59"/>
      <c r="L132" s="59"/>
      <c r="M132" s="59"/>
      <c r="N132" s="59"/>
      <c r="O132" s="59"/>
    </row>
    <row r="133" spans="1:15">
      <c r="A133" s="59"/>
      <c r="B133" s="59"/>
      <c r="C133" s="59"/>
      <c r="D133" s="59"/>
      <c r="E133" s="59"/>
      <c r="F133" s="59"/>
      <c r="G133" s="59"/>
      <c r="H133" s="59"/>
      <c r="I133" s="59"/>
      <c r="J133" s="59"/>
      <c r="K133" s="59"/>
      <c r="L133" s="59"/>
      <c r="M133" s="59"/>
      <c r="N133" s="59"/>
      <c r="O133" s="59"/>
    </row>
    <row r="134" spans="1:15">
      <c r="A134" s="59"/>
      <c r="B134" s="59"/>
      <c r="C134" s="59"/>
      <c r="D134" s="59"/>
      <c r="E134" s="59"/>
      <c r="F134" s="59"/>
      <c r="G134" s="59"/>
      <c r="H134" s="59"/>
      <c r="I134" s="59"/>
      <c r="J134" s="59"/>
      <c r="K134" s="59"/>
      <c r="L134" s="59"/>
      <c r="M134" s="59"/>
      <c r="N134" s="59"/>
      <c r="O134" s="59"/>
    </row>
    <row r="135" spans="1:15">
      <c r="A135" s="59"/>
      <c r="B135" s="59"/>
      <c r="C135" s="59"/>
      <c r="D135" s="59"/>
      <c r="E135" s="59"/>
      <c r="F135" s="59"/>
      <c r="G135" s="59"/>
      <c r="H135" s="59"/>
      <c r="I135" s="59"/>
      <c r="J135" s="59"/>
      <c r="K135" s="59"/>
      <c r="L135" s="59"/>
      <c r="M135" s="59"/>
      <c r="N135" s="59"/>
      <c r="O135" s="59"/>
    </row>
    <row r="136" spans="1:15">
      <c r="A136" s="59"/>
      <c r="B136" s="59"/>
      <c r="C136" s="59"/>
      <c r="D136" s="59"/>
      <c r="E136" s="59"/>
      <c r="F136" s="59"/>
      <c r="G136" s="59"/>
      <c r="H136" s="59"/>
      <c r="I136" s="59"/>
      <c r="J136" s="59"/>
      <c r="K136" s="59"/>
      <c r="L136" s="59"/>
      <c r="M136" s="59"/>
      <c r="N136" s="59"/>
      <c r="O136" s="59"/>
    </row>
    <row r="137" spans="1:15">
      <c r="A137" s="59"/>
      <c r="B137" s="59"/>
      <c r="C137" s="59"/>
      <c r="D137" s="59"/>
      <c r="E137" s="59"/>
      <c r="F137" s="59"/>
      <c r="G137" s="59"/>
      <c r="H137" s="59"/>
      <c r="I137" s="59"/>
      <c r="J137" s="59"/>
      <c r="K137" s="59"/>
      <c r="L137" s="59"/>
      <c r="M137" s="59"/>
      <c r="N137" s="59"/>
      <c r="O137" s="59"/>
    </row>
    <row r="138" spans="1:15">
      <c r="A138" s="59"/>
      <c r="B138" s="59"/>
      <c r="C138" s="59"/>
      <c r="D138" s="59"/>
      <c r="E138" s="59"/>
      <c r="F138" s="59"/>
      <c r="G138" s="59"/>
      <c r="H138" s="59"/>
      <c r="I138" s="59"/>
      <c r="J138" s="59"/>
      <c r="K138" s="59"/>
      <c r="L138" s="59"/>
      <c r="M138" s="59"/>
      <c r="N138" s="59"/>
      <c r="O138" s="59"/>
    </row>
    <row r="139" spans="1:15">
      <c r="A139" s="59"/>
      <c r="B139" s="59"/>
      <c r="C139" s="59"/>
      <c r="D139" s="59"/>
      <c r="E139" s="59"/>
      <c r="F139" s="59"/>
      <c r="G139" s="59"/>
      <c r="H139" s="59"/>
      <c r="I139" s="59"/>
      <c r="J139" s="59"/>
      <c r="K139" s="59"/>
      <c r="L139" s="59"/>
      <c r="M139" s="59"/>
      <c r="N139" s="59"/>
      <c r="O139" s="59"/>
    </row>
    <row r="140" spans="1:15">
      <c r="A140" s="59"/>
      <c r="B140" s="59"/>
      <c r="C140" s="59"/>
      <c r="D140" s="59"/>
      <c r="E140" s="59"/>
      <c r="F140" s="59"/>
      <c r="G140" s="59"/>
      <c r="H140" s="59"/>
      <c r="I140" s="59"/>
      <c r="J140" s="59"/>
      <c r="K140" s="59"/>
      <c r="L140" s="59"/>
      <c r="M140" s="59"/>
      <c r="N140" s="59"/>
      <c r="O140" s="59"/>
    </row>
    <row r="141" spans="1:15">
      <c r="A141" s="59"/>
      <c r="B141" s="59"/>
      <c r="C141" s="59"/>
      <c r="D141" s="59"/>
      <c r="E141" s="59"/>
      <c r="F141" s="59"/>
      <c r="G141" s="59"/>
      <c r="H141" s="59"/>
      <c r="I141" s="59"/>
      <c r="J141" s="59"/>
      <c r="K141" s="59"/>
      <c r="L141" s="59"/>
      <c r="M141" s="59"/>
      <c r="N141" s="59"/>
      <c r="O141" s="59"/>
    </row>
    <row r="142" spans="1:15">
      <c r="A142" s="59"/>
      <c r="B142" s="59"/>
      <c r="C142" s="59"/>
      <c r="D142" s="59"/>
      <c r="E142" s="59"/>
      <c r="F142" s="59"/>
      <c r="G142" s="59"/>
      <c r="H142" s="59"/>
      <c r="I142" s="59"/>
      <c r="J142" s="59"/>
      <c r="K142" s="59"/>
      <c r="L142" s="59"/>
      <c r="M142" s="59"/>
      <c r="N142" s="59"/>
      <c r="O142" s="59"/>
    </row>
    <row r="143" spans="1:15">
      <c r="A143" s="59"/>
      <c r="B143" s="59"/>
      <c r="C143" s="59"/>
      <c r="D143" s="59"/>
      <c r="E143" s="59"/>
      <c r="F143" s="59"/>
      <c r="G143" s="59"/>
      <c r="H143" s="59"/>
      <c r="I143" s="59"/>
      <c r="J143" s="59"/>
      <c r="K143" s="59"/>
      <c r="L143" s="59"/>
      <c r="M143" s="59"/>
      <c r="N143" s="59"/>
      <c r="O143" s="59"/>
    </row>
    <row r="144" spans="1:15">
      <c r="A144" s="59"/>
      <c r="B144" s="59"/>
      <c r="C144" s="59"/>
      <c r="D144" s="59"/>
      <c r="E144" s="59"/>
      <c r="F144" s="59"/>
      <c r="G144" s="59"/>
      <c r="H144" s="59"/>
      <c r="I144" s="59"/>
      <c r="J144" s="59"/>
      <c r="K144" s="59"/>
      <c r="L144" s="59"/>
      <c r="M144" s="59"/>
      <c r="N144" s="59"/>
      <c r="O144" s="59"/>
    </row>
    <row r="145" spans="1:15">
      <c r="A145" s="59"/>
      <c r="B145" s="59"/>
      <c r="C145" s="59"/>
      <c r="D145" s="59"/>
      <c r="E145" s="59"/>
      <c r="F145" s="59"/>
      <c r="G145" s="59"/>
      <c r="H145" s="59"/>
      <c r="I145" s="59"/>
      <c r="J145" s="59"/>
      <c r="K145" s="59"/>
      <c r="L145" s="59"/>
      <c r="M145" s="59"/>
      <c r="N145" s="59"/>
      <c r="O145" s="59"/>
    </row>
    <row r="146" spans="1:15">
      <c r="A146" s="59"/>
      <c r="B146" s="59"/>
      <c r="C146" s="59"/>
      <c r="D146" s="59"/>
      <c r="E146" s="59"/>
      <c r="F146" s="59"/>
      <c r="G146" s="59"/>
      <c r="H146" s="59"/>
      <c r="I146" s="59"/>
      <c r="J146" s="59"/>
      <c r="K146" s="59"/>
      <c r="L146" s="59"/>
      <c r="M146" s="59"/>
      <c r="N146" s="59"/>
      <c r="O146" s="59"/>
    </row>
    <row r="147" spans="1:15">
      <c r="A147" s="59"/>
      <c r="B147" s="59"/>
      <c r="C147" s="59"/>
      <c r="D147" s="59"/>
      <c r="E147" s="59"/>
      <c r="F147" s="59"/>
      <c r="G147" s="59"/>
      <c r="H147" s="59"/>
      <c r="I147" s="59"/>
      <c r="J147" s="59"/>
      <c r="K147" s="59"/>
      <c r="L147" s="59"/>
      <c r="M147" s="59"/>
      <c r="N147" s="59"/>
      <c r="O147" s="59"/>
    </row>
    <row r="148" spans="1:15">
      <c r="A148" s="59"/>
      <c r="B148" s="59"/>
      <c r="C148" s="59"/>
      <c r="D148" s="59"/>
      <c r="E148" s="59"/>
      <c r="F148" s="59"/>
      <c r="G148" s="59"/>
      <c r="H148" s="59"/>
      <c r="I148" s="59"/>
      <c r="J148" s="59"/>
      <c r="K148" s="59"/>
      <c r="L148" s="59"/>
      <c r="M148" s="59"/>
      <c r="N148" s="59"/>
      <c r="O148" s="59"/>
    </row>
    <row r="149" spans="1:15">
      <c r="A149" s="59"/>
      <c r="B149" s="59"/>
      <c r="C149" s="59"/>
      <c r="D149" s="59"/>
      <c r="E149" s="59"/>
      <c r="F149" s="59"/>
      <c r="G149" s="59"/>
      <c r="H149" s="59"/>
      <c r="I149" s="59"/>
      <c r="J149" s="59"/>
      <c r="K149" s="59"/>
      <c r="L149" s="59"/>
      <c r="M149" s="59"/>
      <c r="N149" s="59"/>
      <c r="O149" s="59"/>
    </row>
    <row r="150" spans="1:15">
      <c r="A150" s="59"/>
      <c r="B150" s="59"/>
      <c r="C150" s="59"/>
      <c r="D150" s="59"/>
      <c r="E150" s="59"/>
      <c r="F150" s="59"/>
      <c r="G150" s="59"/>
      <c r="H150" s="59"/>
      <c r="I150" s="59"/>
      <c r="J150" s="59"/>
      <c r="K150" s="59"/>
      <c r="L150" s="59"/>
      <c r="M150" s="59"/>
      <c r="N150" s="59"/>
      <c r="O150" s="59"/>
    </row>
    <row r="151" spans="1:15">
      <c r="A151" s="59"/>
      <c r="B151" s="59"/>
      <c r="C151" s="59"/>
      <c r="D151" s="59"/>
      <c r="E151" s="59"/>
      <c r="F151" s="59"/>
      <c r="G151" s="59"/>
      <c r="H151" s="59"/>
      <c r="I151" s="59"/>
      <c r="J151" s="59"/>
      <c r="K151" s="59"/>
      <c r="L151" s="59"/>
      <c r="M151" s="59"/>
      <c r="N151" s="59"/>
      <c r="O151" s="59"/>
    </row>
    <row r="152" spans="1:15">
      <c r="A152" s="59"/>
      <c r="B152" s="59"/>
      <c r="C152" s="59"/>
      <c r="D152" s="59"/>
      <c r="E152" s="59"/>
      <c r="F152" s="59"/>
      <c r="G152" s="59"/>
      <c r="H152" s="59"/>
      <c r="I152" s="59"/>
      <c r="J152" s="59"/>
      <c r="K152" s="59"/>
      <c r="L152" s="59"/>
      <c r="M152" s="59"/>
      <c r="N152" s="59"/>
      <c r="O152" s="59"/>
    </row>
    <row r="153" spans="1:15">
      <c r="A153" s="59"/>
      <c r="B153" s="59"/>
      <c r="C153" s="59"/>
      <c r="D153" s="59"/>
      <c r="E153" s="59"/>
      <c r="F153" s="59"/>
      <c r="G153" s="59"/>
      <c r="H153" s="59"/>
      <c r="I153" s="59"/>
      <c r="J153" s="59"/>
      <c r="K153" s="59"/>
      <c r="L153" s="59"/>
      <c r="M153" s="59"/>
      <c r="N153" s="59"/>
      <c r="O153" s="59"/>
    </row>
    <row r="154" spans="1:15">
      <c r="A154" s="59"/>
      <c r="B154" s="59"/>
      <c r="C154" s="59"/>
      <c r="D154" s="59"/>
      <c r="E154" s="59"/>
      <c r="F154" s="59"/>
      <c r="G154" s="59"/>
      <c r="H154" s="59"/>
      <c r="I154" s="59"/>
      <c r="J154" s="59"/>
      <c r="K154" s="59"/>
      <c r="L154" s="59"/>
      <c r="M154" s="59"/>
      <c r="N154" s="59"/>
      <c r="O154" s="59"/>
    </row>
    <row r="155" spans="1:15">
      <c r="A155" s="59"/>
      <c r="B155" s="59"/>
      <c r="C155" s="59"/>
      <c r="D155" s="59"/>
      <c r="E155" s="59"/>
      <c r="F155" s="59"/>
      <c r="G155" s="59"/>
      <c r="H155" s="59"/>
      <c r="I155" s="59"/>
      <c r="J155" s="59"/>
      <c r="K155" s="59"/>
      <c r="L155" s="59"/>
      <c r="M155" s="59"/>
      <c r="N155" s="59"/>
      <c r="O155" s="59"/>
    </row>
    <row r="156" spans="1:15">
      <c r="A156" s="59"/>
      <c r="B156" s="59"/>
      <c r="C156" s="59"/>
      <c r="D156" s="59"/>
      <c r="E156" s="59"/>
      <c r="F156" s="59"/>
      <c r="G156" s="59"/>
      <c r="H156" s="59"/>
      <c r="I156" s="59"/>
      <c r="J156" s="59"/>
      <c r="K156" s="59"/>
      <c r="L156" s="59"/>
      <c r="M156" s="59"/>
      <c r="N156" s="59"/>
      <c r="O156" s="59"/>
    </row>
    <row r="157" spans="1:15">
      <c r="A157" s="59"/>
      <c r="B157" s="59"/>
      <c r="C157" s="59"/>
      <c r="D157" s="59"/>
      <c r="E157" s="59"/>
      <c r="F157" s="59"/>
      <c r="G157" s="59"/>
      <c r="H157" s="59"/>
      <c r="I157" s="59"/>
      <c r="J157" s="59"/>
      <c r="K157" s="59"/>
      <c r="L157" s="59"/>
      <c r="M157" s="59"/>
      <c r="N157" s="59"/>
      <c r="O157" s="59"/>
    </row>
    <row r="158" spans="1:15">
      <c r="A158" s="59"/>
      <c r="B158" s="59"/>
      <c r="C158" s="59"/>
      <c r="D158" s="59"/>
      <c r="E158" s="59"/>
      <c r="F158" s="59"/>
      <c r="G158" s="59"/>
      <c r="H158" s="59"/>
      <c r="I158" s="59"/>
      <c r="J158" s="59"/>
      <c r="K158" s="59"/>
      <c r="L158" s="59"/>
      <c r="M158" s="59"/>
      <c r="N158" s="59"/>
      <c r="O158" s="59"/>
    </row>
    <row r="159" spans="1:15">
      <c r="A159" s="59"/>
      <c r="B159" s="59"/>
      <c r="C159" s="59"/>
      <c r="D159" s="59"/>
      <c r="E159" s="59"/>
      <c r="F159" s="59"/>
      <c r="G159" s="59"/>
      <c r="H159" s="59"/>
      <c r="I159" s="59"/>
      <c r="J159" s="59"/>
      <c r="K159" s="59"/>
      <c r="L159" s="59"/>
      <c r="M159" s="59"/>
      <c r="N159" s="59"/>
      <c r="O159" s="59"/>
    </row>
    <row r="160" spans="1:15">
      <c r="A160" s="59"/>
      <c r="B160" s="59"/>
      <c r="C160" s="59"/>
      <c r="D160" s="59"/>
      <c r="E160" s="59"/>
      <c r="F160" s="59"/>
      <c r="G160" s="59"/>
      <c r="H160" s="59"/>
      <c r="I160" s="59"/>
      <c r="J160" s="59"/>
      <c r="K160" s="59"/>
      <c r="L160" s="59"/>
      <c r="M160" s="59"/>
      <c r="N160" s="59"/>
      <c r="O160" s="59"/>
    </row>
    <row r="161" spans="1:15">
      <c r="A161" s="59"/>
      <c r="B161" s="59"/>
      <c r="C161" s="59"/>
      <c r="D161" s="59"/>
      <c r="E161" s="59"/>
      <c r="F161" s="59"/>
      <c r="G161" s="59"/>
      <c r="H161" s="59"/>
      <c r="I161" s="59"/>
      <c r="J161" s="59"/>
      <c r="K161" s="59"/>
      <c r="L161" s="59"/>
      <c r="M161" s="59"/>
      <c r="N161" s="59"/>
      <c r="O161" s="59"/>
    </row>
    <row r="162" spans="1:15">
      <c r="A162" s="59"/>
      <c r="B162" s="59"/>
      <c r="C162" s="59"/>
      <c r="D162" s="59"/>
      <c r="E162" s="59"/>
      <c r="F162" s="59"/>
      <c r="G162" s="59"/>
      <c r="H162" s="59"/>
      <c r="I162" s="59"/>
      <c r="J162" s="59"/>
      <c r="K162" s="59"/>
      <c r="L162" s="59"/>
      <c r="M162" s="59"/>
      <c r="N162" s="59"/>
      <c r="O162" s="59"/>
    </row>
    <row r="163" spans="1:15">
      <c r="A163" s="59"/>
      <c r="B163" s="59"/>
      <c r="C163" s="59"/>
      <c r="D163" s="59"/>
      <c r="E163" s="59"/>
      <c r="F163" s="59"/>
      <c r="G163" s="59"/>
      <c r="H163" s="59"/>
      <c r="I163" s="59"/>
      <c r="J163" s="59"/>
      <c r="K163" s="59"/>
      <c r="L163" s="59"/>
      <c r="M163" s="59"/>
      <c r="N163" s="59"/>
      <c r="O163" s="59"/>
    </row>
    <row r="164" spans="1:15">
      <c r="A164" s="59"/>
      <c r="B164" s="59"/>
      <c r="C164" s="59"/>
      <c r="D164" s="59"/>
      <c r="E164" s="59"/>
      <c r="F164" s="59"/>
      <c r="G164" s="59"/>
      <c r="H164" s="59"/>
      <c r="I164" s="59"/>
      <c r="J164" s="59"/>
      <c r="K164" s="59"/>
      <c r="L164" s="59"/>
      <c r="M164" s="59"/>
      <c r="N164" s="59"/>
      <c r="O164" s="59"/>
    </row>
    <row r="165" spans="1:15">
      <c r="A165" s="59"/>
      <c r="B165" s="59"/>
      <c r="C165" s="59"/>
      <c r="D165" s="59"/>
      <c r="E165" s="59"/>
      <c r="F165" s="59"/>
      <c r="G165" s="59"/>
      <c r="H165" s="59"/>
      <c r="I165" s="59"/>
      <c r="J165" s="59"/>
      <c r="K165" s="59"/>
      <c r="L165" s="59"/>
      <c r="M165" s="59"/>
      <c r="N165" s="59"/>
      <c r="O165" s="59"/>
    </row>
    <row r="166" spans="1:15">
      <c r="A166" s="59"/>
      <c r="B166" s="59"/>
      <c r="C166" s="59"/>
      <c r="D166" s="59"/>
      <c r="E166" s="59"/>
      <c r="F166" s="59"/>
      <c r="G166" s="59"/>
      <c r="H166" s="59"/>
      <c r="I166" s="59"/>
      <c r="J166" s="59"/>
      <c r="K166" s="59"/>
      <c r="L166" s="59"/>
      <c r="M166" s="59"/>
      <c r="N166" s="59"/>
      <c r="O166" s="59"/>
    </row>
    <row r="167" spans="1:15">
      <c r="A167" s="59"/>
      <c r="B167" s="59"/>
      <c r="C167" s="59"/>
      <c r="D167" s="59"/>
      <c r="E167" s="59"/>
      <c r="F167" s="59"/>
      <c r="G167" s="59"/>
      <c r="H167" s="59"/>
      <c r="I167" s="59"/>
      <c r="J167" s="59"/>
      <c r="K167" s="59"/>
      <c r="L167" s="59"/>
      <c r="M167" s="59"/>
      <c r="N167" s="59"/>
      <c r="O167" s="59"/>
    </row>
    <row r="168" spans="1:15">
      <c r="A168" s="59"/>
      <c r="B168" s="59"/>
      <c r="C168" s="59"/>
      <c r="D168" s="59"/>
      <c r="E168" s="59"/>
      <c r="F168" s="59"/>
      <c r="G168" s="59"/>
      <c r="H168" s="59"/>
      <c r="I168" s="59"/>
      <c r="J168" s="59"/>
      <c r="K168" s="59"/>
      <c r="L168" s="59"/>
      <c r="M168" s="59"/>
      <c r="N168" s="59"/>
      <c r="O168" s="59"/>
    </row>
    <row r="169" spans="1:15">
      <c r="A169" s="59"/>
      <c r="B169" s="59"/>
      <c r="C169" s="59"/>
      <c r="D169" s="59"/>
      <c r="E169" s="59"/>
      <c r="F169" s="59"/>
      <c r="G169" s="59"/>
      <c r="H169" s="59"/>
      <c r="I169" s="59"/>
      <c r="J169" s="59"/>
      <c r="K169" s="59"/>
      <c r="L169" s="59"/>
      <c r="M169" s="59"/>
      <c r="N169" s="59"/>
      <c r="O169" s="59"/>
    </row>
    <row r="170" spans="1:15">
      <c r="A170" s="59"/>
      <c r="B170" s="59"/>
      <c r="C170" s="59"/>
      <c r="D170" s="59"/>
      <c r="E170" s="59"/>
      <c r="F170" s="59"/>
      <c r="G170" s="59"/>
      <c r="H170" s="59"/>
      <c r="I170" s="59"/>
      <c r="J170" s="59"/>
      <c r="K170" s="59"/>
      <c r="L170" s="59"/>
      <c r="M170" s="59"/>
      <c r="N170" s="59"/>
      <c r="O170" s="59"/>
    </row>
    <row r="171" spans="1:15">
      <c r="A171" s="59"/>
      <c r="B171" s="59"/>
      <c r="C171" s="59"/>
      <c r="D171" s="59"/>
      <c r="E171" s="59"/>
      <c r="F171" s="59"/>
      <c r="G171" s="59"/>
      <c r="H171" s="59"/>
      <c r="I171" s="59"/>
      <c r="J171" s="59"/>
      <c r="K171" s="59"/>
      <c r="L171" s="59"/>
      <c r="M171" s="59"/>
      <c r="N171" s="59"/>
      <c r="O171" s="59"/>
    </row>
    <row r="172" spans="1:15">
      <c r="A172" s="59"/>
      <c r="B172" s="59"/>
      <c r="C172" s="59"/>
      <c r="D172" s="59"/>
      <c r="E172" s="59"/>
      <c r="F172" s="59"/>
      <c r="G172" s="59"/>
      <c r="H172" s="59"/>
      <c r="I172" s="59"/>
      <c r="J172" s="59"/>
      <c r="K172" s="59"/>
      <c r="L172" s="59"/>
      <c r="M172" s="59"/>
      <c r="N172" s="59"/>
      <c r="O172" s="59"/>
    </row>
    <row r="173" spans="1:15">
      <c r="A173" s="59"/>
      <c r="B173" s="59"/>
      <c r="C173" s="59"/>
      <c r="D173" s="59"/>
      <c r="E173" s="59"/>
      <c r="F173" s="59"/>
      <c r="G173" s="59"/>
      <c r="H173" s="59"/>
      <c r="I173" s="59"/>
      <c r="J173" s="59"/>
      <c r="K173" s="59"/>
      <c r="L173" s="59"/>
      <c r="M173" s="59"/>
      <c r="N173" s="59"/>
      <c r="O173" s="59"/>
    </row>
    <row r="174" spans="1:15">
      <c r="A174" s="59"/>
      <c r="B174" s="59"/>
      <c r="C174" s="59"/>
      <c r="D174" s="59"/>
      <c r="E174" s="59"/>
      <c r="F174" s="59"/>
      <c r="G174" s="59"/>
      <c r="H174" s="59"/>
      <c r="I174" s="59"/>
      <c r="J174" s="59"/>
      <c r="K174" s="59"/>
      <c r="L174" s="59"/>
      <c r="M174" s="59"/>
      <c r="N174" s="59"/>
      <c r="O174" s="59"/>
    </row>
    <row r="175" spans="1:15">
      <c r="A175" s="59"/>
      <c r="B175" s="59"/>
      <c r="C175" s="59"/>
      <c r="D175" s="59"/>
      <c r="E175" s="59"/>
      <c r="F175" s="59"/>
      <c r="G175" s="59"/>
      <c r="H175" s="59"/>
      <c r="I175" s="59"/>
      <c r="J175" s="59"/>
      <c r="K175" s="59"/>
      <c r="L175" s="59"/>
      <c r="M175" s="59"/>
      <c r="N175" s="59"/>
      <c r="O175" s="59"/>
    </row>
    <row r="176" spans="1:15">
      <c r="A176" s="59"/>
      <c r="B176" s="59"/>
      <c r="C176" s="59"/>
      <c r="D176" s="59"/>
      <c r="E176" s="59"/>
      <c r="F176" s="59"/>
      <c r="G176" s="59"/>
      <c r="H176" s="59"/>
      <c r="I176" s="59"/>
      <c r="J176" s="59"/>
      <c r="K176" s="59"/>
      <c r="L176" s="59"/>
      <c r="M176" s="59"/>
      <c r="N176" s="59"/>
      <c r="O176" s="59"/>
    </row>
    <row r="177" spans="1:15">
      <c r="A177" s="59"/>
      <c r="B177" s="59"/>
      <c r="C177" s="59"/>
      <c r="D177" s="59"/>
      <c r="E177" s="59"/>
      <c r="F177" s="59"/>
      <c r="G177" s="59"/>
      <c r="H177" s="59"/>
      <c r="I177" s="59"/>
      <c r="J177" s="59"/>
      <c r="K177" s="59"/>
      <c r="L177" s="59"/>
      <c r="M177" s="59"/>
      <c r="N177" s="59"/>
      <c r="O177" s="59"/>
    </row>
    <row r="178" spans="1:15">
      <c r="A178" s="59"/>
      <c r="B178" s="59"/>
      <c r="C178" s="59"/>
      <c r="D178" s="59"/>
      <c r="E178" s="59"/>
      <c r="F178" s="59"/>
      <c r="G178" s="59"/>
      <c r="H178" s="59"/>
      <c r="I178" s="59"/>
      <c r="J178" s="59"/>
      <c r="K178" s="59"/>
      <c r="L178" s="59"/>
      <c r="M178" s="59"/>
      <c r="N178" s="59"/>
      <c r="O178" s="59"/>
    </row>
    <row r="179" spans="1:15">
      <c r="A179" s="59"/>
      <c r="B179" s="59"/>
      <c r="C179" s="59"/>
      <c r="D179" s="59"/>
      <c r="E179" s="59"/>
      <c r="F179" s="59"/>
      <c r="G179" s="59"/>
      <c r="H179" s="59"/>
      <c r="I179" s="59"/>
      <c r="J179" s="59"/>
      <c r="K179" s="59"/>
      <c r="L179" s="59"/>
      <c r="M179" s="59"/>
      <c r="N179" s="59"/>
      <c r="O179" s="59"/>
    </row>
    <row r="180" spans="1:15">
      <c r="A180" s="59"/>
      <c r="B180" s="59"/>
      <c r="C180" s="59"/>
      <c r="D180" s="59"/>
      <c r="E180" s="59"/>
      <c r="F180" s="59"/>
      <c r="G180" s="59"/>
      <c r="H180" s="59"/>
      <c r="I180" s="59"/>
      <c r="J180" s="59"/>
      <c r="K180" s="59"/>
      <c r="L180" s="59"/>
      <c r="M180" s="59"/>
      <c r="N180" s="59"/>
      <c r="O180" s="59"/>
    </row>
    <row r="181" spans="1:15">
      <c r="A181" s="59"/>
      <c r="B181" s="59"/>
      <c r="C181" s="59"/>
      <c r="D181" s="59"/>
      <c r="E181" s="59"/>
      <c r="F181" s="59"/>
      <c r="G181" s="59"/>
      <c r="H181" s="59"/>
      <c r="I181" s="59"/>
      <c r="J181" s="59"/>
      <c r="K181" s="59"/>
      <c r="L181" s="59"/>
      <c r="M181" s="59"/>
      <c r="N181" s="59"/>
      <c r="O181" s="59"/>
    </row>
    <row r="182" spans="1:15">
      <c r="A182" s="59"/>
      <c r="B182" s="59"/>
      <c r="C182" s="59"/>
      <c r="D182" s="59"/>
      <c r="E182" s="59"/>
      <c r="F182" s="59"/>
      <c r="G182" s="59"/>
      <c r="H182" s="59"/>
      <c r="I182" s="59"/>
      <c r="J182" s="59"/>
      <c r="K182" s="59"/>
      <c r="L182" s="59"/>
      <c r="M182" s="59"/>
      <c r="N182" s="59"/>
      <c r="O182" s="59"/>
    </row>
    <row r="183" spans="1:15">
      <c r="A183" s="59"/>
      <c r="B183" s="59"/>
      <c r="C183" s="59"/>
      <c r="D183" s="59"/>
      <c r="E183" s="59"/>
      <c r="F183" s="59"/>
      <c r="G183" s="59"/>
      <c r="H183" s="59"/>
      <c r="I183" s="59"/>
      <c r="J183" s="59"/>
      <c r="K183" s="59"/>
      <c r="L183" s="59"/>
      <c r="M183" s="59"/>
      <c r="N183" s="59"/>
      <c r="O183" s="59"/>
    </row>
    <row r="184" spans="1:15">
      <c r="A184" s="59"/>
      <c r="B184" s="59"/>
      <c r="C184" s="59"/>
      <c r="D184" s="59"/>
      <c r="E184" s="59"/>
      <c r="F184" s="59"/>
      <c r="G184" s="59"/>
      <c r="H184" s="59"/>
      <c r="I184" s="59"/>
      <c r="J184" s="59"/>
      <c r="K184" s="59"/>
      <c r="L184" s="59"/>
      <c r="M184" s="59"/>
      <c r="N184" s="59"/>
      <c r="O184" s="59"/>
    </row>
    <row r="185" spans="1:15">
      <c r="A185" s="59"/>
      <c r="B185" s="59"/>
      <c r="C185" s="59"/>
      <c r="D185" s="59"/>
      <c r="E185" s="59"/>
      <c r="F185" s="59"/>
      <c r="G185" s="59"/>
      <c r="H185" s="59"/>
      <c r="I185" s="59"/>
      <c r="J185" s="59"/>
      <c r="K185" s="59"/>
      <c r="L185" s="59"/>
      <c r="M185" s="59"/>
      <c r="N185" s="59"/>
      <c r="O185" s="59"/>
    </row>
    <row r="186" spans="1:15">
      <c r="A186" s="59"/>
      <c r="B186" s="59"/>
      <c r="C186" s="59"/>
      <c r="D186" s="59"/>
      <c r="E186" s="59"/>
      <c r="F186" s="59"/>
      <c r="G186" s="59"/>
      <c r="H186" s="59"/>
      <c r="I186" s="59"/>
      <c r="J186" s="59"/>
      <c r="K186" s="59"/>
      <c r="L186" s="59"/>
      <c r="M186" s="59"/>
      <c r="N186" s="59"/>
      <c r="O186" s="59"/>
    </row>
    <row r="187" spans="1:15">
      <c r="A187" s="59"/>
      <c r="B187" s="59"/>
      <c r="C187" s="59"/>
      <c r="D187" s="59"/>
      <c r="E187" s="59"/>
      <c r="F187" s="59"/>
      <c r="G187" s="59"/>
      <c r="H187" s="59"/>
      <c r="I187" s="59"/>
      <c r="J187" s="59"/>
      <c r="K187" s="59"/>
      <c r="L187" s="59"/>
      <c r="M187" s="59"/>
      <c r="N187" s="59"/>
      <c r="O187" s="59"/>
    </row>
    <row r="188" spans="1:15">
      <c r="A188" s="59"/>
      <c r="B188" s="59"/>
      <c r="C188" s="59"/>
      <c r="D188" s="59"/>
      <c r="E188" s="59"/>
      <c r="F188" s="59"/>
      <c r="G188" s="59"/>
      <c r="H188" s="59"/>
      <c r="I188" s="59"/>
      <c r="J188" s="59"/>
      <c r="K188" s="59"/>
      <c r="L188" s="59"/>
      <c r="M188" s="59"/>
      <c r="N188" s="59"/>
      <c r="O188" s="59"/>
    </row>
    <row r="189" spans="1:15">
      <c r="A189" s="59"/>
      <c r="B189" s="59"/>
      <c r="C189" s="59"/>
      <c r="D189" s="59"/>
      <c r="E189" s="59"/>
      <c r="F189" s="59"/>
      <c r="G189" s="59"/>
      <c r="H189" s="59"/>
      <c r="I189" s="59"/>
      <c r="J189" s="59"/>
      <c r="K189" s="59"/>
      <c r="L189" s="59"/>
      <c r="M189" s="59"/>
      <c r="N189" s="59"/>
      <c r="O189" s="59"/>
    </row>
    <row r="190" spans="1:15">
      <c r="A190" s="59"/>
      <c r="B190" s="59"/>
      <c r="C190" s="59"/>
      <c r="D190" s="59"/>
      <c r="E190" s="59"/>
      <c r="F190" s="59"/>
      <c r="G190" s="59"/>
      <c r="H190" s="59"/>
      <c r="I190" s="59"/>
      <c r="J190" s="59"/>
      <c r="K190" s="59"/>
      <c r="L190" s="59"/>
      <c r="M190" s="59"/>
      <c r="N190" s="59"/>
      <c r="O190" s="59"/>
    </row>
    <row r="191" spans="1:15">
      <c r="A191" s="59"/>
      <c r="B191" s="59"/>
      <c r="C191" s="59"/>
      <c r="D191" s="59"/>
      <c r="E191" s="59"/>
      <c r="F191" s="59"/>
      <c r="G191" s="59"/>
      <c r="H191" s="59"/>
      <c r="I191" s="59"/>
      <c r="J191" s="59"/>
      <c r="K191" s="59"/>
      <c r="L191" s="59"/>
      <c r="M191" s="59"/>
      <c r="N191" s="59"/>
      <c r="O191" s="59"/>
    </row>
    <row r="192" spans="1:15">
      <c r="A192" s="59"/>
      <c r="B192" s="59"/>
      <c r="C192" s="59"/>
      <c r="D192" s="59"/>
      <c r="E192" s="59"/>
      <c r="F192" s="59"/>
      <c r="G192" s="59"/>
      <c r="H192" s="59"/>
      <c r="I192" s="59"/>
      <c r="J192" s="59"/>
      <c r="K192" s="59"/>
      <c r="L192" s="59"/>
      <c r="M192" s="59"/>
      <c r="N192" s="59"/>
      <c r="O192" s="59"/>
    </row>
    <row r="193" spans="1:15">
      <c r="A193" s="59"/>
      <c r="B193" s="59"/>
      <c r="C193" s="59"/>
      <c r="D193" s="59"/>
      <c r="E193" s="59"/>
      <c r="F193" s="59"/>
      <c r="G193" s="59"/>
      <c r="H193" s="59"/>
      <c r="I193" s="59"/>
      <c r="J193" s="59"/>
      <c r="K193" s="59"/>
      <c r="L193" s="59"/>
      <c r="M193" s="59"/>
      <c r="N193" s="59"/>
      <c r="O193" s="59"/>
    </row>
    <row r="194" spans="1:15">
      <c r="A194" s="59"/>
      <c r="B194" s="59"/>
      <c r="C194" s="59"/>
      <c r="D194" s="59"/>
      <c r="E194" s="59"/>
      <c r="F194" s="59"/>
      <c r="G194" s="59"/>
      <c r="H194" s="59"/>
      <c r="I194" s="59"/>
      <c r="J194" s="59"/>
      <c r="K194" s="59"/>
      <c r="L194" s="59"/>
      <c r="M194" s="59"/>
      <c r="N194" s="59"/>
      <c r="O194" s="59"/>
    </row>
    <row r="195" spans="1:15">
      <c r="A195" s="59"/>
      <c r="B195" s="59"/>
      <c r="C195" s="59"/>
      <c r="D195" s="59"/>
      <c r="E195" s="59"/>
      <c r="F195" s="59"/>
      <c r="G195" s="59"/>
      <c r="H195" s="59"/>
      <c r="I195" s="59"/>
      <c r="J195" s="59"/>
      <c r="K195" s="59"/>
      <c r="L195" s="59"/>
      <c r="M195" s="59"/>
      <c r="N195" s="59"/>
      <c r="O195" s="59"/>
    </row>
    <row r="196" spans="1:15">
      <c r="A196" s="59"/>
      <c r="B196" s="59"/>
      <c r="C196" s="59"/>
      <c r="D196" s="59"/>
      <c r="E196" s="59"/>
      <c r="F196" s="59"/>
      <c r="G196" s="59"/>
      <c r="H196" s="59"/>
      <c r="I196" s="59"/>
      <c r="J196" s="59"/>
      <c r="K196" s="59"/>
      <c r="L196" s="59"/>
      <c r="M196" s="59"/>
      <c r="N196" s="59"/>
      <c r="O196" s="59"/>
    </row>
    <row r="197" spans="1:15">
      <c r="A197" s="59"/>
      <c r="B197" s="59"/>
      <c r="C197" s="59"/>
      <c r="D197" s="59"/>
      <c r="E197" s="59"/>
      <c r="F197" s="59"/>
      <c r="G197" s="59"/>
      <c r="H197" s="59"/>
      <c r="I197" s="59"/>
      <c r="J197" s="59"/>
      <c r="K197" s="59"/>
      <c r="L197" s="59"/>
      <c r="M197" s="59"/>
      <c r="N197" s="59"/>
      <c r="O197" s="59"/>
    </row>
    <row r="198" spans="1:15">
      <c r="A198" s="59"/>
      <c r="B198" s="59"/>
      <c r="C198" s="59"/>
      <c r="D198" s="59"/>
      <c r="E198" s="59"/>
      <c r="F198" s="59"/>
      <c r="G198" s="59"/>
      <c r="H198" s="59"/>
      <c r="I198" s="59"/>
      <c r="J198" s="59"/>
      <c r="K198" s="59"/>
      <c r="L198" s="59"/>
      <c r="M198" s="59"/>
      <c r="N198" s="59"/>
      <c r="O198" s="59"/>
    </row>
    <row r="199" spans="1:15">
      <c r="A199" s="59"/>
      <c r="B199" s="59"/>
      <c r="C199" s="59"/>
      <c r="D199" s="59"/>
      <c r="E199" s="59"/>
      <c r="F199" s="59"/>
      <c r="G199" s="59"/>
      <c r="H199" s="59"/>
      <c r="I199" s="59"/>
      <c r="J199" s="59"/>
      <c r="K199" s="59"/>
      <c r="L199" s="59"/>
      <c r="M199" s="59"/>
      <c r="N199" s="59"/>
      <c r="O199" s="59"/>
    </row>
    <row r="200" spans="1:15">
      <c r="A200" s="59"/>
      <c r="B200" s="59"/>
      <c r="C200" s="59"/>
      <c r="D200" s="59"/>
      <c r="E200" s="59"/>
      <c r="F200" s="59"/>
      <c r="G200" s="59"/>
      <c r="H200" s="59"/>
      <c r="I200" s="59"/>
      <c r="J200" s="59"/>
      <c r="K200" s="59"/>
      <c r="L200" s="59"/>
      <c r="M200" s="59"/>
      <c r="N200" s="59"/>
      <c r="O200" s="59"/>
    </row>
  </sheetData>
  <autoFilter ref="A93:M93" xr:uid="{0C7F68B1-9D03-E84B-AD22-1276A9700555}">
    <sortState xmlns:xlrd2="http://schemas.microsoft.com/office/spreadsheetml/2017/richdata2" ref="A94:M117">
      <sortCondition ref="E93:E117"/>
    </sortState>
  </autoFilter>
  <conditionalFormatting sqref="A94:K117">
    <cfRule type="expression" dxfId="7" priority="8">
      <formula>$F94&lt;6000</formula>
    </cfRule>
    <cfRule type="expression" dxfId="6" priority="9">
      <formula>AND($F94&gt;=6000,$F94&lt;10000)</formula>
    </cfRule>
    <cfRule type="expression" dxfId="5" priority="10">
      <formula>$F94&gt;=10000</formula>
    </cfRule>
    <cfRule type="expression" dxfId="4" priority="11">
      <formula>$K94="Yes"</formula>
    </cfRule>
    <cfRule type="expression" dxfId="3" priority="12" stopIfTrue="1">
      <formula>$K94="Yes"</formula>
    </cfRule>
    <cfRule type="expression" dxfId="2" priority="13">
      <formula>AND($F94&lt;6000,$F94&gt;0,$K94&lt;&gt;"Yes")</formula>
    </cfRule>
    <cfRule type="expression" dxfId="1" priority="14">
      <formula>AND($F94&gt;=6000,$F94&lt;10000,$K94&lt;&gt;"Yes")</formula>
    </cfRule>
    <cfRule type="expression" dxfId="0" priority="15">
      <formula>AND($F94&gt;=10000,$K94&lt;&gt;"Yes")</formula>
    </cfRule>
  </conditionalFormatting>
  <conditionalFormatting sqref="B13:B16">
    <cfRule type="dataBar" priority="3">
      <dataBar>
        <cfvo type="min"/>
        <cfvo type="max"/>
        <color rgb="FF4D93D9"/>
      </dataBar>
      <extLst>
        <ext xmlns:x14="http://schemas.microsoft.com/office/spreadsheetml/2009/9/main" uri="{B025F937-C7B1-47D3-B67F-A62EFF666E3E}">
          <x14:id>{B766E50C-2D06-D541-A320-EBDC3217C853}</x14:id>
        </ext>
      </extLst>
    </cfRule>
  </conditionalFormatting>
  <conditionalFormatting sqref="B38:B41">
    <cfRule type="dataBar" priority="4">
      <dataBar>
        <cfvo type="min"/>
        <cfvo type="max"/>
        <color rgb="FF4CAF50"/>
      </dataBar>
      <extLst>
        <ext xmlns:x14="http://schemas.microsoft.com/office/spreadsheetml/2009/9/main" uri="{B025F937-C7B1-47D3-B67F-A62EFF666E3E}">
          <x14:id>{96E9A597-87B0-E141-9581-16F7F39DA1FF}</x14:id>
        </ext>
      </extLst>
    </cfRule>
  </conditionalFormatting>
  <conditionalFormatting sqref="D38:D41">
    <cfRule type="colorScale" priority="5">
      <colorScale>
        <cfvo type="min"/>
        <cfvo type="percentile" val="50"/>
        <cfvo type="max"/>
        <color rgb="FF4CAF50"/>
        <color rgb="FFFFF9C4"/>
        <color rgb="FFE53935"/>
      </colorScale>
    </cfRule>
  </conditionalFormatting>
  <conditionalFormatting sqref="D94:D117">
    <cfRule type="dataBar" priority="7">
      <dataBar>
        <cfvo type="min"/>
        <cfvo type="max"/>
        <color rgb="FF215C98"/>
      </dataBar>
      <extLst>
        <ext xmlns:x14="http://schemas.microsoft.com/office/spreadsheetml/2009/9/main" uri="{B025F937-C7B1-47D3-B67F-A62EFF666E3E}">
          <x14:id>{E9F5DECD-8CAA-8143-90F4-7A66CD508661}</x14:id>
        </ext>
      </extLst>
    </cfRule>
    <cfRule type="dataBar" priority="17">
      <dataBar>
        <cfvo type="min"/>
        <cfvo type="max"/>
        <color rgb="FF215C98"/>
      </dataBar>
      <extLst>
        <ext xmlns:x14="http://schemas.microsoft.com/office/spreadsheetml/2009/9/main" uri="{B025F937-C7B1-47D3-B67F-A62EFF666E3E}">
          <x14:id>{6826538C-7215-3443-B4AB-84FAB27EEC30}</x14:id>
        </ext>
      </extLst>
    </cfRule>
  </conditionalFormatting>
  <conditionalFormatting sqref="E13:E16">
    <cfRule type="colorScale" priority="2">
      <colorScale>
        <cfvo type="min"/>
        <cfvo type="percentile" val="50"/>
        <cfvo type="max"/>
        <color rgb="FF4CAF50"/>
        <color rgb="FFFFF9C4"/>
        <color rgb="FFE53935"/>
      </colorScale>
    </cfRule>
  </conditionalFormatting>
  <conditionalFormatting sqref="E94:E117">
    <cfRule type="colorScale" priority="6">
      <colorScale>
        <cfvo type="min"/>
        <cfvo type="percentile" val="50"/>
        <cfvo type="max"/>
        <color rgb="FFE8F5E9"/>
        <color rgb="FFFFF9C4"/>
        <color rgb="FFFFCDD2"/>
      </colorScale>
    </cfRule>
    <cfRule type="colorScale" priority="16">
      <colorScale>
        <cfvo type="min"/>
        <cfvo type="percentile" val="50"/>
        <cfvo type="max"/>
        <color rgb="FFE8F5E9"/>
        <color rgb="FFFFF9C4"/>
        <color rgb="FFFFCDD2"/>
      </colorScale>
    </cfRule>
  </conditionalFormatting>
  <conditionalFormatting sqref="G13:G16">
    <cfRule type="colorScale" priority="1">
      <colorScale>
        <cfvo type="min"/>
        <cfvo type="percentile" val="50"/>
        <cfvo type="max"/>
        <color rgb="FF4CAF50"/>
        <color rgb="FFFFF9C4"/>
        <color rgb="FFE53935"/>
      </colorScale>
    </cfRule>
  </conditionalFormatting>
  <hyperlinks>
    <hyperlink ref="M117" r:id="rId1" xr:uid="{21603529-B071-DC43-B280-E4E7225B708D}"/>
    <hyperlink ref="M95" r:id="rId2" xr:uid="{68100824-EDE5-4C42-8C9A-9195AB0821FF}"/>
    <hyperlink ref="M94" r:id="rId3" xr:uid="{5D84B02E-3530-BF4C-9404-5B265C692B67}"/>
    <hyperlink ref="M96" r:id="rId4" xr:uid="{3F1B72A0-F2CB-C24A-9A46-873097D40710}"/>
    <hyperlink ref="M115" r:id="rId5" xr:uid="{38379E5C-78B5-1A40-92C4-84363DA4F8BF}"/>
    <hyperlink ref="M116" r:id="rId6" xr:uid="{015F34BF-E9FF-D64C-AF0B-C027F6C34015}"/>
    <hyperlink ref="M113" r:id="rId7" xr:uid="{EAA815B5-67B3-8343-A392-E3B15775FAE7}"/>
  </hyperlinks>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x14:cfRule type="dataBar" id="{B766E50C-2D06-D541-A320-EBDC3217C853}">
            <x14:dataBar minLength="0" maxLength="100" direction="leftToRight" negativeBarColorSameAsPositive="1" axisPosition="none">
              <x14:cfvo type="min"/>
              <x14:cfvo type="max"/>
            </x14:dataBar>
          </x14:cfRule>
          <xm:sqref>B13:B16</xm:sqref>
        </x14:conditionalFormatting>
        <x14:conditionalFormatting xmlns:xm="http://schemas.microsoft.com/office/excel/2006/main">
          <x14:cfRule type="dataBar" id="{96E9A597-87B0-E141-9581-16F7F39DA1FF}">
            <x14:dataBar minLength="0" maxLength="100" direction="leftToRight" negativeBarColorSameAsPositive="1" axisPosition="none">
              <x14:cfvo type="min"/>
              <x14:cfvo type="max"/>
            </x14:dataBar>
          </x14:cfRule>
          <xm:sqref>B38:B41</xm:sqref>
        </x14:conditionalFormatting>
        <x14:conditionalFormatting xmlns:xm="http://schemas.microsoft.com/office/excel/2006/main">
          <x14:cfRule type="dataBar" id="{E9F5DECD-8CAA-8143-90F4-7A66CD508661}">
            <x14:dataBar minLength="0" maxLength="100" direction="leftToRight" negativeBarColorSameAsPositive="1" axisPosition="none">
              <x14:cfvo type="min"/>
              <x14:cfvo type="max"/>
            </x14:dataBar>
          </x14:cfRule>
          <x14:cfRule type="dataBar" id="{6826538C-7215-3443-B4AB-84FAB27EEC30}">
            <x14:dataBar minLength="0" maxLength="100" direction="leftToRight" negativeBarColorSameAsPositive="1" axisPosition="none">
              <x14:cfvo type="min"/>
              <x14:cfvo type="max"/>
            </x14:dataBar>
          </x14:cfRule>
          <xm:sqref>D94:D117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6784C-B4B6-B649-9DF5-56AAB777392F}">
  <dimension ref="A1:N49"/>
  <sheetViews>
    <sheetView workbookViewId="0">
      <selection activeCell="L35" sqref="L35"/>
    </sheetView>
  </sheetViews>
  <sheetFormatPr baseColWidth="10" defaultRowHeight="16"/>
  <cols>
    <col min="1" max="1" width="35.83203125" bestFit="1" customWidth="1"/>
    <col min="2" max="2" width="10.1640625" bestFit="1" customWidth="1"/>
    <col min="3" max="3" width="12.1640625" bestFit="1" customWidth="1"/>
    <col min="4" max="4" width="13.6640625" bestFit="1" customWidth="1"/>
    <col min="5" max="5" width="12.6640625" bestFit="1" customWidth="1"/>
    <col min="6" max="6" width="7.6640625" bestFit="1" customWidth="1"/>
    <col min="7" max="8" width="10.6640625" bestFit="1" customWidth="1"/>
    <col min="9" max="9" width="10.1640625" bestFit="1" customWidth="1"/>
    <col min="10" max="10" width="11.1640625" bestFit="1" customWidth="1"/>
    <col min="12" max="12" width="18.5" bestFit="1" customWidth="1"/>
    <col min="13" max="13" width="9.6640625" bestFit="1" customWidth="1"/>
    <col min="14" max="14" width="6.1640625" bestFit="1" customWidth="1"/>
  </cols>
  <sheetData>
    <row r="1" spans="1:14" ht="24">
      <c r="A1" s="483" t="s">
        <v>6625</v>
      </c>
      <c r="B1" s="483"/>
      <c r="C1" s="483"/>
      <c r="D1" s="483"/>
      <c r="E1" s="483"/>
      <c r="F1" s="483"/>
      <c r="G1" s="483"/>
      <c r="H1" s="483"/>
      <c r="I1" s="483"/>
      <c r="J1" s="483"/>
    </row>
    <row r="2" spans="1:14">
      <c r="A2" s="484" t="s">
        <v>6626</v>
      </c>
      <c r="B2" s="484"/>
      <c r="C2" s="484"/>
      <c r="D2" s="484"/>
      <c r="E2" s="484"/>
      <c r="F2" s="484"/>
      <c r="G2" s="484"/>
      <c r="H2" s="484"/>
      <c r="I2" s="484"/>
      <c r="J2" s="484"/>
      <c r="L2" s="71" t="s">
        <v>6224</v>
      </c>
      <c r="M2" s="71" t="s">
        <v>6220</v>
      </c>
    </row>
    <row r="3" spans="1:14">
      <c r="L3" s="377">
        <v>2020</v>
      </c>
      <c r="M3" s="378">
        <f t="shared" ref="M3:M8" si="0">G13</f>
        <v>257.41791649777059</v>
      </c>
    </row>
    <row r="4" spans="1:14" ht="19">
      <c r="A4" s="55" t="s">
        <v>6213</v>
      </c>
      <c r="B4" s="375"/>
      <c r="C4" s="375"/>
      <c r="D4" s="375"/>
      <c r="E4" s="375"/>
      <c r="F4" s="375"/>
      <c r="G4" s="375"/>
      <c r="H4" s="375"/>
      <c r="I4" s="375"/>
      <c r="J4" s="375"/>
      <c r="L4" s="377">
        <v>2021</v>
      </c>
      <c r="M4" s="378">
        <f t="shared" si="0"/>
        <v>240.36281179138322</v>
      </c>
    </row>
    <row r="5" spans="1:14">
      <c r="A5" s="56" t="s">
        <v>6214</v>
      </c>
      <c r="B5" s="56" t="s">
        <v>6215</v>
      </c>
      <c r="C5" s="56" t="s">
        <v>6216</v>
      </c>
      <c r="D5" s="56" t="s">
        <v>6217</v>
      </c>
      <c r="E5" s="56" t="s">
        <v>6218</v>
      </c>
      <c r="F5" s="56" t="s">
        <v>6219</v>
      </c>
      <c r="G5" s="56" t="s">
        <v>6220</v>
      </c>
      <c r="H5" s="56" t="s">
        <v>6221</v>
      </c>
      <c r="I5" s="56" t="s">
        <v>6230</v>
      </c>
      <c r="J5" s="56" t="s">
        <v>6231</v>
      </c>
      <c r="L5" s="377">
        <v>2022</v>
      </c>
      <c r="M5" s="378">
        <f t="shared" si="0"/>
        <v>239.705574331018</v>
      </c>
    </row>
    <row r="6" spans="1:14">
      <c r="A6" s="57" t="s">
        <v>26</v>
      </c>
      <c r="B6" s="62">
        <f>COUNTIFS('Medical Sales'!N:N,"Medical",'Medical Sales'!U:U,"Yes")</f>
        <v>125</v>
      </c>
      <c r="C6" s="63" cm="1">
        <f t="array" ref="C6">SUMPRODUCT(('Medical Sales'!N3:N196="Medical")*('Medical Sales'!U3:U196="Yes")*('Medical Sales'!E3:E196))</f>
        <v>141398100</v>
      </c>
      <c r="D6" s="61">
        <f>IF(B6=0,"-",C6/B6)</f>
        <v>1131184.8</v>
      </c>
      <c r="E6" s="61" cm="1">
        <f t="array" ref="E6">MEDIAN(IF(('Medical Sales'!N3:N196="Medical")*('Medical Sales'!U3:U196="Yes"),'Medical Sales'!E3:E196))</f>
        <v>846000</v>
      </c>
      <c r="F6" s="61" cm="1">
        <f t="array" ref="F6">SUMPRODUCT(('Medical Sales'!N3:N196="Medical")*('Medical Sales'!U3:U196="Yes")*('Medical Sales'!F3:F196))/SUMPRODUCT(('Medical Sales'!N3:N196="Medical")*('Medical Sales'!U3:U196="Yes")*('Medical Sales'!F3:F196&lt;&gt;0)*1)</f>
        <v>253.64941088214675</v>
      </c>
      <c r="G6" s="61" cm="1">
        <f t="array" ref="G6">MEDIAN(IF(('Medical Sales'!N3:N196="Medical")*('Medical Sales'!U3:U196="Yes"),'Medical Sales'!F3:F196))</f>
        <v>243.05555555555554</v>
      </c>
      <c r="H6" s="62" cm="1">
        <f t="array" ref="H6">SUMPRODUCT(('Medical Sales'!N3:N196="Medical")*('Medical Sales'!U3:U196="Yes")*('Medical Sales'!G3:G196))/B6</f>
        <v>4442.5200000000004</v>
      </c>
      <c r="I6" s="63" cm="1">
        <f t="array" ref="I6">MIN(IF(('Medical Sales'!N3:N196="Medical")*('Medical Sales'!U3:U196="Yes"),'Medical Sales'!E3:E196))</f>
        <v>210000</v>
      </c>
      <c r="J6" s="63" cm="1">
        <f t="array" ref="J6">MAX(IF(('Medical Sales'!N3:N196="Medical")*('Medical Sales'!U3:U196="Yes"),'Medical Sales'!E3:E196))</f>
        <v>5050000</v>
      </c>
      <c r="L6" s="377">
        <v>2023</v>
      </c>
      <c r="M6" s="378">
        <f t="shared" si="0"/>
        <v>240.7391634972472</v>
      </c>
    </row>
    <row r="7" spans="1:14">
      <c r="A7" s="57" t="s">
        <v>1519</v>
      </c>
      <c r="B7" s="62">
        <f>COUNTIFS('Medical Sales'!N:N,"Multi-Tenant Medical",'Medical Sales'!U:U,"Yes")</f>
        <v>31</v>
      </c>
      <c r="C7" s="63" cm="1">
        <f t="array" ref="C7">SUMPRODUCT(('Medical Sales'!N3:N196="Multi-Tenant Medical")*('Medical Sales'!U3:U196="Yes")*('Medical Sales'!E3:E196))</f>
        <v>164653900</v>
      </c>
      <c r="D7" s="61">
        <f>IF(B7=0,"-",C7/B7)</f>
        <v>5311416.1290322579</v>
      </c>
      <c r="E7" s="61" cm="1">
        <f t="array" ref="E7">MEDIAN(IF(('Medical Sales'!N3:N196="Multi-Tenant Medical")*('Medical Sales'!U3:U196="Yes"),'Medical Sales'!E3:E196))</f>
        <v>4875000</v>
      </c>
      <c r="F7" s="61" cm="1">
        <f t="array" ref="F7">SUMPRODUCT(('Medical Sales'!N3:N196="Multi-Tenant Medical")*('Medical Sales'!U3:U196="Yes")*('Medical Sales'!F3:F196))/SUMPRODUCT(('Medical Sales'!N3:N196="Multi-Tenant Medical")*('Medical Sales'!U3:U196="Yes")*('Medical Sales'!F3:F196&lt;&gt;0)*1)</f>
        <v>285.60206973628095</v>
      </c>
      <c r="G7" s="61" cm="1">
        <f t="array" ref="G7">MEDIAN(IF(('Medical Sales'!N3:N196="Multi-Tenant Medical")*('Medical Sales'!U3:U196="Yes"),'Medical Sales'!F3:F196))</f>
        <v>247.25274725274724</v>
      </c>
      <c r="H7" s="62" cm="1">
        <f t="array" ref="H7">SUMPRODUCT(('Medical Sales'!N3:N196="Multi-Tenant Medical")*('Medical Sales'!U3:U196="Yes")*('Medical Sales'!G3:G196))/B7</f>
        <v>20013.709677419356</v>
      </c>
      <c r="I7" s="63" cm="1">
        <f t="array" ref="I7">MIN(IF(('Medical Sales'!N3:N196="Multi-Tenant Medical")*('Medical Sales'!U3:U196="Yes"),'Medical Sales'!E3:E196))</f>
        <v>1600000</v>
      </c>
      <c r="J7" s="63" cm="1">
        <f t="array" ref="J7">MAX(IF(('Medical Sales'!N3:N196="Multi-Tenant Medical")*('Medical Sales'!U3:U196="Yes"),'Medical Sales'!E3:E196))</f>
        <v>15500000</v>
      </c>
      <c r="L7" s="377">
        <v>2024</v>
      </c>
      <c r="M7" s="378">
        <f t="shared" si="0"/>
        <v>254.74794077781252</v>
      </c>
    </row>
    <row r="8" spans="1:14" ht="17" thickBot="1">
      <c r="A8" s="57" t="s">
        <v>6629</v>
      </c>
      <c r="B8" s="62">
        <f>COUNTIFS('Medical Sales'!N:N,"Hospitals",'Medical Sales'!U:U,"Yes")</f>
        <v>9</v>
      </c>
      <c r="C8" s="63" cm="1">
        <f t="array" ref="C8">SUMPRODUCT(('Medical Sales'!N3:N196="Hospitals")*('Medical Sales'!U3:U196="Yes")*('Medical Sales'!E3:E196))</f>
        <v>67023500</v>
      </c>
      <c r="D8" s="61">
        <f>IF(B8=0,"-",C8/B8)</f>
        <v>7447055.555555556</v>
      </c>
      <c r="E8" s="61" cm="1">
        <f t="array" ref="E8">MEDIAN(IF(('Medical Sales'!N3:N196="Hospitals")*('Medical Sales'!U3:U196="Yes"),'Medical Sales'!E3:E196))</f>
        <v>5150000</v>
      </c>
      <c r="F8" s="61" cm="1">
        <f t="array" ref="F8">SUMPRODUCT(('Medical Sales'!N3:N196="Hospitals")*('Medical Sales'!U3:U196="Yes")*('Medical Sales'!F3:F196))/SUMPRODUCT(('Medical Sales'!N3:N196="Hospitals")*('Medical Sales'!U3:U196="Yes")*('Medical Sales'!F3:F196&lt;&gt;0)*1)</f>
        <v>542.79918185564384</v>
      </c>
      <c r="G8" s="61" cm="1">
        <f t="array" ref="G8">MEDIAN(IF(('Medical Sales'!N3:N196="Hospitals")*('Medical Sales'!U3:U196="Yes"),'Medical Sales'!F3:F196))</f>
        <v>466.9558359621451</v>
      </c>
      <c r="H8" s="62" cm="1">
        <f t="array" ref="H8">SUMPRODUCT(('Medical Sales'!N3:N196="Hospitals")*('Medical Sales'!U3:U196="Yes")*('Medical Sales'!G3:G196))/B8</f>
        <v>14056</v>
      </c>
      <c r="I8" s="63" cm="1">
        <f t="array" ref="I8">MIN(IF(('Medical Sales'!N3:N196="Hospitals")*('Medical Sales'!U3:U196="Yes"),'Medical Sales'!E3:E196))</f>
        <v>1340800</v>
      </c>
      <c r="J8" s="63" cm="1">
        <f t="array" ref="J8">MAX(IF(('Medical Sales'!N3:N196="Hospitals")*('Medical Sales'!U3:U196="Yes"),'Medical Sales'!E3:E196))</f>
        <v>15500000</v>
      </c>
      <c r="L8" s="377">
        <v>2025</v>
      </c>
      <c r="M8" s="378">
        <f t="shared" si="0"/>
        <v>326.34032634032633</v>
      </c>
    </row>
    <row r="9" spans="1:14">
      <c r="A9" s="58" t="s">
        <v>6222</v>
      </c>
      <c r="B9" s="64">
        <f>SUM(B6:B8)</f>
        <v>165</v>
      </c>
      <c r="C9" s="65">
        <f>SUM(C6:C8)</f>
        <v>373075500</v>
      </c>
      <c r="D9" s="66">
        <f>IF(B9=0,"-",C9/B9)</f>
        <v>2261063.6363636362</v>
      </c>
      <c r="E9" s="66" cm="1">
        <f t="array" ref="E9">MEDIAN(IF('Medical Sales'!U3:U196="Yes",'Medical Sales'!E3:E196))</f>
        <v>1200000</v>
      </c>
      <c r="F9" s="66" cm="1">
        <f t="array" ref="F9">IF(B9=0,"-",D9/SUMPRODUCT(('Medical Sales'!U3:U196="Yes")*('Medical Sales'!G3:G196))*B9)</f>
        <v>286.48663384127701</v>
      </c>
      <c r="G9" s="66" cm="1">
        <f t="array" ref="G9">MEDIAN(IF('Medical Sales'!U3:U196="Yes",'Medical Sales'!F3:F196))</f>
        <v>251.91823220326782</v>
      </c>
      <c r="H9" s="64" cm="1">
        <f t="array" ref="H9">SUMPRODUCT(('Medical Sales'!U3:U196="Yes")*('Medical Sales'!G3:G196))/B9</f>
        <v>7892.3878787878784</v>
      </c>
      <c r="I9" s="65" cm="1">
        <f t="array" ref="I9">MIN(IF('Medical Sales'!U3:U196="Yes",'Medical Sales'!E3:E196))</f>
        <v>210000</v>
      </c>
      <c r="J9" s="65" cm="1">
        <f t="array" ref="J9">MAX(IF('Medical Sales'!U3:U196="Yes",'Medical Sales'!E3:E196))</f>
        <v>15500000</v>
      </c>
    </row>
    <row r="10" spans="1:14">
      <c r="L10" s="71" t="s">
        <v>2</v>
      </c>
      <c r="M10" s="71" t="s">
        <v>6220</v>
      </c>
      <c r="N10" s="71" t="s">
        <v>6215</v>
      </c>
    </row>
    <row r="11" spans="1:14" ht="19">
      <c r="A11" s="55" t="s">
        <v>6223</v>
      </c>
      <c r="B11" s="375"/>
      <c r="C11" s="375"/>
      <c r="D11" s="375"/>
      <c r="E11" s="375"/>
      <c r="F11" s="375"/>
      <c r="G11" s="375"/>
      <c r="H11" s="375"/>
      <c r="I11" s="375"/>
      <c r="J11" s="375"/>
      <c r="L11" s="376" t="s">
        <v>33</v>
      </c>
      <c r="M11" s="378">
        <f>G22</f>
        <v>292.37041887288063</v>
      </c>
      <c r="N11" s="420">
        <f>B22</f>
        <v>68</v>
      </c>
    </row>
    <row r="12" spans="1:14">
      <c r="A12" s="56" t="s">
        <v>6224</v>
      </c>
      <c r="B12" s="56" t="s">
        <v>6215</v>
      </c>
      <c r="C12" s="56" t="s">
        <v>6216</v>
      </c>
      <c r="D12" s="56" t="s">
        <v>6217</v>
      </c>
      <c r="E12" s="56" t="s">
        <v>6218</v>
      </c>
      <c r="F12" s="56" t="s">
        <v>6219</v>
      </c>
      <c r="G12" s="56" t="s">
        <v>6220</v>
      </c>
      <c r="H12" s="56" t="s">
        <v>6221</v>
      </c>
      <c r="I12" s="56" t="s">
        <v>6230</v>
      </c>
      <c r="J12" s="56" t="s">
        <v>6231</v>
      </c>
      <c r="L12" s="376" t="s">
        <v>20</v>
      </c>
      <c r="M12" s="378">
        <f>G23</f>
        <v>231.56724712856612</v>
      </c>
      <c r="N12" s="420">
        <f>B23</f>
        <v>53</v>
      </c>
    </row>
    <row r="13" spans="1:14">
      <c r="A13" s="57">
        <v>2020</v>
      </c>
      <c r="B13" s="62" cm="1">
        <f t="array" ref="B13">SUMPRODUCT((LEFT('Medical Sales'!D3:D196,4)="2020")*('Medical Sales'!U3:U196="Yes")*1)</f>
        <v>23</v>
      </c>
      <c r="C13" s="63" cm="1">
        <f t="array" ref="C13">SUMPRODUCT((LEFT('Medical Sales'!D3:D196,4)="2020")*('Medical Sales'!U3:U196="Yes")*('Medical Sales'!E3:E196))</f>
        <v>47028100</v>
      </c>
      <c r="D13" s="61">
        <f t="shared" ref="D13:D18" si="1">IF(B13=0,"-",C13/B13)</f>
        <v>2044700</v>
      </c>
      <c r="E13" s="61" cm="1">
        <f t="array" ref="E13">MEDIAN(IF((LEFT('Medical Sales'!D3:D196,4)="2020")*('Medical Sales'!U3:U196="Yes"),'Medical Sales'!E3:E196))</f>
        <v>1340800</v>
      </c>
      <c r="F13" s="61" cm="1">
        <f t="array" ref="F13">IF(B13=0,"-",SUMPRODUCT((LEFT('Medical Sales'!D3:D196,4)="2020")*('Medical Sales'!U3:U196="Yes")*('Medical Sales'!F3:F196))/SUMPRODUCT((LEFT('Medical Sales'!D3:D196,4)="2020")*('Medical Sales'!U3:U196="Yes")*('Medical Sales'!F3:F196&lt;&gt;0)*1))</f>
        <v>268.56027863528629</v>
      </c>
      <c r="G13" s="61" cm="1">
        <f t="array" ref="G13">MEDIAN(IF((LEFT('Medical Sales'!D3:D196,4)="2020")*('Medical Sales'!U3:U196="Yes"),'Medical Sales'!F3:F196))</f>
        <v>257.41791649777059</v>
      </c>
      <c r="H13" s="62" cm="1">
        <f t="array" ref="H13">IF(B13=0,"-",SUMPRODUCT((LEFT('Medical Sales'!D3:D196,4)="2020")*('Medical Sales'!U3:U196="Yes")*('Medical Sales'!G3:G196))/B13)</f>
        <v>7536</v>
      </c>
      <c r="I13" s="63" cm="1">
        <f t="array" ref="I13">MIN(IF((LEFT('Medical Sales'!D3:D196,4)="2020")*('Medical Sales'!U3:U196="Yes"),'Medical Sales'!E3:E196))</f>
        <v>210000</v>
      </c>
      <c r="J13" s="63" cm="1">
        <f t="array" ref="J13">MAX(IF((LEFT('Medical Sales'!D3:D196,4)="2020")*('Medical Sales'!U3:U196="Yes"),'Medical Sales'!E3:E196))</f>
        <v>5610000</v>
      </c>
      <c r="L13" s="376" t="s">
        <v>678</v>
      </c>
      <c r="M13" s="378">
        <f>G24</f>
        <v>302.17260108630052</v>
      </c>
      <c r="N13" s="420">
        <f>B24</f>
        <v>23</v>
      </c>
    </row>
    <row r="14" spans="1:14">
      <c r="A14" s="57">
        <v>2021</v>
      </c>
      <c r="B14" s="62" cm="1">
        <f t="array" ref="B14">SUMPRODUCT((LEFT('Medical Sales'!D3:D196,4)="2021")*('Medical Sales'!U3:U196="Yes")*1)</f>
        <v>47</v>
      </c>
      <c r="C14" s="63" cm="1">
        <f t="array" ref="C14">SUMPRODUCT((LEFT('Medical Sales'!D3:D196,4)="2021")*('Medical Sales'!U3:U196="Yes")*('Medical Sales'!E3:E196))</f>
        <v>127584900</v>
      </c>
      <c r="D14" s="61">
        <f t="shared" si="1"/>
        <v>2714572.3404255318</v>
      </c>
      <c r="E14" s="61" cm="1">
        <f t="array" ref="E14">MEDIAN(IF((LEFT('Medical Sales'!D3:D196,4)="2021")*('Medical Sales'!U3:U196="Yes"),'Medical Sales'!E3:E196))</f>
        <v>1200000</v>
      </c>
      <c r="F14" s="61" cm="1">
        <f t="array" ref="F14">IF(B14=0,"-",SUMPRODUCT((LEFT('Medical Sales'!D3:D196,4)="2021")*('Medical Sales'!U3:U196="Yes")*('Medical Sales'!F3:F196))/SUMPRODUCT((LEFT('Medical Sales'!D3:D196,4)="2021")*('Medical Sales'!U3:U196="Yes")*('Medical Sales'!F3:F196&lt;&gt;0)*1))</f>
        <v>285.97428398422409</v>
      </c>
      <c r="G14" s="61" cm="1">
        <f t="array" ref="G14">MEDIAN(IF((LEFT('Medical Sales'!D3:D196,4)="2021")*('Medical Sales'!U3:U196="Yes"),'Medical Sales'!F3:F196))</f>
        <v>240.36281179138322</v>
      </c>
      <c r="H14" s="62" cm="1">
        <f t="array" ref="H14">IF(B14=0,"-",SUMPRODUCT((LEFT('Medical Sales'!D3:D196,4)="2021")*('Medical Sales'!U3:U196="Yes")*('Medical Sales'!G3:G196))/B14)</f>
        <v>9015.4042553191484</v>
      </c>
      <c r="I14" s="63" cm="1">
        <f t="array" ref="I14">MIN(IF((LEFT('Medical Sales'!D3:D196,4)="2021")*('Medical Sales'!U3:U196="Yes"),'Medical Sales'!E3:E196))</f>
        <v>250100</v>
      </c>
      <c r="J14" s="63" cm="1">
        <f t="array" ref="J14">MAX(IF((LEFT('Medical Sales'!D3:D196,4)="2021")*('Medical Sales'!U3:U196="Yes"),'Medical Sales'!E3:E196))</f>
        <v>15500000</v>
      </c>
      <c r="L14" s="376" t="s">
        <v>184</v>
      </c>
      <c r="M14" s="378">
        <f>G25</f>
        <v>199.5</v>
      </c>
      <c r="N14" s="420">
        <f>B25</f>
        <v>21</v>
      </c>
    </row>
    <row r="15" spans="1:14">
      <c r="A15" s="57">
        <v>2022</v>
      </c>
      <c r="B15" s="62" cm="1">
        <f t="array" ref="B15">SUMPRODUCT((LEFT('Medical Sales'!D3:D196,4)="2022")*('Medical Sales'!U3:U196="Yes")*1)</f>
        <v>32</v>
      </c>
      <c r="C15" s="63" cm="1">
        <f t="array" ref="C15">SUMPRODUCT((LEFT('Medical Sales'!D3:D196,4)="2022")*('Medical Sales'!U3:U196="Yes")*('Medical Sales'!E3:E196))</f>
        <v>61709300</v>
      </c>
      <c r="D15" s="61">
        <f t="shared" si="1"/>
        <v>1928415.625</v>
      </c>
      <c r="E15" s="61" cm="1">
        <f t="array" ref="E15">MEDIAN(IF((LEFT('Medical Sales'!D3:D196,4)="2022")*('Medical Sales'!U3:U196="Yes"),'Medical Sales'!E3:E196))</f>
        <v>912500</v>
      </c>
      <c r="F15" s="61" cm="1">
        <f t="array" ref="F15">IF(B15=0,"-",SUMPRODUCT((LEFT('Medical Sales'!D3:D196,4)="2022")*('Medical Sales'!U3:U196="Yes")*('Medical Sales'!F3:F196))/SUMPRODUCT((LEFT('Medical Sales'!D3:D196,4)="2022")*('Medical Sales'!U3:U196="Yes")*('Medical Sales'!F3:F196&lt;&gt;0)*1))</f>
        <v>257.13098312215755</v>
      </c>
      <c r="G15" s="61" cm="1">
        <f t="array" ref="G15">MEDIAN(IF((LEFT('Medical Sales'!D3:D196,4)="2022")*('Medical Sales'!U3:U196="Yes"),'Medical Sales'!F3:F196))</f>
        <v>239.705574331018</v>
      </c>
      <c r="H15" s="62" cm="1">
        <f t="array" ref="H15">IF(B15=0,"-",SUMPRODUCT((LEFT('Medical Sales'!D3:D196,4)="2022")*('Medical Sales'!U3:U196="Yes")*('Medical Sales'!G3:G196))/B15)</f>
        <v>8037.21875</v>
      </c>
      <c r="I15" s="63" cm="1">
        <f t="array" ref="I15">MIN(IF((LEFT('Medical Sales'!D3:D196,4)="2022")*('Medical Sales'!U3:U196="Yes"),'Medical Sales'!E3:E196))</f>
        <v>350000</v>
      </c>
      <c r="J15" s="63" cm="1">
        <f t="array" ref="J15">MAX(IF((LEFT('Medical Sales'!D3:D196,4)="2022")*('Medical Sales'!U3:U196="Yes"),'Medical Sales'!E3:E196))</f>
        <v>7125000</v>
      </c>
    </row>
    <row r="16" spans="1:14">
      <c r="A16" s="57">
        <v>2023</v>
      </c>
      <c r="B16" s="62" cm="1">
        <f t="array" ref="B16">SUMPRODUCT((LEFT('Medical Sales'!D3:D196,4)="2023")*('Medical Sales'!U3:U196="Yes")*1)</f>
        <v>26</v>
      </c>
      <c r="C16" s="63" cm="1">
        <f t="array" ref="C16">SUMPRODUCT((LEFT('Medical Sales'!D3:D196,4)="2023")*('Medical Sales'!U3:U196="Yes")*('Medical Sales'!E3:E196))</f>
        <v>53144500</v>
      </c>
      <c r="D16" s="61">
        <f t="shared" si="1"/>
        <v>2044019.2307692308</v>
      </c>
      <c r="E16" s="61" cm="1">
        <f t="array" ref="E16">MEDIAN(IF((LEFT('Medical Sales'!D3:D196,4)="2023")*('Medical Sales'!U3:U196="Yes"),'Medical Sales'!E3:E196))</f>
        <v>1062500</v>
      </c>
      <c r="F16" s="61" cm="1">
        <f t="array" ref="F16">IF(B16=0,"-",SUMPRODUCT((LEFT('Medical Sales'!D3:D196,4)="2023")*('Medical Sales'!U3:U196="Yes")*('Medical Sales'!F3:F196))/SUMPRODUCT((LEFT('Medical Sales'!D3:D196,4)="2023")*('Medical Sales'!U3:U196="Yes")*('Medical Sales'!F3:F196&lt;&gt;0)*1))</f>
        <v>249.38620480320586</v>
      </c>
      <c r="G16" s="61" cm="1">
        <f t="array" ref="G16">MEDIAN(IF((LEFT('Medical Sales'!D3:D196,4)="2023")*('Medical Sales'!U3:U196="Yes"),'Medical Sales'!F3:F196))</f>
        <v>240.7391634972472</v>
      </c>
      <c r="H16" s="62" cm="1">
        <f t="array" ref="H16">IF(B16=0,"-",SUMPRODUCT((LEFT('Medical Sales'!D3:D196,4)="2023")*('Medical Sales'!U3:U196="Yes")*('Medical Sales'!G3:G196))/B16)</f>
        <v>7888.3076923076924</v>
      </c>
      <c r="I16" s="63" cm="1">
        <f t="array" ref="I16">MIN(IF((LEFT('Medical Sales'!D3:D196,4)="2023")*('Medical Sales'!U3:U196="Yes"),'Medical Sales'!E3:E196))</f>
        <v>293000</v>
      </c>
      <c r="J16" s="63" cm="1">
        <f t="array" ref="J16">MAX(IF((LEFT('Medical Sales'!D3:D196,4)="2023")*('Medical Sales'!U3:U196="Yes"),'Medical Sales'!E3:E196))</f>
        <v>13200000</v>
      </c>
      <c r="L16" s="71" t="s">
        <v>6214</v>
      </c>
      <c r="M16" s="71" t="s">
        <v>6215</v>
      </c>
    </row>
    <row r="17" spans="1:13">
      <c r="A17" s="57">
        <v>2024</v>
      </c>
      <c r="B17" s="62" cm="1">
        <f t="array" ref="B17">SUMPRODUCT((LEFT('Medical Sales'!D3:D196,4)="2024")*('Medical Sales'!U3:U196="Yes")*1)</f>
        <v>20</v>
      </c>
      <c r="C17" s="63" cm="1">
        <f t="array" ref="C17">SUMPRODUCT((LEFT('Medical Sales'!D3:D196,4)="2024")*('Medical Sales'!U3:U196="Yes")*('Medical Sales'!E3:E196))</f>
        <v>36639500</v>
      </c>
      <c r="D17" s="61">
        <f t="shared" si="1"/>
        <v>1831975</v>
      </c>
      <c r="E17" s="61" cm="1">
        <f t="array" ref="E17">MEDIAN(IF((LEFT('Medical Sales'!D3:D196,4)="2024")*('Medical Sales'!U3:U196="Yes"),'Medical Sales'!E3:E196))</f>
        <v>895000</v>
      </c>
      <c r="F17" s="61" cm="1">
        <f t="array" ref="F17">IF(B17=0,"-",SUMPRODUCT((LEFT('Medical Sales'!D3:D196,4)="2024")*('Medical Sales'!U3:U196="Yes")*('Medical Sales'!F3:F196))/SUMPRODUCT((LEFT('Medical Sales'!D3:D196,4)="2024")*('Medical Sales'!U3:U196="Yes")*('Medical Sales'!F3:F196&lt;&gt;0)*1))</f>
        <v>263.12592280877385</v>
      </c>
      <c r="G17" s="61" cm="1">
        <f t="array" ref="G17">MEDIAN(IF((LEFT('Medical Sales'!D3:D196,4)="2024")*('Medical Sales'!U3:U196="Yes"),'Medical Sales'!F3:F196))</f>
        <v>254.74794077781252</v>
      </c>
      <c r="H17" s="62" cm="1">
        <f t="array" ref="H17">IF(B17=0,"-",SUMPRODUCT((LEFT('Medical Sales'!D3:D196,4)="2024")*('Medical Sales'!U3:U196="Yes")*('Medical Sales'!G3:G196))/B17)</f>
        <v>6399.15</v>
      </c>
      <c r="I17" s="63" cm="1">
        <f t="array" ref="I17">MIN(IF((LEFT('Medical Sales'!D3:D196,4)="2024")*('Medical Sales'!U3:U196="Yes"),'Medical Sales'!E3:E196))</f>
        <v>330000</v>
      </c>
      <c r="J17" s="63" cm="1">
        <f t="array" ref="J17">MAX(IF((LEFT('Medical Sales'!D3:D196,4)="2024")*('Medical Sales'!U3:U196="Yes"),'Medical Sales'!E3:E196))</f>
        <v>9998200</v>
      </c>
      <c r="L17" s="376" t="s">
        <v>26</v>
      </c>
      <c r="M17" s="420">
        <f>B6</f>
        <v>125</v>
      </c>
    </row>
    <row r="18" spans="1:13">
      <c r="A18" s="57">
        <v>2025</v>
      </c>
      <c r="B18" s="62" cm="1">
        <f t="array" ref="B18">SUMPRODUCT((LEFT('Medical Sales'!D3:D196,4)="2025")*('Medical Sales'!U3:U196="Yes")*1)</f>
        <v>17</v>
      </c>
      <c r="C18" s="63" cm="1">
        <f t="array" ref="C18">SUMPRODUCT((LEFT('Medical Sales'!D3:D196,4)="2025")*('Medical Sales'!U3:U196="Yes")*('Medical Sales'!E3:E196))</f>
        <v>46969200</v>
      </c>
      <c r="D18" s="61">
        <f t="shared" si="1"/>
        <v>2762894.1176470588</v>
      </c>
      <c r="E18" s="61" cm="1">
        <f t="array" ref="E18">MEDIAN(IF((LEFT('Medical Sales'!D3:D196,4)="2025")*('Medical Sales'!U3:U196="Yes"),'Medical Sales'!E3:E196))</f>
        <v>1745000</v>
      </c>
      <c r="F18" s="61" cm="1">
        <f t="array" ref="F18">IF(B18=0,"-",SUMPRODUCT((LEFT('Medical Sales'!D3:D196,4)="2025")*('Medical Sales'!U3:U196="Yes")*('Medical Sales'!F3:F196))/SUMPRODUCT((LEFT('Medical Sales'!D3:D196,4)="2025")*('Medical Sales'!U3:U196="Yes")*('Medical Sales'!F3:F196&lt;&gt;0)*1))</f>
        <v>344.27083305622693</v>
      </c>
      <c r="G18" s="61" cm="1">
        <f t="array" ref="G18">MEDIAN(IF((LEFT('Medical Sales'!D3:D196,4)="2025")*('Medical Sales'!U3:U196="Yes"),'Medical Sales'!F3:F196))</f>
        <v>326.34032634032633</v>
      </c>
      <c r="H18" s="62" cm="1">
        <f t="array" ref="H18">IF(B18=0,"-",SUMPRODUCT((LEFT('Medical Sales'!D3:D196,4)="2025")*('Medical Sales'!U3:U196="Yes")*('Medical Sales'!G3:G196))/B18)</f>
        <v>6760.1176470588234</v>
      </c>
      <c r="I18" s="63" cm="1">
        <f t="array" ref="I18">MIN(IF((LEFT('Medical Sales'!D3:D196,4)="2025")*('Medical Sales'!U3:U196="Yes"),'Medical Sales'!E3:E196))</f>
        <v>500000</v>
      </c>
      <c r="J18" s="63" cm="1">
        <f t="array" ref="J18">MAX(IF((LEFT('Medical Sales'!D3:D196,4)="2025")*('Medical Sales'!U3:U196="Yes"),'Medical Sales'!E3:E196))</f>
        <v>15000000</v>
      </c>
      <c r="L18" s="376" t="s">
        <v>1519</v>
      </c>
      <c r="M18" s="420">
        <f>B7</f>
        <v>31</v>
      </c>
    </row>
    <row r="19" spans="1:13">
      <c r="L19" s="376" t="s">
        <v>6212</v>
      </c>
      <c r="M19" s="420">
        <f>B8</f>
        <v>9</v>
      </c>
    </row>
    <row r="20" spans="1:13" ht="19">
      <c r="A20" s="55" t="s">
        <v>6225</v>
      </c>
      <c r="B20" s="375"/>
      <c r="C20" s="375"/>
      <c r="D20" s="375"/>
      <c r="E20" s="375"/>
      <c r="F20" s="375"/>
      <c r="G20" s="375"/>
      <c r="H20" s="375"/>
      <c r="I20" s="375"/>
      <c r="J20" s="375"/>
    </row>
    <row r="21" spans="1:13">
      <c r="A21" s="56" t="s">
        <v>2</v>
      </c>
      <c r="B21" s="56" t="s">
        <v>6215</v>
      </c>
      <c r="C21" s="56" t="s">
        <v>6216</v>
      </c>
      <c r="D21" s="56" t="s">
        <v>6217</v>
      </c>
      <c r="E21" s="56" t="s">
        <v>6218</v>
      </c>
      <c r="F21" s="56" t="s">
        <v>6219</v>
      </c>
      <c r="G21" s="56" t="s">
        <v>6220</v>
      </c>
      <c r="H21" s="56" t="s">
        <v>6221</v>
      </c>
      <c r="I21" s="56" t="s">
        <v>6230</v>
      </c>
      <c r="J21" s="56" t="s">
        <v>6231</v>
      </c>
      <c r="L21" s="70" t="s">
        <v>6233</v>
      </c>
      <c r="M21" s="70" t="s">
        <v>6220</v>
      </c>
    </row>
    <row r="22" spans="1:13">
      <c r="A22" s="57" t="s">
        <v>33</v>
      </c>
      <c r="B22" s="62">
        <f>COUNTIFS('Medical Sales'!C:C,"Orange",'Medical Sales'!U:U,"Yes")</f>
        <v>68</v>
      </c>
      <c r="C22" s="63" cm="1">
        <f t="array" ref="C22">SUMPRODUCT(('Medical Sales'!C3:C196="Orange")*('Medical Sales'!U3:U196="Yes")*('Medical Sales'!E3:E196))</f>
        <v>232837900</v>
      </c>
      <c r="D22" s="61">
        <f>IF(B22=0,"-",C22/B22)</f>
        <v>3424086.7647058824</v>
      </c>
      <c r="E22" s="61" cm="1">
        <f t="array" ref="E22">MEDIAN(IF(('Medical Sales'!C3:C196="Orange")*('Medical Sales'!U3:U196="Yes"),'Medical Sales'!E3:E196))</f>
        <v>1762500</v>
      </c>
      <c r="F22" s="61" cm="1">
        <f t="array" ref="F22">SUMPRODUCT(('Medical Sales'!C3:C196="Orange")*('Medical Sales'!U3:U196="Yes")*('Medical Sales'!F3:F196))/SUMPRODUCT(('Medical Sales'!C3:C196="Orange")*('Medical Sales'!U3:U196="Yes")*('Medical Sales'!F3:F196&lt;&gt;0)*1)</f>
        <v>313.96409680320062</v>
      </c>
      <c r="G22" s="61" cm="1">
        <f t="array" ref="G22">MEDIAN(IF(('Medical Sales'!C3:C196="Orange")*('Medical Sales'!U3:U196="Yes"),'Medical Sales'!F3:F196))</f>
        <v>292.37041887288063</v>
      </c>
      <c r="H22" s="62" cm="1">
        <f t="array" ref="H22">SUMPRODUCT(('Medical Sales'!C3:C196="Orange")*('Medical Sales'!U3:U196="Yes")*('Medical Sales'!G3:G196))/B22</f>
        <v>11020.60294117647</v>
      </c>
      <c r="I22" s="63" cm="1">
        <f t="array" ref="I22">MIN(IF(('Medical Sales'!C3:C196="Orange")*('Medical Sales'!U3:U196="Yes"),'Medical Sales'!E3:E196))</f>
        <v>344600</v>
      </c>
      <c r="J22" s="63" cm="1">
        <f t="array" ref="J22">MAX(IF(('Medical Sales'!C3:C196="Orange")*('Medical Sales'!U3:U196="Yes"),'Medical Sales'!E3:E196))</f>
        <v>15500000</v>
      </c>
      <c r="L22" s="376" t="s">
        <v>6247</v>
      </c>
      <c r="M22" s="378">
        <f>G35</f>
        <v>231.56724712856612</v>
      </c>
    </row>
    <row r="23" spans="1:13">
      <c r="A23" s="57" t="s">
        <v>20</v>
      </c>
      <c r="B23" s="62">
        <f>COUNTIFS('Medical Sales'!C:C,"Seminole",'Medical Sales'!U:U,"Yes")</f>
        <v>53</v>
      </c>
      <c r="C23" s="63" cm="1">
        <f t="array" ref="C23">SUMPRODUCT(('Medical Sales'!C3:C196="Seminole")*('Medical Sales'!U3:U196="Yes")*('Medical Sales'!E3:E196))</f>
        <v>78592500</v>
      </c>
      <c r="D23" s="61">
        <f>IF(B23=0,"-",C23/B23)</f>
        <v>1482877.358490566</v>
      </c>
      <c r="E23" s="61" cm="1">
        <f t="array" ref="E23">MEDIAN(IF(('Medical Sales'!C3:C196="Seminole")*('Medical Sales'!U3:U196="Yes"),'Medical Sales'!E3:E196))</f>
        <v>780000</v>
      </c>
      <c r="F23" s="61" cm="1">
        <f t="array" ref="F23">SUMPRODUCT(('Medical Sales'!C3:C196="Seminole")*('Medical Sales'!U3:U196="Yes")*('Medical Sales'!F3:F196))/SUMPRODUCT(('Medical Sales'!C3:C196="Seminole")*('Medical Sales'!U3:U196="Yes")*('Medical Sales'!F3:F196&lt;&gt;0)*1)</f>
        <v>245.16935797000789</v>
      </c>
      <c r="G23" s="61" cm="1">
        <f t="array" ref="G23">MEDIAN(IF(('Medical Sales'!C3:C196="Seminole")*('Medical Sales'!U3:U196="Yes"),'Medical Sales'!F3:F196))</f>
        <v>231.56724712856612</v>
      </c>
      <c r="H23" s="62" cm="1">
        <f t="array" ref="H23">SUMPRODUCT(('Medical Sales'!C3:C196="Seminole")*('Medical Sales'!U3:U196="Yes")*('Medical Sales'!G3:G196))/B23</f>
        <v>5938.2452830188677</v>
      </c>
      <c r="I23" s="63" cm="1">
        <f t="array" ref="I23">MIN(IF(('Medical Sales'!C3:C196="Seminole")*('Medical Sales'!U3:U196="Yes"),'Medical Sales'!E3:E196))</f>
        <v>250100</v>
      </c>
      <c r="J23" s="63" cm="1">
        <f t="array" ref="J23">MAX(IF(('Medical Sales'!C3:C196="Seminole")*('Medical Sales'!U3:U196="Yes"),'Medical Sales'!E3:E196))</f>
        <v>9998200</v>
      </c>
      <c r="L23" s="376" t="s">
        <v>6248</v>
      </c>
      <c r="M23" s="378">
        <f>G36</f>
        <v>252.92457659746404</v>
      </c>
    </row>
    <row r="24" spans="1:13">
      <c r="A24" s="57" t="s">
        <v>678</v>
      </c>
      <c r="B24" s="62">
        <f>COUNTIFS('Medical Sales'!C:C,"Osceola",'Medical Sales'!U:U,"Yes")</f>
        <v>23</v>
      </c>
      <c r="C24" s="63" cm="1">
        <f t="array" ref="C24">SUMPRODUCT(('Medical Sales'!C3:C196="Osceola")*('Medical Sales'!U3:U196="Yes")*('Medical Sales'!E3:E196))</f>
        <v>37585900</v>
      </c>
      <c r="D24" s="61">
        <f>IF(B24=0,"-",C24/B24)</f>
        <v>1634169.5652173914</v>
      </c>
      <c r="E24" s="61" cm="1">
        <f t="array" ref="E24">MEDIAN(IF(('Medical Sales'!C3:C196="Osceola")*('Medical Sales'!U3:U196="Yes"),'Medical Sales'!E3:E196))</f>
        <v>1300000</v>
      </c>
      <c r="F24" s="61" cm="1">
        <f t="array" ref="F24">SUMPRODUCT(('Medical Sales'!C3:C196="Osceola")*('Medical Sales'!U3:U196="Yes")*('Medical Sales'!F3:F196))/SUMPRODUCT(('Medical Sales'!C3:C196="Osceola")*('Medical Sales'!U3:U196="Yes")*('Medical Sales'!F3:F196&lt;&gt;0)*1)</f>
        <v>291.34204621461328</v>
      </c>
      <c r="G24" s="61" cm="1">
        <f t="array" ref="G24">MEDIAN(IF(('Medical Sales'!C3:C196="Osceola")*('Medical Sales'!U3:U196="Yes"),'Medical Sales'!F3:F196))</f>
        <v>302.17260108630052</v>
      </c>
      <c r="H24" s="62" cm="1">
        <f t="array" ref="H24">SUMPRODUCT(('Medical Sales'!C3:C196="Osceola")*('Medical Sales'!U3:U196="Yes")*('Medical Sales'!G3:G196))/B24</f>
        <v>5727</v>
      </c>
      <c r="I24" s="63" cm="1">
        <f t="array" ref="I24">MIN(IF(('Medical Sales'!C3:C196="Osceola")*('Medical Sales'!U3:U196="Yes"),'Medical Sales'!E3:E196))</f>
        <v>530000</v>
      </c>
      <c r="J24" s="63" cm="1">
        <f t="array" ref="J24">MAX(IF(('Medical Sales'!C3:C196="Osceola")*('Medical Sales'!U3:U196="Yes"),'Medical Sales'!E3:E196))</f>
        <v>5150000</v>
      </c>
      <c r="L24" s="376" t="s">
        <v>6249</v>
      </c>
      <c r="M24" s="378">
        <f>G37</f>
        <v>320.83333333333331</v>
      </c>
    </row>
    <row r="25" spans="1:13">
      <c r="A25" s="57" t="s">
        <v>184</v>
      </c>
      <c r="B25" s="62">
        <f>COUNTIFS('Medical Sales'!C:C,"Lake",'Medical Sales'!U:U,"Yes")</f>
        <v>21</v>
      </c>
      <c r="C25" s="63" cm="1">
        <f t="array" ref="C25">SUMPRODUCT(('Medical Sales'!C3:C196="Lake")*('Medical Sales'!U3:U196="Yes")*('Medical Sales'!E3:E196))</f>
        <v>24059200</v>
      </c>
      <c r="D25" s="61">
        <f>IF(B25=0,"-",C25/B25)</f>
        <v>1145676.1904761905</v>
      </c>
      <c r="E25" s="61" cm="1">
        <f t="array" ref="E25">MEDIAN(IF(('Medical Sales'!C3:C196="Lake")*('Medical Sales'!U3:U196="Yes"),'Medical Sales'!E3:E196))</f>
        <v>650000</v>
      </c>
      <c r="F25" s="61" cm="1">
        <f t="array" ref="F25">SUMPRODUCT(('Medical Sales'!C3:C196="Lake")*('Medical Sales'!U3:U196="Yes")*('Medical Sales'!F3:F196))/SUMPRODUCT(('Medical Sales'!C3:C196="Lake")*('Medical Sales'!U3:U196="Yes")*('Medical Sales'!F3:F196&lt;&gt;0)*1)</f>
        <v>209.55388289665132</v>
      </c>
      <c r="G25" s="61" cm="1">
        <f t="array" ref="G25">MEDIAN(IF(('Medical Sales'!C3:C196="Lake")*('Medical Sales'!U3:U196="Yes"),'Medical Sales'!F3:F196))</f>
        <v>199.5</v>
      </c>
      <c r="H25" s="62" cm="1">
        <f t="array" ref="H25">SUMPRODUCT(('Medical Sales'!C3:C196="Lake")*('Medical Sales'!U3:U196="Yes")*('Medical Sales'!G3:G196))/B25</f>
        <v>5066.4285714285716</v>
      </c>
      <c r="I25" s="63" cm="1">
        <f t="array" ref="I25">MIN(IF(('Medical Sales'!C3:C196="Lake")*('Medical Sales'!U3:U196="Yes"),'Medical Sales'!E3:E196))</f>
        <v>210000</v>
      </c>
      <c r="J25" s="63" cm="1">
        <f t="array" ref="J25">MAX(IF(('Medical Sales'!C3:C196="Lake")*('Medical Sales'!U3:U196="Yes"),'Medical Sales'!E3:E196))</f>
        <v>5272900</v>
      </c>
      <c r="L25" s="376" t="s">
        <v>6250</v>
      </c>
      <c r="M25" s="378">
        <f>G38</f>
        <v>280.14763321881367</v>
      </c>
    </row>
    <row r="26" spans="1:13">
      <c r="L26" s="376" t="s">
        <v>6251</v>
      </c>
      <c r="M26" s="378">
        <f>G39</f>
        <v>202.46161247644631</v>
      </c>
    </row>
    <row r="27" spans="1:13" ht="19">
      <c r="A27" s="55" t="s">
        <v>6226</v>
      </c>
      <c r="B27" s="375"/>
      <c r="C27" s="375"/>
      <c r="D27" s="375"/>
      <c r="E27" s="375"/>
      <c r="F27" s="375"/>
      <c r="G27" s="375"/>
      <c r="H27" s="375"/>
      <c r="I27" s="375"/>
      <c r="J27" s="375"/>
    </row>
    <row r="28" spans="1:13">
      <c r="A28" s="56" t="s">
        <v>6199</v>
      </c>
      <c r="B28" s="56" t="s">
        <v>6215</v>
      </c>
      <c r="C28" s="56" t="s">
        <v>6216</v>
      </c>
      <c r="D28" s="56" t="s">
        <v>6217</v>
      </c>
      <c r="E28" s="56" t="s">
        <v>6218</v>
      </c>
      <c r="F28" s="56" t="s">
        <v>6219</v>
      </c>
      <c r="G28" s="56" t="s">
        <v>6220</v>
      </c>
      <c r="H28" s="56" t="s">
        <v>6221</v>
      </c>
      <c r="I28" s="56" t="s">
        <v>6230</v>
      </c>
      <c r="J28" s="56" t="s">
        <v>6231</v>
      </c>
      <c r="L28" s="70" t="s">
        <v>6199</v>
      </c>
      <c r="M28" s="70" t="s">
        <v>6220</v>
      </c>
    </row>
    <row r="29" spans="1:13">
      <c r="A29" s="57" t="s">
        <v>6227</v>
      </c>
      <c r="B29" s="62">
        <f>COUNTIFS('Medical Sales'!T:T,"New",'Medical Sales'!U:U,"Yes")</f>
        <v>26</v>
      </c>
      <c r="C29" s="63" cm="1">
        <f t="array" ref="C29">SUMPRODUCT(('Medical Sales'!T3:T196="New")*('Medical Sales'!U3:U196="Yes")*('Medical Sales'!E3:E196))</f>
        <v>76669500</v>
      </c>
      <c r="D29" s="61">
        <f>IF(B29=0,"-",C29/B29)</f>
        <v>2948826.923076923</v>
      </c>
      <c r="E29" s="61" cm="1">
        <f t="array" ref="E29">MEDIAN(IF(('Medical Sales'!T3:T196="New")*('Medical Sales'!U3:U196="Yes"),'Medical Sales'!E3:E196))</f>
        <v>1687500</v>
      </c>
      <c r="F29" s="61" cm="1">
        <f t="array" ref="F29">SUMPRODUCT(('Medical Sales'!T3:T196="New")*('Medical Sales'!U3:U196="Yes")*('Medical Sales'!F3:F196))/SUMPRODUCT(('Medical Sales'!T3:T196="New")*('Medical Sales'!U3:U196="Yes")*('Medical Sales'!F3:F196&lt;&gt;0)*1)</f>
        <v>326.35316733637603</v>
      </c>
      <c r="G29" s="61" cm="1">
        <f t="array" ref="G29">MEDIAN(IF(('Medical Sales'!T3:T196="New")*('Medical Sales'!U3:U196="Yes"),'Medical Sales'!F3:F196))</f>
        <v>264.58414919044469</v>
      </c>
      <c r="H29" s="62" cm="1">
        <f t="array" ref="H29">SUMPRODUCT(('Medical Sales'!T3:T196="New")*('Medical Sales'!U3:U196="Yes")*('Medical Sales'!G3:G196))/B29</f>
        <v>7824.3461538461543</v>
      </c>
      <c r="I29" s="63" cm="1">
        <f t="array" ref="I29">MIN(IF(('Medical Sales'!T3:T196="New")*('Medical Sales'!U3:U196="Yes"),'Medical Sales'!E3:E196))</f>
        <v>344600</v>
      </c>
      <c r="J29" s="63" cm="1">
        <f t="array" ref="J29">MAX(IF(('Medical Sales'!T3:T196="New")*('Medical Sales'!U3:U196="Yes"),'Medical Sales'!E3:E196))</f>
        <v>15500000</v>
      </c>
      <c r="L29" s="376" t="s">
        <v>6227</v>
      </c>
      <c r="M29" s="378">
        <f>G29</f>
        <v>264.58414919044469</v>
      </c>
    </row>
    <row r="30" spans="1:13">
      <c r="A30" s="57" t="s">
        <v>6228</v>
      </c>
      <c r="B30" s="62">
        <f>COUNTIFS('Medical Sales'!T:T,"Normal",'Medical Sales'!U:U,"Yes")</f>
        <v>51</v>
      </c>
      <c r="C30" s="63" cm="1">
        <f t="array" ref="C30">SUMPRODUCT(('Medical Sales'!T3:T196="Normal")*('Medical Sales'!U3:U196="Yes")*('Medical Sales'!E3:E196))</f>
        <v>125471800</v>
      </c>
      <c r="D30" s="61">
        <f>IF(B30=0,"-",C30/B30)</f>
        <v>2460231.3725490198</v>
      </c>
      <c r="E30" s="61" cm="1">
        <f t="array" ref="E30">MEDIAN(IF(('Medical Sales'!T3:T196="Normal")*('Medical Sales'!U3:U196="Yes"),'Medical Sales'!E3:E196))</f>
        <v>1225000</v>
      </c>
      <c r="F30" s="61" cm="1">
        <f t="array" ref="F30">SUMPRODUCT(('Medical Sales'!T3:T196="Normal")*('Medical Sales'!U3:U196="Yes")*('Medical Sales'!F3:F196))/SUMPRODUCT(('Medical Sales'!T3:T196="Normal")*('Medical Sales'!U3:U196="Yes")*('Medical Sales'!F3:F196&lt;&gt;0)*1)</f>
        <v>279.61769695958702</v>
      </c>
      <c r="G30" s="61" cm="1">
        <f t="array" ref="G30">MEDIAN(IF(('Medical Sales'!T3:T196="Normal")*('Medical Sales'!U3:U196="Yes"),'Medical Sales'!F3:F196))</f>
        <v>252.32802643436469</v>
      </c>
      <c r="H30" s="62" cm="1">
        <f t="array" ref="H30">SUMPRODUCT(('Medical Sales'!T3:T196="Normal")*('Medical Sales'!U3:U196="Yes")*('Medical Sales'!G3:G196))/B30</f>
        <v>8508.6274509803916</v>
      </c>
      <c r="I30" s="63" cm="1">
        <f t="array" ref="I30">MIN(IF(('Medical Sales'!T3:T196="Normal")*('Medical Sales'!U3:U196="Yes"),'Medical Sales'!E3:E196))</f>
        <v>250100</v>
      </c>
      <c r="J30" s="63" cm="1">
        <f t="array" ref="J30">MAX(IF(('Medical Sales'!T3:T196="Normal")*('Medical Sales'!U3:U196="Yes"),'Medical Sales'!E3:E196))</f>
        <v>15000000</v>
      </c>
      <c r="L30" s="376" t="s">
        <v>6228</v>
      </c>
      <c r="M30" s="378">
        <f>G30</f>
        <v>252.32802643436469</v>
      </c>
    </row>
    <row r="31" spans="1:13">
      <c r="A31" s="57" t="s">
        <v>6229</v>
      </c>
      <c r="B31" s="62">
        <f>COUNTIFS('Medical Sales'!T:T,"Old",'Medical Sales'!U:U,"Yes")</f>
        <v>88</v>
      </c>
      <c r="C31" s="63" cm="1">
        <f t="array" ref="C31">SUMPRODUCT(('Medical Sales'!T3:T196="Old")*('Medical Sales'!U3:U196="Yes")*('Medical Sales'!E3:E196))</f>
        <v>170934200</v>
      </c>
      <c r="D31" s="61">
        <f>IF(B31=0,"-",C31/B31)</f>
        <v>1942434.0909090908</v>
      </c>
      <c r="E31" s="61" cm="1">
        <f t="array" ref="E31">MEDIAN(IF(('Medical Sales'!T3:T196="Old")*('Medical Sales'!U3:U196="Yes"),'Medical Sales'!E3:E196))</f>
        <v>975000</v>
      </c>
      <c r="F31" s="61" cm="1">
        <f t="array" ref="F31">SUMPRODUCT(('Medical Sales'!T3:T196="Old")*('Medical Sales'!U3:U196="Yes")*('Medical Sales'!F3:F196))/SUMPRODUCT(('Medical Sales'!T3:T196="Old")*('Medical Sales'!U3:U196="Yes")*('Medical Sales'!F3:F196&lt;&gt;0)*1)</f>
        <v>257.94713935351291</v>
      </c>
      <c r="G31" s="61" cm="1">
        <f t="array" ref="G31">MEDIAN(IF(('Medical Sales'!T3:T196="Old")*('Medical Sales'!U3:U196="Yes"),'Medical Sales'!F3:F196))</f>
        <v>243.95676896289041</v>
      </c>
      <c r="H31" s="62" cm="1">
        <f t="array" ref="H31">SUMPRODUCT(('Medical Sales'!T3:T196="Old")*('Medical Sales'!U3:U196="Yes")*('Medical Sales'!G3:G196))/B31</f>
        <v>7555.352272727273</v>
      </c>
      <c r="I31" s="63" cm="1">
        <f t="array" ref="I31">MIN(IF(('Medical Sales'!T3:T196="Old")*('Medical Sales'!U3:U196="Yes"),'Medical Sales'!E3:E196))</f>
        <v>210000</v>
      </c>
      <c r="J31" s="63" cm="1">
        <f t="array" ref="J31">MAX(IF(('Medical Sales'!T3:T196="Old")*('Medical Sales'!U3:U196="Yes"),'Medical Sales'!E3:E196))</f>
        <v>15500000</v>
      </c>
      <c r="L31" s="376" t="s">
        <v>6229</v>
      </c>
      <c r="M31" s="378">
        <f>G31</f>
        <v>243.95676896289041</v>
      </c>
    </row>
    <row r="33" spans="1:10" ht="19">
      <c r="A33" s="55" t="s">
        <v>6232</v>
      </c>
      <c r="B33" s="375"/>
      <c r="C33" s="375"/>
      <c r="D33" s="375"/>
      <c r="E33" s="375"/>
      <c r="F33" s="375"/>
      <c r="G33" s="375"/>
      <c r="H33" s="375"/>
      <c r="I33" s="375"/>
      <c r="J33" s="375"/>
    </row>
    <row r="34" spans="1:10">
      <c r="A34" s="56" t="s">
        <v>6233</v>
      </c>
      <c r="B34" s="56" t="s">
        <v>6215</v>
      </c>
      <c r="C34" s="56" t="s">
        <v>6216</v>
      </c>
      <c r="D34" s="56" t="s">
        <v>6217</v>
      </c>
      <c r="E34" s="56" t="s">
        <v>6218</v>
      </c>
      <c r="F34" s="56" t="s">
        <v>6219</v>
      </c>
      <c r="G34" s="56" t="s">
        <v>6220</v>
      </c>
      <c r="H34" s="56" t="s">
        <v>6221</v>
      </c>
      <c r="I34" s="56" t="s">
        <v>6230</v>
      </c>
      <c r="J34" s="56" t="s">
        <v>6231</v>
      </c>
    </row>
    <row r="35" spans="1:10">
      <c r="A35" s="57" t="s">
        <v>6234</v>
      </c>
      <c r="B35" s="62">
        <f>COUNTIFS('Medical Sales'!G3:G196,"&gt;=0",'Medical Sales'!G3:G196,"&lt;=2999",'Medical Sales'!U3:U196,"Yes")</f>
        <v>47</v>
      </c>
      <c r="C35" s="63" cm="1">
        <f t="array" ref="C35">SUMPRODUCT(('Medical Sales'!G3:G196&gt;=0)*('Medical Sales'!G3:G196&lt;=2999)*('Medical Sales'!U3:U196="Yes")*('Medical Sales'!E3:E196))</f>
        <v>27351000</v>
      </c>
      <c r="D35" s="61">
        <f>IF(B35=0,"-",C35/B35)</f>
        <v>581936.17021276592</v>
      </c>
      <c r="E35" s="61" cm="1">
        <f t="array" ref="E35">MEDIAN(IF(('Medical Sales'!G3:G196&gt;=0)*('Medical Sales'!G3:G196&lt;=2999)*('Medical Sales'!U3:U196="Yes"),'Medical Sales'!E3:E196))</f>
        <v>537000</v>
      </c>
      <c r="F35" s="61" cm="1">
        <f t="array" ref="F35">IF(B35=0,"-",SUMPRODUCT(('Medical Sales'!G3:G196&gt;=0)*('Medical Sales'!G3:G196&lt;=2999)*('Medical Sales'!U3:U196="Yes")*('Medical Sales'!F3:F196))/SUMPRODUCT(('Medical Sales'!G3:G196&gt;=0)*('Medical Sales'!G3:G196&lt;=2999)*('Medical Sales'!U3:U196="Yes")*('Medical Sales'!F3:F196&lt;&gt;0)*1))</f>
        <v>239.03899954401612</v>
      </c>
      <c r="G35" s="61" cm="1">
        <f t="array" ref="G35">MEDIAN(IF(('Medical Sales'!G3:G196&gt;=0)*('Medical Sales'!G3:G196&lt;=2999)*('Medical Sales'!U3:U196="Yes"),'Medical Sales'!F3:F196))</f>
        <v>231.56724712856612</v>
      </c>
      <c r="H35" s="62" cm="1">
        <f t="array" ref="H35">IF(B35=0,"-",SUMPRODUCT(('Medical Sales'!G3:G196&gt;=0)*('Medical Sales'!G3:G196&lt;=2999)*('Medical Sales'!U3:U196="Yes")*('Medical Sales'!G3:G196))/B35)</f>
        <v>2425.6595744680849</v>
      </c>
      <c r="I35" s="63" cm="1">
        <f t="array" ref="I35">MIN(IF(('Medical Sales'!G3:G196&gt;=0)*('Medical Sales'!G3:G196&lt;=2999)*('Medical Sales'!U3:U196="Yes"),'Medical Sales'!E3:E196))</f>
        <v>210000</v>
      </c>
      <c r="J35" s="63" cm="1">
        <f t="array" ref="J35">MAX(IF(('Medical Sales'!G3:G196&gt;=0)*('Medical Sales'!G3:G196&lt;=2999)*('Medical Sales'!U3:U196="Yes"),'Medical Sales'!E3:E196))</f>
        <v>1150000</v>
      </c>
    </row>
    <row r="36" spans="1:10">
      <c r="A36" s="57" t="s">
        <v>6235</v>
      </c>
      <c r="B36" s="62">
        <f>COUNTIFS('Medical Sales'!G3:G196,"&gt;=3000",'Medical Sales'!G3:G196,"&lt;=5999",'Medical Sales'!U3:U196,"Yes")</f>
        <v>54</v>
      </c>
      <c r="C36" s="63" cm="1">
        <f t="array" ref="C36">SUMPRODUCT(('Medical Sales'!G3:G196&gt;=3000)*('Medical Sales'!G3:G196&lt;=5999)*('Medical Sales'!U3:U196="Yes")*('Medical Sales'!E3:E196))</f>
        <v>58501000</v>
      </c>
      <c r="D36" s="61">
        <f>IF(B36=0,"-",C36/B36)</f>
        <v>1083351.8518518519</v>
      </c>
      <c r="E36" s="61" cm="1">
        <f t="array" ref="E36">MEDIAN(IF(('Medical Sales'!G3:G196&gt;=3000)*('Medical Sales'!G3:G196&lt;=5999)*('Medical Sales'!U3:U196="Yes"),'Medical Sales'!E3:E196))</f>
        <v>1070000</v>
      </c>
      <c r="F36" s="61" cm="1">
        <f t="array" ref="F36">IF(B36=0,"-",SUMPRODUCT(('Medical Sales'!G3:G196&gt;=3000)*('Medical Sales'!G3:G196&lt;=5999)*('Medical Sales'!U3:U196="Yes")*('Medical Sales'!F3:F196))/SUMPRODUCT(('Medical Sales'!G3:G196&gt;=3000)*('Medical Sales'!G3:G196&lt;=5999)*('Medical Sales'!U3:U196="Yes")*('Medical Sales'!F3:F196&lt;&gt;0)*1))</f>
        <v>251.71908910966997</v>
      </c>
      <c r="G36" s="61" cm="1">
        <f t="array" ref="G36">MEDIAN(IF(('Medical Sales'!G3:G196&gt;=3000)*('Medical Sales'!G3:G196&lt;=5999)*('Medical Sales'!U3:U196="Yes"),'Medical Sales'!F3:F196))</f>
        <v>252.92457659746404</v>
      </c>
      <c r="H36" s="62" cm="1">
        <f t="array" ref="H36">IF(B36=0,"-",SUMPRODUCT(('Medical Sales'!G3:G196&gt;=3000)*('Medical Sales'!G3:G196&lt;=5999)*('Medical Sales'!U3:U196="Yes")*('Medical Sales'!G3:G196))/B36)</f>
        <v>4350.7962962962965</v>
      </c>
      <c r="I36" s="63" cm="1">
        <f t="array" ref="I36">MIN(IF(('Medical Sales'!G3:G196&gt;=3000)*('Medical Sales'!G3:G196&lt;=5999)*('Medical Sales'!U3:U196="Yes"),'Medical Sales'!E3:E196))</f>
        <v>390000</v>
      </c>
      <c r="J36" s="63" cm="1">
        <f t="array" ref="J36">MAX(IF(('Medical Sales'!G3:G196&gt;=3000)*('Medical Sales'!G3:G196&lt;=5999)*('Medical Sales'!U3:U196="Yes"),'Medical Sales'!E3:E196))</f>
        <v>2450000</v>
      </c>
    </row>
    <row r="37" spans="1:10">
      <c r="A37" s="57" t="s">
        <v>6236</v>
      </c>
      <c r="B37" s="62">
        <f>COUNTIFS('Medical Sales'!G3:G196,"&gt;=6000",'Medical Sales'!G3:G196,"&lt;=9999",'Medical Sales'!U3:U196,"Yes")</f>
        <v>27</v>
      </c>
      <c r="C37" s="63" cm="1">
        <f t="array" ref="C37">SUMPRODUCT(('Medical Sales'!G3:G196&gt;=6000)*('Medical Sales'!G3:G196&lt;=9999)*('Medical Sales'!U3:U196="Yes")*('Medical Sales'!E3:E196))</f>
        <v>62342900</v>
      </c>
      <c r="D37" s="61">
        <f>IF(B37=0,"-",C37/B37)</f>
        <v>2308996.2962962962</v>
      </c>
      <c r="E37" s="61" cm="1">
        <f t="array" ref="E37">MEDIAN(IF(('Medical Sales'!G3:G196&gt;=6000)*('Medical Sales'!G3:G196&lt;=9999)*('Medical Sales'!U3:U196="Yes"),'Medical Sales'!E3:E196))</f>
        <v>2050000</v>
      </c>
      <c r="F37" s="61" cm="1">
        <f t="array" ref="F37">IF(B37=0,"-",SUMPRODUCT(('Medical Sales'!G3:G196&gt;=6000)*('Medical Sales'!G3:G196&lt;=9999)*('Medical Sales'!U3:U196="Yes")*('Medical Sales'!F3:F196))/SUMPRODUCT(('Medical Sales'!G3:G196&gt;=6000)*('Medical Sales'!G3:G196&lt;=9999)*('Medical Sales'!U3:U196="Yes")*('Medical Sales'!F3:F196&lt;&gt;0)*1))</f>
        <v>317.93316101021145</v>
      </c>
      <c r="G37" s="61" cm="1">
        <f t="array" ref="G37">MEDIAN(IF(('Medical Sales'!G3:G196&gt;=6000)*('Medical Sales'!G3:G196&lt;=9999)*('Medical Sales'!U3:U196="Yes"),'Medical Sales'!F3:F196))</f>
        <v>320.83333333333331</v>
      </c>
      <c r="H37" s="62" cm="1">
        <f t="array" ref="H37">IF(B37=0,"-",SUMPRODUCT(('Medical Sales'!G3:G196&gt;=6000)*('Medical Sales'!G3:G196&lt;=9999)*('Medical Sales'!U3:U196="Yes")*('Medical Sales'!G3:G196))/B37)</f>
        <v>7172.2222222222226</v>
      </c>
      <c r="I37" s="63" cm="1">
        <f t="array" ref="I37">MIN(IF(('Medical Sales'!G3:G196&gt;=6000)*('Medical Sales'!G3:G196&lt;=9999)*('Medical Sales'!U3:U196="Yes"),'Medical Sales'!E3:E196))</f>
        <v>786000</v>
      </c>
      <c r="J37" s="63" cm="1">
        <f t="array" ref="J37">MAX(IF(('Medical Sales'!G3:G196&gt;=6000)*('Medical Sales'!G3:G196&lt;=9999)*('Medical Sales'!U3:U196="Yes"),'Medical Sales'!E3:E196))</f>
        <v>4030000</v>
      </c>
    </row>
    <row r="38" spans="1:10">
      <c r="A38" s="57" t="s">
        <v>6237</v>
      </c>
      <c r="B38" s="62">
        <f>COUNTIFS('Medical Sales'!G3:G196,"&gt;=10000",'Medical Sales'!G3:G196,"&lt;=19999",'Medical Sales'!U3:U196,"Yes")</f>
        <v>22</v>
      </c>
      <c r="C38" s="63" cm="1">
        <f t="array" ref="C38">SUMPRODUCT(('Medical Sales'!G3:G196&gt;=10000)*('Medical Sales'!G3:G196&lt;=19999)*('Medical Sales'!U3:U196="Yes")*('Medical Sales'!E3:E196))</f>
        <v>109877300</v>
      </c>
      <c r="D38" s="61">
        <f>IF(B38=0,"-",C38/B38)</f>
        <v>4994422.7272727275</v>
      </c>
      <c r="E38" s="61" cm="1">
        <f t="array" ref="E38">MEDIAN(IF(('Medical Sales'!G3:G196&gt;=10000)*('Medical Sales'!G3:G196&lt;=19999)*('Medical Sales'!U3:U196="Yes"),'Medical Sales'!E3:E196))</f>
        <v>4300000</v>
      </c>
      <c r="F38" s="61" cm="1">
        <f t="array" ref="F38">IF(B38=0,"-",SUMPRODUCT(('Medical Sales'!G3:G196&gt;=10000)*('Medical Sales'!G3:G196&lt;=19999)*('Medical Sales'!U3:U196="Yes")*('Medical Sales'!F3:F196))/SUMPRODUCT(('Medical Sales'!G3:G196&gt;=10000)*('Medical Sales'!G3:G196&lt;=19999)*('Medical Sales'!U3:U196="Yes")*('Medical Sales'!F3:F196&lt;&gt;0)*1))</f>
        <v>368.96397496342644</v>
      </c>
      <c r="G38" s="61" cm="1">
        <f t="array" ref="G38">MEDIAN(IF(('Medical Sales'!G3:G196&gt;=10000)*('Medical Sales'!G3:G196&lt;=19999)*('Medical Sales'!U3:U196="Yes"),'Medical Sales'!F3:F196))</f>
        <v>280.14763321881367</v>
      </c>
      <c r="H38" s="62" cm="1">
        <f t="array" ref="H38">IF(B38=0,"-",SUMPRODUCT(('Medical Sales'!G3:G196&gt;=10000)*('Medical Sales'!G3:G196&lt;=19999)*('Medical Sales'!U3:U196="Yes")*('Medical Sales'!G3:G196))/B38)</f>
        <v>13793.90909090909</v>
      </c>
      <c r="I38" s="63" cm="1">
        <f t="array" ref="I38">MIN(IF(('Medical Sales'!G3:G196&gt;=10000)*('Medical Sales'!G3:G196&lt;=19999)*('Medical Sales'!U3:U196="Yes"),'Medical Sales'!E3:E196))</f>
        <v>1340800</v>
      </c>
      <c r="J38" s="63" cm="1">
        <f t="array" ref="J38">MAX(IF(('Medical Sales'!G3:G196&gt;=10000)*('Medical Sales'!G3:G196&lt;=19999)*('Medical Sales'!U3:U196="Yes"),'Medical Sales'!E3:E196))</f>
        <v>15500000</v>
      </c>
    </row>
    <row r="39" spans="1:10">
      <c r="A39" s="57" t="s">
        <v>6238</v>
      </c>
      <c r="B39" s="62">
        <f>COUNTIFS('Medical Sales'!G3:G196,"&gt;=20000",'Medical Sales'!G3:G196,"&lt;=999999",'Medical Sales'!U3:U196,"Yes")</f>
        <v>15</v>
      </c>
      <c r="C39" s="63" cm="1">
        <f t="array" ref="C39">SUMPRODUCT(('Medical Sales'!G3:G196&gt;=20000)*('Medical Sales'!G3:G196&lt;=999999)*('Medical Sales'!U3:U196="Yes")*('Medical Sales'!E3:E196))</f>
        <v>115003300</v>
      </c>
      <c r="D39" s="61">
        <f>IF(B39=0,"-",C39/B39)</f>
        <v>7666886.666666667</v>
      </c>
      <c r="E39" s="61" cm="1">
        <f t="array" ref="E39">MEDIAN(IF(('Medical Sales'!G3:G196&gt;=20000)*('Medical Sales'!G3:G196&lt;=999999)*('Medical Sales'!U3:U196="Yes"),'Medical Sales'!E3:E196))</f>
        <v>7000000</v>
      </c>
      <c r="F39" s="61" cm="1">
        <f t="array" ref="F39">IF(B39=0,"-",SUMPRODUCT(('Medical Sales'!G3:G196&gt;=20000)*('Medical Sales'!G3:G196&lt;=999999)*('Medical Sales'!U3:U196="Yes")*('Medical Sales'!F3:F196))/SUMPRODUCT(('Medical Sales'!G3:G196&gt;=20000)*('Medical Sales'!G3:G196&lt;=999999)*('Medical Sales'!U3:U196="Yes")*('Medical Sales'!F3:F196&lt;&gt;0)*1))</f>
        <v>261.06443812212166</v>
      </c>
      <c r="G39" s="61" cm="1">
        <f t="array" ref="G39">MEDIAN(IF(('Medical Sales'!G3:G196&gt;=20000)*('Medical Sales'!G3:G196&lt;=999999)*('Medical Sales'!U3:U196="Yes"),'Medical Sales'!F3:F196))</f>
        <v>202.46161247644631</v>
      </c>
      <c r="H39" s="62" cm="1">
        <f t="array" ref="H39">IF(B39=0,"-",SUMPRODUCT(('Medical Sales'!G3:G196&gt;=20000)*('Medical Sales'!G3:G196&lt;=999999)*('Medical Sales'!U3:U196="Yes")*('Medical Sales'!G3:G196))/B39)</f>
        <v>30411.933333333334</v>
      </c>
      <c r="I39" s="63" cm="1">
        <f t="array" ref="I39">MIN(IF(('Medical Sales'!G3:G196&gt;=20000)*('Medical Sales'!G3:G196&lt;=999999)*('Medical Sales'!U3:U196="Yes"),'Medical Sales'!E3:E196))</f>
        <v>3900000</v>
      </c>
      <c r="J39" s="63" cm="1">
        <f t="array" ref="J39">MAX(IF(('Medical Sales'!G3:G196&gt;=20000)*('Medical Sales'!G3:G196&lt;=999999)*('Medical Sales'!U3:U196="Yes"),'Medical Sales'!E3:E196))</f>
        <v>15500000</v>
      </c>
    </row>
    <row r="41" spans="1:10" ht="19">
      <c r="A41" s="55" t="s">
        <v>6239</v>
      </c>
      <c r="B41" s="375"/>
      <c r="C41" s="375"/>
      <c r="D41" s="375"/>
      <c r="E41" s="375"/>
      <c r="F41" s="375"/>
      <c r="G41" s="375"/>
      <c r="H41" s="375"/>
      <c r="I41" s="375"/>
      <c r="J41" s="375"/>
    </row>
    <row r="42" spans="1:10">
      <c r="A42" s="57" t="s">
        <v>6240</v>
      </c>
      <c r="B42" s="61" cm="1">
        <f t="array" ref="B42">MEDIAN(IF('Medical Sales'!U3:U196="Yes",'Medical Sales'!F3:F196))</f>
        <v>251.91823220326782</v>
      </c>
    </row>
    <row r="43" spans="1:10">
      <c r="A43" s="57" t="s">
        <v>6241</v>
      </c>
      <c r="B43" s="63" cm="1">
        <f t="array" ref="B43">MEDIAN(IF('Medical Sales'!U3:U196="Yes",'Medical Sales'!E3:E196))</f>
        <v>1200000</v>
      </c>
    </row>
    <row r="44" spans="1:10">
      <c r="A44" s="57" t="s">
        <v>6242</v>
      </c>
      <c r="B44" s="62" cm="1">
        <f t="array" ref="B44">MEDIAN(IF('Medical Sales'!U3:U196="Yes",'Medical Sales'!G3:G196))</f>
        <v>4719</v>
      </c>
    </row>
    <row r="46" spans="1:10">
      <c r="A46" s="57" t="s">
        <v>6243</v>
      </c>
      <c r="B46" s="60">
        <f>INDEX(A13:A18,MATCH(MAX(B13:B18),B13:B18,0))</f>
        <v>2021</v>
      </c>
    </row>
    <row r="47" spans="1:10">
      <c r="A47" s="57" t="s">
        <v>6244</v>
      </c>
      <c r="B47" s="60">
        <f>INDEX(A13:A18,MATCH(MAX(C13:C18),C13:C18,0))</f>
        <v>2021</v>
      </c>
    </row>
    <row r="48" spans="1:10">
      <c r="A48" s="57" t="s">
        <v>6245</v>
      </c>
      <c r="B48" s="60" t="str">
        <f>INDEX(A22:A25,MATCH(MAX(G22:G25),G22:G25,0))</f>
        <v>Osceola</v>
      </c>
    </row>
    <row r="49" spans="1:2">
      <c r="A49" s="57" t="s">
        <v>6246</v>
      </c>
      <c r="B49" s="60" t="str">
        <f>INDEX(A22:A25,MATCH(MIN(G22:G25),G22:G25,0))</f>
        <v>Lake</v>
      </c>
    </row>
  </sheetData>
  <mergeCells count="2">
    <mergeCell ref="A1:J1"/>
    <mergeCell ref="A2:J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81D8B-4C4B-664B-BCFF-7E51D2A803E2}">
  <dimension ref="A1:O60"/>
  <sheetViews>
    <sheetView workbookViewId="0">
      <selection activeCell="L49" sqref="L49"/>
    </sheetView>
  </sheetViews>
  <sheetFormatPr baseColWidth="10" defaultRowHeight="16"/>
  <cols>
    <col min="1" max="1" width="36.6640625" customWidth="1"/>
    <col min="2" max="7" width="17.5" customWidth="1"/>
    <col min="8" max="8" width="3.33203125" customWidth="1"/>
    <col min="9" max="9" width="36.6640625" customWidth="1"/>
    <col min="10" max="15" width="17.5" customWidth="1"/>
  </cols>
  <sheetData>
    <row r="1" spans="1:15" ht="24">
      <c r="A1" s="53" t="s">
        <v>6498</v>
      </c>
      <c r="B1" s="72"/>
      <c r="C1" s="72"/>
      <c r="D1" s="72"/>
      <c r="E1" s="72"/>
      <c r="F1" s="72"/>
      <c r="G1" s="72"/>
      <c r="H1" s="59"/>
      <c r="I1" s="59"/>
      <c r="J1" s="59"/>
      <c r="K1" s="59"/>
      <c r="L1" s="59"/>
      <c r="M1" s="59"/>
      <c r="N1" s="59"/>
      <c r="O1" s="59"/>
    </row>
    <row r="2" spans="1:15">
      <c r="A2" s="344" t="s">
        <v>6499</v>
      </c>
      <c r="B2" s="59"/>
      <c r="C2" s="59"/>
      <c r="D2" s="59"/>
      <c r="E2" s="59"/>
      <c r="F2" s="59"/>
      <c r="G2" s="59"/>
      <c r="H2" s="59"/>
      <c r="I2" s="59" t="s">
        <v>6621</v>
      </c>
      <c r="J2" s="59"/>
      <c r="K2" s="59"/>
      <c r="L2" s="59"/>
      <c r="M2" s="59"/>
      <c r="N2" s="59"/>
      <c r="O2" s="59"/>
    </row>
    <row r="3" spans="1:15">
      <c r="A3" s="59"/>
      <c r="B3" s="59"/>
      <c r="C3" s="59"/>
      <c r="D3" s="59"/>
      <c r="E3" s="59"/>
      <c r="F3" s="59"/>
      <c r="G3" s="59"/>
      <c r="H3" s="59"/>
      <c r="I3" s="59"/>
      <c r="J3" s="59"/>
      <c r="K3" s="59"/>
      <c r="L3" s="59"/>
      <c r="M3" s="59"/>
      <c r="N3" s="59"/>
      <c r="O3" s="59"/>
    </row>
    <row r="4" spans="1:15" ht="18">
      <c r="A4" s="345" t="s">
        <v>6500</v>
      </c>
      <c r="B4" s="73"/>
      <c r="C4" s="73"/>
      <c r="D4" s="73"/>
      <c r="E4" s="73"/>
      <c r="F4" s="73"/>
      <c r="G4" s="73"/>
      <c r="H4" s="59"/>
      <c r="I4" s="59"/>
      <c r="J4" s="59"/>
      <c r="K4" s="59"/>
      <c r="L4" s="59"/>
      <c r="M4" s="59"/>
      <c r="N4" s="59"/>
      <c r="O4" s="59"/>
    </row>
    <row r="5" spans="1:15">
      <c r="A5" s="113"/>
      <c r="B5" s="114">
        <v>2020</v>
      </c>
      <c r="C5" s="114">
        <v>2021</v>
      </c>
      <c r="D5" s="114">
        <v>2022</v>
      </c>
      <c r="E5" s="114">
        <v>2023</v>
      </c>
      <c r="F5" s="114">
        <v>2024</v>
      </c>
      <c r="G5" s="115">
        <v>2025</v>
      </c>
      <c r="H5" s="59"/>
      <c r="I5" s="59"/>
      <c r="J5" s="59"/>
      <c r="K5" s="59"/>
      <c r="L5" s="59"/>
      <c r="M5" s="59"/>
      <c r="N5" s="59"/>
      <c r="O5" s="59"/>
    </row>
    <row r="6" spans="1:15">
      <c r="A6" s="116" t="s">
        <v>6501</v>
      </c>
      <c r="B6" s="117">
        <f>'2020'!B9</f>
        <v>7</v>
      </c>
      <c r="C6" s="117">
        <f>'2021'!B9</f>
        <v>6</v>
      </c>
      <c r="D6" s="117">
        <f>'2022'!B9</f>
        <v>4</v>
      </c>
      <c r="E6" s="117">
        <f>'2023'!B9</f>
        <v>2</v>
      </c>
      <c r="F6" s="117">
        <f>'2024'!B9</f>
        <v>3</v>
      </c>
      <c r="G6" s="275">
        <f>'2025'!B9</f>
        <v>7</v>
      </c>
      <c r="H6" s="59"/>
      <c r="I6" s="367"/>
      <c r="J6" s="59"/>
      <c r="K6" s="59"/>
      <c r="L6" s="59"/>
      <c r="M6" s="59"/>
      <c r="N6" s="59"/>
      <c r="O6" s="59"/>
    </row>
    <row r="7" spans="1:15">
      <c r="A7" s="346" t="s">
        <v>6502</v>
      </c>
      <c r="B7" s="347">
        <f>COUNTIF('2020'!K:K,"Yes")</f>
        <v>7</v>
      </c>
      <c r="C7" s="347">
        <f>COUNTIF('2021'!K:K,"Yes")</f>
        <v>7</v>
      </c>
      <c r="D7" s="347">
        <f>COUNTIF('2022'!K:K,"Yes")</f>
        <v>4</v>
      </c>
      <c r="E7" s="347">
        <f>COUNTIF('2023'!K:K,"Yes")</f>
        <v>2</v>
      </c>
      <c r="F7" s="347">
        <f>COUNTIF('2024'!K:K,"Yes")</f>
        <v>3</v>
      </c>
      <c r="G7" s="348">
        <f>COUNTIF('2025'!K:K,"Yes")</f>
        <v>7</v>
      </c>
      <c r="H7" s="59"/>
      <c r="I7" s="59"/>
      <c r="J7" s="59"/>
      <c r="K7" s="59"/>
      <c r="L7" s="59"/>
      <c r="M7" s="59"/>
      <c r="N7" s="59"/>
      <c r="O7" s="59"/>
    </row>
    <row r="8" spans="1:15">
      <c r="A8" s="116" t="s">
        <v>6216</v>
      </c>
      <c r="B8" s="349">
        <f>'2020'!C9</f>
        <v>12160000</v>
      </c>
      <c r="C8" s="349">
        <f>'2021'!C9</f>
        <v>8970000</v>
      </c>
      <c r="D8" s="349">
        <f>'2022'!C9</f>
        <v>16781500</v>
      </c>
      <c r="E8" s="349">
        <f>'2023'!C9</f>
        <v>6889000</v>
      </c>
      <c r="F8" s="349">
        <f>'2024'!C9</f>
        <v>10925000</v>
      </c>
      <c r="G8" s="350">
        <f>'2025'!C9</f>
        <v>53096799</v>
      </c>
      <c r="H8" s="59"/>
      <c r="I8" s="59"/>
      <c r="J8" s="59"/>
      <c r="K8" s="59"/>
      <c r="L8" s="59"/>
      <c r="M8" s="59"/>
      <c r="N8" s="59"/>
      <c r="O8" s="59"/>
    </row>
    <row r="9" spans="1:15">
      <c r="A9" s="116" t="s">
        <v>6217</v>
      </c>
      <c r="B9" s="351">
        <f>'2020'!D9</f>
        <v>1737142.857142857</v>
      </c>
      <c r="C9" s="351">
        <f>'2021'!D9</f>
        <v>1495000</v>
      </c>
      <c r="D9" s="351">
        <f>'2022'!D9</f>
        <v>4195375</v>
      </c>
      <c r="E9" s="351">
        <f>'2023'!D9</f>
        <v>3444500</v>
      </c>
      <c r="F9" s="351">
        <f>'2024'!D9</f>
        <v>3641666.6666666665</v>
      </c>
      <c r="G9" s="352">
        <f>'2025'!D9</f>
        <v>7585257</v>
      </c>
      <c r="H9" s="59"/>
      <c r="I9" s="59"/>
      <c r="J9" s="59"/>
      <c r="K9" s="59"/>
      <c r="L9" s="59"/>
      <c r="M9" s="59"/>
      <c r="N9" s="59"/>
      <c r="O9" s="59"/>
    </row>
    <row r="10" spans="1:15">
      <c r="A10" s="116" t="s">
        <v>6218</v>
      </c>
      <c r="B10" s="351">
        <f>'2020'!E9</f>
        <v>1340000</v>
      </c>
      <c r="C10" s="351">
        <f>'2021'!E9</f>
        <v>1222500</v>
      </c>
      <c r="D10" s="351">
        <f>'2022'!E9</f>
        <v>4073250</v>
      </c>
      <c r="E10" s="351">
        <f>'2023'!E9</f>
        <v>3444500</v>
      </c>
      <c r="F10" s="351">
        <f>'2024'!E9</f>
        <v>3500000</v>
      </c>
      <c r="G10" s="352">
        <f>'2025'!E9</f>
        <v>3200000</v>
      </c>
      <c r="H10" s="59"/>
      <c r="I10" s="59"/>
      <c r="J10" s="59"/>
      <c r="K10" s="59"/>
      <c r="L10" s="59"/>
      <c r="M10" s="59"/>
      <c r="N10" s="59"/>
      <c r="O10" s="59"/>
    </row>
    <row r="11" spans="1:15">
      <c r="A11" s="116" t="s">
        <v>6219</v>
      </c>
      <c r="B11" s="118">
        <f>'2020'!F9</f>
        <v>426.60461286445064</v>
      </c>
      <c r="C11" s="118">
        <f>'2021'!F9</f>
        <v>174.36507994862544</v>
      </c>
      <c r="D11" s="118">
        <f>'2022'!F9</f>
        <v>588.36279744889555</v>
      </c>
      <c r="E11" s="118">
        <f>'2023'!F9</f>
        <v>424.93190202233745</v>
      </c>
      <c r="F11" s="118">
        <f>'2024'!F9</f>
        <v>396.76099452502854</v>
      </c>
      <c r="G11" s="120">
        <f>'2025'!F9</f>
        <v>539.36032304009336</v>
      </c>
      <c r="H11" s="59"/>
      <c r="I11" s="59"/>
      <c r="J11" s="59"/>
      <c r="K11" s="59"/>
      <c r="L11" s="59"/>
      <c r="M11" s="59"/>
      <c r="N11" s="59"/>
      <c r="O11" s="59"/>
    </row>
    <row r="12" spans="1:15">
      <c r="A12" s="116" t="s">
        <v>6220</v>
      </c>
      <c r="B12" s="118">
        <f>'2020'!G9</f>
        <v>517.97448782373408</v>
      </c>
      <c r="C12" s="118">
        <f>'2021'!G9</f>
        <v>77.776174803029022</v>
      </c>
      <c r="D12" s="118">
        <f>'2022'!G9</f>
        <v>709.55131284812967</v>
      </c>
      <c r="E12" s="118">
        <f>'2023'!G9</f>
        <v>424.93190202233745</v>
      </c>
      <c r="F12" s="118">
        <f>'2024'!G9</f>
        <v>479.56867196367762</v>
      </c>
      <c r="G12" s="120">
        <f>'2025'!G9</f>
        <v>478.33488751269329</v>
      </c>
      <c r="H12" s="59"/>
      <c r="I12" s="59"/>
      <c r="J12" s="59"/>
      <c r="K12" s="59"/>
      <c r="L12" s="59"/>
      <c r="M12" s="59"/>
      <c r="N12" s="59"/>
      <c r="O12" s="59"/>
    </row>
    <row r="13" spans="1:15">
      <c r="A13" s="116" t="s">
        <v>6221</v>
      </c>
      <c r="B13" s="117">
        <f>'2020'!H9</f>
        <v>5619.1428571428569</v>
      </c>
      <c r="C13" s="117">
        <f>'2021'!H9</f>
        <v>15446</v>
      </c>
      <c r="D13" s="117">
        <f>'2022'!H9</f>
        <v>17276.25</v>
      </c>
      <c r="E13" s="117">
        <f>'2023'!H9</f>
        <v>16355.5</v>
      </c>
      <c r="F13" s="117">
        <f>'2024'!H9</f>
        <v>13822</v>
      </c>
      <c r="G13" s="275">
        <f>'2025'!H9</f>
        <v>21579.714285714286</v>
      </c>
      <c r="H13" s="59"/>
      <c r="I13" s="59"/>
      <c r="J13" s="59"/>
      <c r="K13" s="59"/>
      <c r="L13" s="59"/>
      <c r="M13" s="59"/>
      <c r="N13" s="59"/>
      <c r="O13" s="59"/>
    </row>
    <row r="14" spans="1:15">
      <c r="A14" s="59"/>
      <c r="B14" s="59"/>
      <c r="C14" s="59"/>
      <c r="D14" s="59"/>
      <c r="E14" s="59"/>
      <c r="F14" s="59"/>
      <c r="G14" s="59"/>
      <c r="H14" s="59"/>
      <c r="I14" s="59"/>
      <c r="J14" s="59"/>
      <c r="K14" s="59"/>
      <c r="L14" s="59"/>
      <c r="M14" s="59"/>
      <c r="N14" s="59"/>
      <c r="O14" s="59"/>
    </row>
    <row r="15" spans="1:15" ht="18">
      <c r="A15" s="345" t="s">
        <v>6503</v>
      </c>
      <c r="B15" s="73"/>
      <c r="C15" s="73"/>
      <c r="D15" s="73"/>
      <c r="E15" s="73"/>
      <c r="F15" s="73"/>
      <c r="G15" s="73"/>
      <c r="H15" s="59"/>
      <c r="I15" s="59"/>
      <c r="J15" s="59"/>
      <c r="K15" s="59"/>
      <c r="L15" s="59"/>
      <c r="M15" s="59"/>
      <c r="N15" s="59"/>
      <c r="O15" s="59"/>
    </row>
    <row r="16" spans="1:15">
      <c r="A16" s="113"/>
      <c r="B16" s="114">
        <v>2020</v>
      </c>
      <c r="C16" s="114">
        <v>2021</v>
      </c>
      <c r="D16" s="114">
        <v>2022</v>
      </c>
      <c r="E16" s="114">
        <v>2023</v>
      </c>
      <c r="F16" s="114">
        <v>2024</v>
      </c>
      <c r="G16" s="115">
        <v>2025</v>
      </c>
      <c r="H16" s="59"/>
      <c r="I16" s="59"/>
      <c r="J16" s="59"/>
      <c r="K16" s="59"/>
      <c r="L16" s="59"/>
      <c r="M16" s="59"/>
      <c r="N16" s="59"/>
      <c r="O16" s="59"/>
    </row>
    <row r="17" spans="1:15">
      <c r="A17" s="329" t="s">
        <v>6504</v>
      </c>
      <c r="B17" s="118">
        <f>'2020'!B30</f>
        <v>623.25581395348843</v>
      </c>
      <c r="C17" s="118">
        <f>'2021'!B30</f>
        <v>96.096028718869192</v>
      </c>
      <c r="D17" s="118">
        <f>'2022'!B30</f>
        <v>772.0132286068623</v>
      </c>
      <c r="E17" s="118">
        <f>'2023'!B30</f>
        <v>713.43638525564802</v>
      </c>
      <c r="F17" s="118">
        <f>'2024'!B30</f>
        <v>591.01654846335703</v>
      </c>
      <c r="G17" s="120">
        <f>'2025'!B30</f>
        <v>915.12170706006327</v>
      </c>
      <c r="H17" s="59"/>
      <c r="I17" s="59"/>
      <c r="J17" s="59"/>
      <c r="K17" s="59"/>
      <c r="L17" s="59"/>
      <c r="M17" s="59"/>
      <c r="N17" s="59"/>
      <c r="O17" s="59"/>
    </row>
    <row r="18" spans="1:15">
      <c r="A18" s="331" t="s">
        <v>6505</v>
      </c>
      <c r="B18" s="118">
        <f>'2020'!B49</f>
        <v>87.84773060029282</v>
      </c>
      <c r="C18" s="118">
        <f>'2021'!B49</f>
        <v>72.860962566844918</v>
      </c>
      <c r="D18" s="118" t="str">
        <f>'2022'!B49</f>
        <v>-</v>
      </c>
      <c r="E18" s="118" t="str">
        <f>'2023'!B49</f>
        <v>-</v>
      </c>
      <c r="F18" s="118">
        <f>'2024'!B49</f>
        <v>479.56867196367762</v>
      </c>
      <c r="G18" s="120">
        <f>'2025'!B49</f>
        <v>136.21311475409837</v>
      </c>
      <c r="H18" s="59"/>
      <c r="I18" s="59"/>
      <c r="J18" s="59"/>
      <c r="K18" s="59"/>
      <c r="L18" s="59"/>
      <c r="M18" s="59"/>
      <c r="N18" s="59"/>
      <c r="O18" s="59"/>
    </row>
    <row r="19" spans="1:15">
      <c r="A19" s="333" t="s">
        <v>6506</v>
      </c>
      <c r="B19" s="118">
        <f>'2020'!B69</f>
        <v>45.304777594728172</v>
      </c>
      <c r="C19" s="118">
        <f>'2021'!B68</f>
        <v>72.415102579446241</v>
      </c>
      <c r="D19" s="118">
        <f>'2022'!B68</f>
        <v>83.654119654878158</v>
      </c>
      <c r="E19" s="118">
        <f>'2023'!B68</f>
        <v>136.42741878902686</v>
      </c>
      <c r="F19" s="118">
        <f>'2024'!B68</f>
        <v>119.69776314805117</v>
      </c>
      <c r="G19" s="120">
        <f>'2025'!B68</f>
        <v>155.79158043166777</v>
      </c>
      <c r="H19" s="59"/>
      <c r="I19" s="59"/>
      <c r="J19" s="59"/>
      <c r="K19" s="59"/>
      <c r="L19" s="59"/>
      <c r="M19" s="59"/>
      <c r="N19" s="59"/>
      <c r="O19" s="59"/>
    </row>
    <row r="20" spans="1:15">
      <c r="A20" s="59"/>
      <c r="B20" s="59"/>
      <c r="C20" s="59"/>
      <c r="D20" s="59"/>
      <c r="E20" s="59"/>
      <c r="F20" s="59"/>
      <c r="G20" s="59"/>
      <c r="H20" s="59"/>
      <c r="I20" s="59"/>
      <c r="J20" s="59"/>
      <c r="K20" s="59"/>
      <c r="L20" s="59"/>
      <c r="M20" s="59"/>
      <c r="N20" s="59"/>
      <c r="O20" s="59"/>
    </row>
    <row r="21" spans="1:15" ht="18">
      <c r="A21" s="345" t="s">
        <v>6507</v>
      </c>
      <c r="B21" s="73"/>
      <c r="C21" s="73"/>
      <c r="D21" s="73"/>
      <c r="E21" s="73"/>
      <c r="F21" s="73"/>
      <c r="G21" s="73"/>
      <c r="H21" s="59"/>
      <c r="I21" s="59"/>
      <c r="J21" s="59"/>
      <c r="K21" s="59"/>
      <c r="L21" s="59"/>
      <c r="M21" s="59"/>
      <c r="N21" s="59"/>
      <c r="O21" s="59"/>
    </row>
    <row r="22" spans="1:15">
      <c r="A22" s="113"/>
      <c r="B22" s="114">
        <v>2020</v>
      </c>
      <c r="C22" s="114">
        <v>2021</v>
      </c>
      <c r="D22" s="114">
        <v>2022</v>
      </c>
      <c r="E22" s="114">
        <v>2023</v>
      </c>
      <c r="F22" s="114">
        <v>2024</v>
      </c>
      <c r="G22" s="115">
        <v>2025</v>
      </c>
      <c r="H22" s="59"/>
      <c r="I22" s="59"/>
      <c r="J22" s="59"/>
      <c r="K22" s="59"/>
      <c r="L22" s="59"/>
      <c r="M22" s="59"/>
      <c r="N22" s="59"/>
      <c r="O22" s="59"/>
    </row>
    <row r="23" spans="1:15">
      <c r="A23" s="329" t="s">
        <v>6504</v>
      </c>
      <c r="B23" s="351">
        <f>'2020'!B28</f>
        <v>1340000</v>
      </c>
      <c r="C23" s="351">
        <f>'2021'!B28</f>
        <v>428300</v>
      </c>
      <c r="D23" s="351">
        <f>'2022'!B28</f>
        <v>3735000</v>
      </c>
      <c r="E23" s="351">
        <f>'2023'!B28</f>
        <v>3000000</v>
      </c>
      <c r="F23" s="351">
        <f>'2024'!B28</f>
        <v>3500000</v>
      </c>
      <c r="G23" s="352">
        <f>'2025'!B28</f>
        <v>3200000</v>
      </c>
      <c r="H23" s="59"/>
      <c r="I23" s="59" t="s">
        <v>6619</v>
      </c>
      <c r="J23" s="59"/>
      <c r="K23" s="59"/>
      <c r="L23" s="59"/>
      <c r="M23" s="59"/>
      <c r="N23" s="59"/>
      <c r="O23" s="59"/>
    </row>
    <row r="24" spans="1:15">
      <c r="A24" s="331" t="s">
        <v>6505</v>
      </c>
      <c r="B24" s="351">
        <f>'2020'!B47</f>
        <v>780000</v>
      </c>
      <c r="C24" s="351">
        <f>'2021'!B47</f>
        <v>545000</v>
      </c>
      <c r="D24" s="351" t="str">
        <f>'2022'!B47</f>
        <v>-</v>
      </c>
      <c r="E24" s="351" t="str">
        <f>'2023'!B47</f>
        <v>-</v>
      </c>
      <c r="F24" s="351">
        <f>'2024'!B47</f>
        <v>4225000</v>
      </c>
      <c r="G24" s="352">
        <f>'2025'!B47</f>
        <v>830900</v>
      </c>
      <c r="H24" s="59"/>
      <c r="I24" s="59"/>
      <c r="J24" s="59"/>
      <c r="K24" s="59"/>
      <c r="L24" s="59"/>
      <c r="M24" s="59"/>
      <c r="N24" s="59"/>
      <c r="O24" s="59"/>
    </row>
    <row r="25" spans="1:15">
      <c r="A25" s="333" t="s">
        <v>6506</v>
      </c>
      <c r="B25" s="351">
        <f>'2020'!B67</f>
        <v>550000</v>
      </c>
      <c r="C25" s="351">
        <f>'2021'!B66</f>
        <v>2450000</v>
      </c>
      <c r="D25" s="351">
        <f>'2022'!B66</f>
        <v>4411500</v>
      </c>
      <c r="E25" s="351">
        <f>'2023'!B66</f>
        <v>3889000</v>
      </c>
      <c r="F25" s="351">
        <f>'2024'!B66</f>
        <v>3200000</v>
      </c>
      <c r="G25" s="352">
        <f>'2025'!B66</f>
        <v>6850000</v>
      </c>
      <c r="H25" s="59"/>
      <c r="I25" s="59"/>
      <c r="J25" s="59"/>
      <c r="K25" s="59"/>
      <c r="L25" s="59"/>
      <c r="M25" s="59"/>
      <c r="N25" s="59"/>
      <c r="O25" s="59"/>
    </row>
    <row r="26" spans="1:15">
      <c r="A26" s="59"/>
      <c r="B26" s="59"/>
      <c r="C26" s="59"/>
      <c r="D26" s="59"/>
      <c r="E26" s="59"/>
      <c r="F26" s="59"/>
      <c r="G26" s="59"/>
      <c r="H26" s="59"/>
      <c r="I26" s="59"/>
      <c r="J26" s="59"/>
      <c r="K26" s="59"/>
      <c r="L26" s="59"/>
      <c r="M26" s="59"/>
      <c r="N26" s="59"/>
      <c r="O26" s="59"/>
    </row>
    <row r="27" spans="1:15" ht="18">
      <c r="A27" s="345" t="s">
        <v>6508</v>
      </c>
      <c r="B27" s="73"/>
      <c r="C27" s="73"/>
      <c r="D27" s="73"/>
      <c r="E27" s="73"/>
      <c r="F27" s="73"/>
      <c r="G27" s="73"/>
      <c r="H27" s="59"/>
      <c r="I27" s="59"/>
      <c r="J27" s="59"/>
      <c r="K27" s="59"/>
      <c r="L27" s="59"/>
      <c r="M27" s="59"/>
      <c r="N27" s="59"/>
      <c r="O27" s="59"/>
    </row>
    <row r="28" spans="1:15">
      <c r="A28" s="113"/>
      <c r="B28" s="114">
        <v>2020</v>
      </c>
      <c r="C28" s="114">
        <v>2021</v>
      </c>
      <c r="D28" s="114">
        <v>2022</v>
      </c>
      <c r="E28" s="114">
        <v>2023</v>
      </c>
      <c r="F28" s="114">
        <v>2024</v>
      </c>
      <c r="G28" s="115">
        <v>2025</v>
      </c>
      <c r="H28" s="59"/>
      <c r="I28" s="59"/>
      <c r="J28" s="59"/>
      <c r="K28" s="59"/>
      <c r="L28" s="59"/>
      <c r="M28" s="59"/>
      <c r="N28" s="59"/>
      <c r="O28" s="59"/>
    </row>
    <row r="29" spans="1:15">
      <c r="A29" s="329" t="s">
        <v>6504</v>
      </c>
      <c r="B29" s="117">
        <f>'2020'!B26</f>
        <v>5</v>
      </c>
      <c r="C29" s="117">
        <f>'2021'!B26</f>
        <v>3</v>
      </c>
      <c r="D29" s="117">
        <f>'2022'!B26</f>
        <v>3</v>
      </c>
      <c r="E29" s="117">
        <f>'2023'!B26</f>
        <v>1</v>
      </c>
      <c r="F29" s="117">
        <f>'2024'!B26</f>
        <v>1</v>
      </c>
      <c r="G29" s="275">
        <f>'2025'!B26</f>
        <v>3</v>
      </c>
      <c r="H29" s="59"/>
      <c r="I29" s="59"/>
      <c r="J29" s="59"/>
      <c r="K29" s="59"/>
      <c r="L29" s="59"/>
      <c r="M29" s="59"/>
      <c r="N29" s="59"/>
      <c r="O29" s="59"/>
    </row>
    <row r="30" spans="1:15">
      <c r="A30" s="331" t="s">
        <v>6505</v>
      </c>
      <c r="B30" s="117">
        <f>'2020'!B45</f>
        <v>1</v>
      </c>
      <c r="C30" s="117">
        <f>'2021'!B45</f>
        <v>1</v>
      </c>
      <c r="D30" s="117">
        <f>'2022'!B45</f>
        <v>0</v>
      </c>
      <c r="E30" s="117">
        <f>'2023'!B45</f>
        <v>0</v>
      </c>
      <c r="F30" s="117">
        <f>'2024'!B45</f>
        <v>1</v>
      </c>
      <c r="G30" s="275">
        <f>'2025'!B45</f>
        <v>1</v>
      </c>
      <c r="H30" s="59"/>
      <c r="I30" s="59"/>
      <c r="J30" s="59"/>
      <c r="K30" s="59"/>
      <c r="L30" s="59"/>
      <c r="M30" s="59"/>
      <c r="N30" s="59"/>
      <c r="O30" s="59"/>
    </row>
    <row r="31" spans="1:15">
      <c r="A31" s="333" t="s">
        <v>6506</v>
      </c>
      <c r="B31" s="117">
        <f>'2020'!B65</f>
        <v>1</v>
      </c>
      <c r="C31" s="117">
        <f>'2021'!B64</f>
        <v>2</v>
      </c>
      <c r="D31" s="117">
        <f>'2022'!B64</f>
        <v>1</v>
      </c>
      <c r="E31" s="117">
        <f>'2023'!B64</f>
        <v>1</v>
      </c>
      <c r="F31" s="117">
        <f>'2024'!B64</f>
        <v>1</v>
      </c>
      <c r="G31" s="275">
        <f>'2025'!B64</f>
        <v>3</v>
      </c>
      <c r="H31" s="59"/>
      <c r="I31" s="59"/>
      <c r="J31" s="59"/>
      <c r="K31" s="59"/>
      <c r="L31" s="59"/>
      <c r="M31" s="59"/>
      <c r="N31" s="59"/>
      <c r="O31" s="59"/>
    </row>
    <row r="32" spans="1:15">
      <c r="A32" s="116" t="s">
        <v>6222</v>
      </c>
      <c r="B32" s="306">
        <f t="shared" ref="B32:G32" si="0">SUM(B29:B31)</f>
        <v>7</v>
      </c>
      <c r="C32" s="306">
        <f t="shared" si="0"/>
        <v>6</v>
      </c>
      <c r="D32" s="306">
        <f t="shared" si="0"/>
        <v>4</v>
      </c>
      <c r="E32" s="306">
        <f t="shared" si="0"/>
        <v>2</v>
      </c>
      <c r="F32" s="306">
        <f t="shared" si="0"/>
        <v>3</v>
      </c>
      <c r="G32" s="353">
        <f t="shared" si="0"/>
        <v>7</v>
      </c>
      <c r="H32" s="59"/>
      <c r="I32" s="59"/>
      <c r="J32" s="59"/>
      <c r="K32" s="59"/>
      <c r="L32" s="59" t="s">
        <v>6618</v>
      </c>
      <c r="M32" s="59"/>
      <c r="N32" s="59"/>
      <c r="O32" s="59"/>
    </row>
    <row r="33" spans="1:15">
      <c r="A33" s="59"/>
      <c r="B33" s="59"/>
      <c r="C33" s="59"/>
      <c r="D33" s="59"/>
      <c r="E33" s="59"/>
      <c r="F33" s="59"/>
      <c r="G33" s="59"/>
      <c r="H33" s="59"/>
      <c r="I33" s="59"/>
      <c r="J33" s="59"/>
      <c r="K33" s="59"/>
      <c r="L33" s="59"/>
      <c r="M33" s="59"/>
      <c r="N33" s="59"/>
      <c r="O33" s="59"/>
    </row>
    <row r="34" spans="1:15">
      <c r="A34" s="59" t="s">
        <v>6533</v>
      </c>
      <c r="B34" s="59"/>
      <c r="C34" s="59"/>
      <c r="D34" s="59"/>
      <c r="E34" s="59"/>
      <c r="F34" s="59"/>
      <c r="G34" s="59"/>
      <c r="H34" s="59"/>
      <c r="I34" s="59"/>
      <c r="J34" s="59"/>
      <c r="K34" s="59"/>
      <c r="L34" s="59"/>
      <c r="M34" s="59"/>
      <c r="N34" s="59"/>
      <c r="O34" s="59"/>
    </row>
    <row r="35" spans="1:15">
      <c r="A35" s="59"/>
      <c r="B35" s="59"/>
      <c r="C35" s="59"/>
      <c r="D35" s="59"/>
      <c r="E35" s="59"/>
      <c r="F35" s="59"/>
      <c r="G35" s="59"/>
      <c r="H35" s="59"/>
      <c r="I35" s="59"/>
      <c r="J35" s="59"/>
      <c r="K35" s="59"/>
      <c r="L35" s="59"/>
      <c r="M35" s="59"/>
      <c r="N35" s="59"/>
      <c r="O35" s="59"/>
    </row>
    <row r="36" spans="1:15">
      <c r="A36" s="59"/>
      <c r="B36" s="59"/>
      <c r="C36" s="59"/>
      <c r="D36" s="59"/>
      <c r="E36" s="59"/>
      <c r="F36" s="59"/>
      <c r="G36" s="59"/>
      <c r="H36" s="59"/>
      <c r="I36" s="59"/>
      <c r="J36" s="59"/>
      <c r="K36" s="59"/>
      <c r="L36" s="59"/>
      <c r="M36" s="59"/>
      <c r="N36" s="59"/>
      <c r="O36" s="59"/>
    </row>
    <row r="37" spans="1:15">
      <c r="A37" s="59"/>
      <c r="B37" s="59"/>
      <c r="C37" s="59"/>
      <c r="D37" s="59"/>
      <c r="E37" s="59"/>
      <c r="F37" s="59"/>
      <c r="G37" s="59"/>
      <c r="H37" s="59"/>
      <c r="I37" s="59"/>
      <c r="J37" s="59"/>
      <c r="K37" s="59"/>
      <c r="L37" s="59"/>
      <c r="M37" s="59"/>
      <c r="N37" s="59"/>
      <c r="O37" s="59"/>
    </row>
    <row r="38" spans="1:15">
      <c r="A38" s="59"/>
      <c r="B38" s="59"/>
      <c r="C38" s="59"/>
      <c r="D38" s="59"/>
      <c r="E38" s="59"/>
      <c r="F38" s="59"/>
      <c r="G38" s="59"/>
      <c r="H38" s="59"/>
      <c r="I38" s="59"/>
      <c r="J38" s="59"/>
      <c r="K38" s="59"/>
      <c r="L38" s="59"/>
      <c r="M38" s="59"/>
      <c r="N38" s="59"/>
      <c r="O38" s="59"/>
    </row>
    <row r="39" spans="1:15">
      <c r="A39" s="59"/>
      <c r="B39" s="59"/>
      <c r="C39" s="59"/>
      <c r="D39" s="59"/>
      <c r="E39" s="59"/>
      <c r="F39" s="59"/>
      <c r="G39" s="59"/>
      <c r="H39" s="59"/>
      <c r="I39" s="59"/>
      <c r="J39" s="59"/>
      <c r="K39" s="59"/>
      <c r="L39" s="59"/>
      <c r="M39" s="59"/>
      <c r="N39" s="59"/>
      <c r="O39" s="59"/>
    </row>
    <row r="40" spans="1:15">
      <c r="A40" s="59"/>
      <c r="B40" s="59"/>
      <c r="C40" s="59"/>
      <c r="D40" s="59"/>
      <c r="E40" s="59"/>
      <c r="F40" s="59"/>
      <c r="G40" s="59"/>
      <c r="H40" s="59"/>
      <c r="I40" s="59"/>
      <c r="J40" s="59"/>
      <c r="K40" s="59"/>
      <c r="L40" s="59"/>
      <c r="M40" s="59"/>
      <c r="N40" s="59"/>
      <c r="O40" s="59"/>
    </row>
    <row r="41" spans="1:15">
      <c r="A41" s="59"/>
      <c r="B41" s="59"/>
      <c r="C41" s="59"/>
      <c r="D41" s="59"/>
      <c r="E41" s="59"/>
      <c r="F41" s="59"/>
      <c r="G41" s="59"/>
      <c r="H41" s="59"/>
      <c r="I41" s="59"/>
      <c r="J41" s="59"/>
      <c r="K41" s="59"/>
      <c r="L41" s="59"/>
      <c r="M41" s="59"/>
      <c r="N41" s="59"/>
      <c r="O41" s="59"/>
    </row>
    <row r="42" spans="1:15">
      <c r="A42" s="59"/>
      <c r="B42" s="59"/>
      <c r="C42" s="59"/>
      <c r="D42" s="59"/>
      <c r="E42" s="59"/>
      <c r="F42" s="59"/>
      <c r="G42" s="59"/>
      <c r="H42" s="59"/>
      <c r="I42" s="59"/>
      <c r="J42" s="59"/>
      <c r="K42" s="59"/>
      <c r="L42" s="59"/>
      <c r="M42" s="59"/>
      <c r="N42" s="59"/>
      <c r="O42" s="59"/>
    </row>
    <row r="43" spans="1:15">
      <c r="A43" s="59"/>
      <c r="B43" s="59"/>
      <c r="C43" s="59"/>
      <c r="D43" s="59"/>
      <c r="E43" s="59"/>
      <c r="F43" s="59"/>
      <c r="G43" s="59"/>
      <c r="H43" s="59"/>
      <c r="I43" s="59"/>
      <c r="J43" s="59"/>
      <c r="K43" s="59"/>
      <c r="L43" s="59"/>
      <c r="M43" s="59"/>
      <c r="N43" s="59"/>
      <c r="O43" s="59"/>
    </row>
    <row r="44" spans="1:15">
      <c r="A44" s="59"/>
      <c r="B44" s="59"/>
      <c r="C44" s="59"/>
      <c r="D44" s="59"/>
      <c r="E44" s="59"/>
      <c r="F44" s="59"/>
      <c r="G44" s="59"/>
      <c r="H44" s="59"/>
      <c r="I44" s="59"/>
      <c r="J44" s="59"/>
      <c r="K44" s="59"/>
      <c r="L44" s="59"/>
      <c r="M44" s="59"/>
      <c r="N44" s="59"/>
      <c r="O44" s="59"/>
    </row>
    <row r="45" spans="1:15">
      <c r="A45" s="59"/>
      <c r="B45" s="59"/>
      <c r="C45" s="59"/>
      <c r="D45" s="59"/>
      <c r="E45" s="59"/>
      <c r="F45" s="59"/>
      <c r="G45" s="59"/>
      <c r="H45" s="59"/>
      <c r="I45" s="59"/>
      <c r="J45" s="59"/>
      <c r="K45" s="59"/>
      <c r="L45" s="59"/>
      <c r="M45" s="59"/>
      <c r="N45" s="59"/>
      <c r="O45" s="59"/>
    </row>
    <row r="46" spans="1:15">
      <c r="A46" s="59"/>
      <c r="B46" s="59"/>
      <c r="C46" s="59"/>
      <c r="D46" s="59"/>
      <c r="E46" s="59"/>
      <c r="F46" s="59"/>
      <c r="G46" s="59"/>
      <c r="H46" s="59"/>
      <c r="I46" s="59"/>
      <c r="J46" s="59"/>
      <c r="K46" s="59"/>
      <c r="L46" s="59"/>
      <c r="M46" s="59"/>
      <c r="N46" s="59"/>
      <c r="O46" s="59"/>
    </row>
    <row r="47" spans="1:15">
      <c r="A47" s="59"/>
      <c r="B47" s="59"/>
      <c r="C47" s="59"/>
      <c r="D47" s="59"/>
      <c r="E47" s="59"/>
      <c r="F47" s="59"/>
      <c r="G47" s="59"/>
      <c r="H47" s="59"/>
      <c r="I47" s="59"/>
      <c r="J47" s="59"/>
      <c r="K47" s="59"/>
      <c r="L47" s="59"/>
      <c r="M47" s="59"/>
      <c r="N47" s="59"/>
      <c r="O47" s="59"/>
    </row>
    <row r="48" spans="1:15">
      <c r="A48" s="59"/>
      <c r="B48" s="59"/>
      <c r="C48" s="59"/>
      <c r="D48" s="59"/>
      <c r="E48" s="59"/>
      <c r="F48" s="59"/>
      <c r="G48" s="59"/>
      <c r="H48" s="59"/>
      <c r="I48" s="59"/>
      <c r="J48" s="59"/>
      <c r="K48" s="59"/>
      <c r="L48" s="59"/>
      <c r="M48" s="59"/>
      <c r="N48" s="59"/>
      <c r="O48" s="59"/>
    </row>
    <row r="49" spans="1:15">
      <c r="A49" s="59"/>
      <c r="B49" s="59"/>
      <c r="C49" s="59"/>
      <c r="D49" s="59"/>
      <c r="E49" s="59"/>
      <c r="F49" s="59"/>
      <c r="G49" s="59"/>
      <c r="H49" s="59"/>
      <c r="I49" s="59"/>
      <c r="J49" s="59"/>
      <c r="K49" s="59"/>
      <c r="L49" s="59"/>
      <c r="M49" s="59"/>
      <c r="N49" s="59"/>
      <c r="O49" s="59"/>
    </row>
    <row r="50" spans="1:15">
      <c r="A50" s="59"/>
      <c r="B50" s="59"/>
      <c r="C50" s="59"/>
      <c r="D50" s="59"/>
      <c r="E50" s="59"/>
      <c r="F50" s="59"/>
      <c r="G50" s="59"/>
      <c r="H50" s="59"/>
      <c r="I50" s="59"/>
      <c r="J50" s="59"/>
      <c r="K50" s="59"/>
      <c r="L50" s="59"/>
      <c r="M50" s="59"/>
      <c r="N50" s="59"/>
      <c r="O50" s="59"/>
    </row>
    <row r="51" spans="1:15">
      <c r="A51" s="59"/>
      <c r="B51" s="59"/>
      <c r="C51" s="59"/>
      <c r="D51" s="59"/>
      <c r="E51" s="59"/>
      <c r="F51" s="59"/>
      <c r="G51" s="59"/>
      <c r="H51" s="59"/>
      <c r="I51" s="59"/>
      <c r="J51" s="59"/>
      <c r="K51" s="59"/>
      <c r="L51" s="59"/>
      <c r="M51" s="59"/>
      <c r="N51" s="59"/>
      <c r="O51" s="59"/>
    </row>
    <row r="52" spans="1:15">
      <c r="A52" s="59"/>
      <c r="B52" s="59"/>
      <c r="C52" s="59"/>
      <c r="D52" s="59"/>
      <c r="E52" s="59"/>
      <c r="F52" s="59"/>
      <c r="G52" s="59"/>
      <c r="H52" s="59"/>
      <c r="I52" s="59"/>
      <c r="J52" s="59"/>
      <c r="K52" s="59"/>
      <c r="L52" s="59"/>
      <c r="M52" s="59"/>
      <c r="N52" s="59"/>
      <c r="O52" s="59"/>
    </row>
    <row r="53" spans="1:15">
      <c r="A53" s="59"/>
      <c r="B53" s="59"/>
      <c r="C53" s="59"/>
      <c r="D53" s="59"/>
      <c r="E53" s="59"/>
      <c r="F53" s="59"/>
      <c r="G53" s="59"/>
      <c r="H53" s="59"/>
      <c r="I53" s="59"/>
      <c r="J53" s="59"/>
      <c r="K53" s="59"/>
      <c r="L53" s="59"/>
      <c r="M53" s="59"/>
      <c r="N53" s="59"/>
      <c r="O53" s="59"/>
    </row>
    <row r="54" spans="1:15">
      <c r="A54" s="59"/>
      <c r="B54" s="59"/>
      <c r="C54" s="59"/>
      <c r="D54" s="59"/>
      <c r="E54" s="59"/>
      <c r="F54" s="59"/>
      <c r="G54" s="59"/>
      <c r="H54" s="59"/>
      <c r="I54" s="59"/>
      <c r="J54" s="59"/>
      <c r="K54" s="59"/>
      <c r="L54" s="59"/>
      <c r="M54" s="59"/>
      <c r="N54" s="59"/>
      <c r="O54" s="59"/>
    </row>
    <row r="55" spans="1:15">
      <c r="A55" s="59"/>
      <c r="B55" s="59"/>
      <c r="C55" s="59"/>
      <c r="D55" s="59"/>
      <c r="E55" s="59"/>
      <c r="F55" s="59"/>
      <c r="G55" s="59"/>
      <c r="H55" s="59"/>
      <c r="I55" s="59"/>
      <c r="J55" s="59"/>
      <c r="K55" s="59"/>
      <c r="L55" s="59"/>
      <c r="M55" s="59"/>
      <c r="N55" s="59"/>
      <c r="O55" s="59"/>
    </row>
    <row r="56" spans="1:15">
      <c r="A56" s="59"/>
      <c r="B56" s="59"/>
      <c r="C56" s="59"/>
      <c r="D56" s="59"/>
      <c r="E56" s="59"/>
      <c r="F56" s="59"/>
      <c r="G56" s="59"/>
      <c r="H56" s="59"/>
      <c r="I56" s="59"/>
      <c r="J56" s="59"/>
      <c r="K56" s="59"/>
      <c r="L56" s="59"/>
      <c r="M56" s="59"/>
      <c r="N56" s="59"/>
      <c r="O56" s="59"/>
    </row>
    <row r="57" spans="1:15">
      <c r="A57" s="59"/>
      <c r="B57" s="59"/>
      <c r="C57" s="59"/>
      <c r="D57" s="59"/>
      <c r="E57" s="59"/>
      <c r="F57" s="59"/>
      <c r="G57" s="59"/>
      <c r="H57" s="59"/>
      <c r="I57" s="59"/>
      <c r="J57" s="59"/>
      <c r="K57" s="59"/>
      <c r="L57" s="59"/>
      <c r="M57" s="59"/>
      <c r="N57" s="59"/>
      <c r="O57" s="59"/>
    </row>
    <row r="58" spans="1:15">
      <c r="A58" s="59"/>
      <c r="B58" s="59"/>
      <c r="C58" s="59"/>
      <c r="D58" s="59"/>
      <c r="E58" s="59"/>
      <c r="F58" s="59"/>
      <c r="G58" s="59"/>
      <c r="H58" s="59"/>
      <c r="I58" s="59"/>
      <c r="J58" s="59"/>
      <c r="K58" s="59"/>
      <c r="L58" s="59"/>
      <c r="M58" s="59"/>
      <c r="N58" s="59"/>
      <c r="O58" s="59"/>
    </row>
    <row r="59" spans="1:15">
      <c r="A59" s="59"/>
      <c r="B59" s="59"/>
      <c r="C59" s="59"/>
      <c r="D59" s="59"/>
      <c r="E59" s="59"/>
      <c r="F59" s="59"/>
      <c r="G59" s="59"/>
      <c r="H59" s="59"/>
      <c r="I59" s="59"/>
      <c r="J59" s="59"/>
      <c r="K59" s="59"/>
      <c r="L59" s="59"/>
      <c r="M59" s="59"/>
      <c r="N59" s="59"/>
      <c r="O59" s="59"/>
    </row>
    <row r="60" spans="1:15">
      <c r="A60" s="59"/>
      <c r="B60" s="59"/>
      <c r="C60" s="59"/>
      <c r="D60" s="59"/>
      <c r="E60" s="59"/>
      <c r="F60" s="59"/>
      <c r="G60" s="59"/>
      <c r="H60" s="59"/>
      <c r="I60" s="59"/>
      <c r="J60" s="59"/>
      <c r="K60" s="59"/>
      <c r="L60" s="59"/>
      <c r="M60" s="59"/>
      <c r="N60" s="59"/>
      <c r="O60" s="59"/>
    </row>
  </sheetData>
  <conditionalFormatting sqref="B6:G6">
    <cfRule type="dataBar" priority="6">
      <dataBar>
        <cfvo type="min"/>
        <cfvo type="max"/>
        <color rgb="FF4D93D9"/>
      </dataBar>
      <extLst>
        <ext xmlns:x14="http://schemas.microsoft.com/office/spreadsheetml/2009/9/main" uri="{B025F937-C7B1-47D3-B67F-A62EFF666E3E}">
          <x14:id>{8289BC6B-ADF5-8245-A583-2E7CB5C197FD}</x14:id>
        </ext>
      </extLst>
    </cfRule>
    <cfRule type="dataBar" priority="13">
      <dataBar>
        <cfvo type="min"/>
        <cfvo type="max"/>
        <color rgb="FF4D93D9"/>
      </dataBar>
      <extLst>
        <ext xmlns:x14="http://schemas.microsoft.com/office/spreadsheetml/2009/9/main" uri="{B025F937-C7B1-47D3-B67F-A62EFF666E3E}">
          <x14:id>{6E7086AB-2007-BF40-AD94-33DC6DE4B56C}</x14:id>
        </ext>
      </extLst>
    </cfRule>
  </conditionalFormatting>
  <conditionalFormatting sqref="B8:G8">
    <cfRule type="dataBar" priority="7">
      <dataBar>
        <cfvo type="min"/>
        <cfvo type="max"/>
        <color rgb="FF215C98"/>
      </dataBar>
      <extLst>
        <ext xmlns:x14="http://schemas.microsoft.com/office/spreadsheetml/2009/9/main" uri="{B025F937-C7B1-47D3-B67F-A62EFF666E3E}">
          <x14:id>{7E6B5ED5-C38C-4541-AB73-584E82C4D8FE}</x14:id>
        </ext>
      </extLst>
    </cfRule>
    <cfRule type="dataBar" priority="14">
      <dataBar>
        <cfvo type="min"/>
        <cfvo type="max"/>
        <color rgb="FF215C98"/>
      </dataBar>
      <extLst>
        <ext xmlns:x14="http://schemas.microsoft.com/office/spreadsheetml/2009/9/main" uri="{B025F937-C7B1-47D3-B67F-A62EFF666E3E}">
          <x14:id>{C9A7CFCA-0AB8-F84B-9325-7CC4D2A31CED}</x14:id>
        </ext>
      </extLst>
    </cfRule>
  </conditionalFormatting>
  <conditionalFormatting sqref="B10:G10">
    <cfRule type="colorScale" priority="5">
      <colorScale>
        <cfvo type="min"/>
        <cfvo type="percentile" val="50"/>
        <cfvo type="max"/>
        <color rgb="FFE8F5E9"/>
        <color rgb="FFFFF9C4"/>
        <color rgb="FFFFCDD2"/>
      </colorScale>
    </cfRule>
    <cfRule type="colorScale" priority="12">
      <colorScale>
        <cfvo type="min"/>
        <cfvo type="percentile" val="50"/>
        <cfvo type="max"/>
        <color rgb="FFE8F5E9"/>
        <color rgb="FFFFF9C4"/>
        <color rgb="FFFFCDD2"/>
      </colorScale>
    </cfRule>
  </conditionalFormatting>
  <conditionalFormatting sqref="B12:G12">
    <cfRule type="colorScale" priority="4">
      <colorScale>
        <cfvo type="min"/>
        <cfvo type="percentile" val="50"/>
        <cfvo type="max"/>
        <color rgb="FFE8F5E9"/>
        <color rgb="FFFFF9C4"/>
        <color rgb="FFFFCDD2"/>
      </colorScale>
    </cfRule>
    <cfRule type="colorScale" priority="11">
      <colorScale>
        <cfvo type="min"/>
        <cfvo type="percentile" val="50"/>
        <cfvo type="max"/>
        <color rgb="FFE8F5E9"/>
        <color rgb="FFFFF9C4"/>
        <color rgb="FFFFCDD2"/>
      </colorScale>
    </cfRule>
  </conditionalFormatting>
  <conditionalFormatting sqref="B17:G17">
    <cfRule type="colorScale" priority="8">
      <colorScale>
        <cfvo type="min"/>
        <cfvo type="percentile" val="50"/>
        <cfvo type="max"/>
        <color rgb="FFE8F5E9"/>
        <color rgb="FFFFF9C4"/>
        <color rgb="FFFFCDD2"/>
      </colorScale>
    </cfRule>
    <cfRule type="colorScale" priority="15">
      <colorScale>
        <cfvo type="min"/>
        <cfvo type="percentile" val="50"/>
        <cfvo type="max"/>
        <color rgb="FFE8F5E9"/>
        <color rgb="FFFFF9C4"/>
        <color rgb="FFFFCDD2"/>
      </colorScale>
    </cfRule>
  </conditionalFormatting>
  <conditionalFormatting sqref="B18:G18">
    <cfRule type="colorScale" priority="9">
      <colorScale>
        <cfvo type="min"/>
        <cfvo type="percentile" val="50"/>
        <cfvo type="max"/>
        <color rgb="FFE8F5E9"/>
        <color rgb="FFFFF9C4"/>
        <color rgb="FFFFCDD2"/>
      </colorScale>
    </cfRule>
    <cfRule type="colorScale" priority="16">
      <colorScale>
        <cfvo type="min"/>
        <cfvo type="percentile" val="50"/>
        <cfvo type="max"/>
        <color rgb="FFE8F5E9"/>
        <color rgb="FFFFF9C4"/>
        <color rgb="FFFFCDD2"/>
      </colorScale>
    </cfRule>
  </conditionalFormatting>
  <conditionalFormatting sqref="B19:G19">
    <cfRule type="colorScale" priority="10">
      <colorScale>
        <cfvo type="min"/>
        <cfvo type="percentile" val="50"/>
        <cfvo type="max"/>
        <color rgb="FFE8F5E9"/>
        <color rgb="FFFFF9C4"/>
        <color rgb="FFFFCDD2"/>
      </colorScale>
    </cfRule>
    <cfRule type="colorScale" priority="17">
      <colorScale>
        <cfvo type="min"/>
        <cfvo type="percentile" val="50"/>
        <cfvo type="max"/>
        <color rgb="FFE8F5E9"/>
        <color rgb="FFFFF9C4"/>
        <color rgb="FFFFCDD2"/>
      </colorScale>
    </cfRule>
  </conditionalFormatting>
  <conditionalFormatting sqref="B23:G23">
    <cfRule type="colorScale" priority="2">
      <colorScale>
        <cfvo type="min"/>
        <cfvo type="percentile" val="50"/>
        <cfvo type="max"/>
        <color rgb="FFE8F5E9"/>
        <color rgb="FFFFF9C4"/>
        <color rgb="FFFFCDD2"/>
      </colorScale>
    </cfRule>
  </conditionalFormatting>
  <conditionalFormatting sqref="B24:G24">
    <cfRule type="colorScale" priority="1">
      <colorScale>
        <cfvo type="min"/>
        <cfvo type="percentile" val="50"/>
        <cfvo type="max"/>
        <color rgb="FFE8F5E9"/>
        <color rgb="FFFFF9C4"/>
        <color rgb="FFFFCDD2"/>
      </colorScale>
    </cfRule>
  </conditionalFormatting>
  <conditionalFormatting sqref="B25:G25">
    <cfRule type="colorScale" priority="3">
      <colorScale>
        <cfvo type="min"/>
        <cfvo type="percentile" val="50"/>
        <cfvo type="max"/>
        <color rgb="FFE8F5E9"/>
        <color rgb="FFFFF9C4"/>
        <color rgb="FFFFCDD2"/>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289BC6B-ADF5-8245-A583-2E7CB5C197FD}">
            <x14:dataBar minLength="0" maxLength="100" direction="leftToRight" negativeBarColorSameAsPositive="1" axisPosition="none">
              <x14:cfvo type="min"/>
              <x14:cfvo type="max"/>
            </x14:dataBar>
          </x14:cfRule>
          <x14:cfRule type="dataBar" id="{6E7086AB-2007-BF40-AD94-33DC6DE4B56C}">
            <x14:dataBar minLength="0" maxLength="100" direction="leftToRight" negativeBarColorSameAsPositive="1" axisPosition="none">
              <x14:cfvo type="min"/>
              <x14:cfvo type="max"/>
            </x14:dataBar>
          </x14:cfRule>
          <xm:sqref>B6:G6</xm:sqref>
        </x14:conditionalFormatting>
        <x14:conditionalFormatting xmlns:xm="http://schemas.microsoft.com/office/excel/2006/main">
          <x14:cfRule type="dataBar" id="{7E6B5ED5-C38C-4541-AB73-584E82C4D8FE}">
            <x14:dataBar minLength="0" maxLength="100" direction="leftToRight" negativeBarColorSameAsPositive="1" axisPosition="none">
              <x14:cfvo type="min"/>
              <x14:cfvo type="max"/>
            </x14:dataBar>
          </x14:cfRule>
          <x14:cfRule type="dataBar" id="{C9A7CFCA-0AB8-F84B-9325-7CC4D2A31CED}">
            <x14:dataBar minLength="0" maxLength="100" direction="leftToRight" negativeBarColorSameAsPositive="1" axisPosition="none">
              <x14:cfvo type="min"/>
              <x14:cfvo type="max"/>
            </x14:dataBar>
          </x14:cfRule>
          <xm:sqref>B8:G8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Dashboard</vt:lpstr>
      <vt:lpstr>Market Trends</vt:lpstr>
      <vt:lpstr>Copy Dashboard</vt:lpstr>
      <vt:lpstr>Master</vt:lpstr>
      <vt:lpstr>Medical Sales</vt:lpstr>
      <vt:lpstr>Outliers</vt:lpstr>
      <vt:lpstr>2020</vt:lpstr>
      <vt:lpstr>2021</vt:lpstr>
      <vt:lpstr>2022</vt:lpstr>
      <vt:lpstr>2023</vt:lpstr>
      <vt:lpstr>2024</vt:lpstr>
      <vt:lpstr>2025</vt:lpstr>
      <vt:lpstr>Market Overview</vt:lpstr>
      <vt:lpstr>6 Year (Incomplete)</vt:lpstr>
      <vt:lpstr>'Market Trends'!Print_Area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Bañez</dc:creator>
  <cp:lastModifiedBy>Nico Bañez</cp:lastModifiedBy>
  <dcterms:created xsi:type="dcterms:W3CDTF">2026-03-27T20:40:20Z</dcterms:created>
  <dcterms:modified xsi:type="dcterms:W3CDTF">2026-04-28T15:53:35Z</dcterms:modified>
</cp:coreProperties>
</file>